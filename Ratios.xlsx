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ISTAJA\Downloads\"/>
    </mc:Choice>
  </mc:AlternateContent>
  <xr:revisionPtr revIDLastSave="0" documentId="13_ncr:1_{781A46EF-3168-4C3A-91A0-C89C2FDD4EA1}" xr6:coauthVersionLast="47" xr6:coauthVersionMax="47" xr10:uidLastSave="{00000000-0000-0000-0000-000000000000}"/>
  <bookViews>
    <workbookView xWindow="-103" yWindow="-103" windowWidth="16663" windowHeight="94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D7" i="1"/>
  <c r="F35" i="1"/>
  <c r="D35" i="1"/>
  <c r="F28" i="1"/>
  <c r="D28" i="1"/>
  <c r="D21" i="1"/>
  <c r="F21" i="1"/>
  <c r="F33" i="1"/>
  <c r="D33" i="1"/>
  <c r="F18" i="1"/>
  <c r="D18" i="1"/>
  <c r="F11" i="1"/>
  <c r="F14" i="1" s="1"/>
  <c r="D11" i="1"/>
  <c r="D14" i="1" s="1"/>
</calcChain>
</file>

<file path=xl/sharedStrings.xml><?xml version="1.0" encoding="utf-8"?>
<sst xmlns="http://schemas.openxmlformats.org/spreadsheetml/2006/main" count="29" uniqueCount="19">
  <si>
    <t>Current assets</t>
  </si>
  <si>
    <t>Current liabilities</t>
  </si>
  <si>
    <t>2016-17</t>
  </si>
  <si>
    <t>2017-18</t>
  </si>
  <si>
    <t>Current assets - Inventories</t>
  </si>
  <si>
    <t>Current ratio</t>
  </si>
  <si>
    <t>Acid test</t>
  </si>
  <si>
    <t>Debtors' days</t>
  </si>
  <si>
    <t>Short-term debtors x 365</t>
  </si>
  <si>
    <t>Sales</t>
  </si>
  <si>
    <t>Usable reserves to gross revenue</t>
  </si>
  <si>
    <t>USE</t>
  </si>
  <si>
    <t>Revenue expenditure = The cost or income associated with the day-to-day running of the services and financing costs.</t>
  </si>
  <si>
    <t>Net revenue expenditure</t>
  </si>
  <si>
    <t>Funded with council tax</t>
  </si>
  <si>
    <t>Percentage of revenue expenditure financed with council tax</t>
  </si>
  <si>
    <t>Working Capital to Gross Revenue Expenditure</t>
  </si>
  <si>
    <t>Total usable reserves to revenue expenditure</t>
  </si>
  <si>
    <t>Usable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</si>
</sst>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3" fontId="3" fillId="2" borderId="0" xfId="0" applyNumberFormat="1" applyFont="1" applyFill="1" applyAlignment="1">
      <alignment vertical="top"/>
    </xf>
    <xf numFmtId="3" fontId="3" fillId="2" borderId="1" xfId="0" applyNumberFormat="1" applyFont="1" applyFill="1" applyBorder="1" applyAlignment="1">
      <alignment horizontal="center" vertical="top"/>
    </xf>
    <xf numFmtId="3" fontId="3" fillId="2" borderId="2" xfId="0" applyNumberFormat="1" applyFont="1" applyFill="1" applyBorder="1" applyAlignment="1">
      <alignment horizontal="center" vertical="top"/>
    </xf>
    <xf numFmtId="0" fontId="4" fillId="3" borderId="0" xfId="0" applyFont="1" applyFill="1" applyAlignment="1">
      <alignment vertical="top"/>
    </xf>
    <xf numFmtId="2" fontId="4" fillId="3" borderId="0" xfId="0" applyNumberFormat="1" applyFont="1" applyFill="1" applyAlignment="1">
      <alignment horizontal="right" vertical="top" indent="1"/>
    </xf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3" fontId="0" fillId="0" borderId="0" xfId="0" applyNumberFormat="1"/>
    <xf numFmtId="10" fontId="4" fillId="3" borderId="0" xfId="0" applyNumberFormat="1" applyFont="1" applyFill="1" applyAlignment="1">
      <alignment horizontal="right" vertical="top" indent="1"/>
    </xf>
    <xf numFmtId="10" fontId="4" fillId="3" borderId="0" xfId="0" applyNumberFormat="1" applyFont="1" applyFill="1" applyAlignment="1">
      <alignment vertical="top"/>
    </xf>
    <xf numFmtId="0" fontId="1" fillId="3" borderId="0" xfId="0" quotePrefix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defaultRowHeight="14.6" x14ac:dyDescent="0.4"/>
  <cols>
    <col min="2" max="2" width="20.3046875" customWidth="1"/>
    <col min="3" max="3" width="2.69140625" customWidth="1"/>
    <col min="4" max="4" width="18.3828125" customWidth="1"/>
    <col min="5" max="5" width="2.69140625" customWidth="1"/>
    <col min="6" max="6" width="18.3828125" customWidth="1"/>
    <col min="7" max="7" width="2.69140625" customWidth="1"/>
    <col min="9" max="9" width="9.23046875" customWidth="1"/>
  </cols>
  <sheetData>
    <row r="1" spans="1:7" x14ac:dyDescent="0.4">
      <c r="A1" s="1"/>
      <c r="B1" s="5"/>
      <c r="C1" s="5"/>
      <c r="D1" s="5"/>
      <c r="E1" s="5"/>
      <c r="F1" s="5"/>
      <c r="G1" s="1"/>
    </row>
    <row r="2" spans="1:7" x14ac:dyDescent="0.4">
      <c r="A2" s="1"/>
      <c r="B2" s="12" t="s">
        <v>5</v>
      </c>
      <c r="C2" s="13"/>
      <c r="D2" s="13"/>
      <c r="E2" s="13"/>
      <c r="F2" s="13"/>
      <c r="G2" s="1"/>
    </row>
    <row r="3" spans="1:7" x14ac:dyDescent="0.4">
      <c r="A3" s="1"/>
      <c r="B3" s="2"/>
      <c r="C3" s="2"/>
      <c r="D3" s="3" t="s">
        <v>2</v>
      </c>
      <c r="E3" s="3"/>
      <c r="F3" s="3" t="s">
        <v>3</v>
      </c>
      <c r="G3" s="1"/>
    </row>
    <row r="4" spans="1:7" x14ac:dyDescent="0.4">
      <c r="A4" s="1"/>
      <c r="B4" s="4" t="s">
        <v>0</v>
      </c>
      <c r="C4" s="5"/>
      <c r="D4" s="8">
        <v>74907</v>
      </c>
      <c r="E4" s="7"/>
      <c r="F4" s="8">
        <v>89310</v>
      </c>
      <c r="G4" s="1"/>
    </row>
    <row r="5" spans="1:7" x14ac:dyDescent="0.4">
      <c r="A5" s="1"/>
      <c r="B5" s="6" t="s">
        <v>1</v>
      </c>
      <c r="C5" s="5"/>
      <c r="D5" s="9">
        <v>140506</v>
      </c>
      <c r="E5" s="7"/>
      <c r="F5" s="9">
        <v>154965</v>
      </c>
      <c r="G5" s="1"/>
    </row>
    <row r="6" spans="1:7" x14ac:dyDescent="0.4">
      <c r="A6" s="1"/>
      <c r="B6" s="5"/>
      <c r="C6" s="5"/>
      <c r="D6" s="5"/>
      <c r="E6" s="5"/>
      <c r="F6" s="5"/>
      <c r="G6" s="1"/>
    </row>
    <row r="7" spans="1:7" x14ac:dyDescent="0.4">
      <c r="A7" s="1"/>
      <c r="B7" s="10"/>
      <c r="C7" s="10"/>
      <c r="D7" s="11">
        <f>IFERROR(D4/D5, "Check")</f>
        <v>0.53312314064879796</v>
      </c>
      <c r="E7" s="10"/>
      <c r="F7" s="11">
        <f>IFERROR(F4/F5, "Check")</f>
        <v>0.5763236859936115</v>
      </c>
      <c r="G7" s="1"/>
    </row>
    <row r="8" spans="1:7" x14ac:dyDescent="0.4">
      <c r="A8" s="1"/>
      <c r="B8" s="5"/>
      <c r="C8" s="5"/>
      <c r="D8" s="5"/>
      <c r="E8" s="5"/>
      <c r="F8" s="5"/>
      <c r="G8" s="1"/>
    </row>
    <row r="9" spans="1:7" x14ac:dyDescent="0.4">
      <c r="A9" s="1"/>
      <c r="B9" s="12" t="s">
        <v>6</v>
      </c>
      <c r="C9" s="13"/>
      <c r="D9" s="13"/>
      <c r="E9" s="13"/>
      <c r="F9" s="13"/>
      <c r="G9" s="1"/>
    </row>
    <row r="10" spans="1:7" x14ac:dyDescent="0.4">
      <c r="A10" s="1"/>
      <c r="B10" s="2"/>
      <c r="C10" s="2"/>
      <c r="D10" s="3" t="s">
        <v>2</v>
      </c>
      <c r="E10" s="3"/>
      <c r="F10" s="3" t="s">
        <v>3</v>
      </c>
      <c r="G10" s="1"/>
    </row>
    <row r="11" spans="1:7" x14ac:dyDescent="0.4">
      <c r="A11" s="1"/>
      <c r="B11" s="4" t="s">
        <v>4</v>
      </c>
      <c r="C11" s="5"/>
      <c r="D11" s="8">
        <f>74907-669</f>
        <v>74238</v>
      </c>
      <c r="E11" s="7"/>
      <c r="F11" s="8">
        <f>89310-861</f>
        <v>88449</v>
      </c>
      <c r="G11" s="1"/>
    </row>
    <row r="12" spans="1:7" x14ac:dyDescent="0.4">
      <c r="A12" s="1"/>
      <c r="B12" s="6" t="s">
        <v>1</v>
      </c>
      <c r="C12" s="5"/>
      <c r="D12" s="9">
        <v>140506</v>
      </c>
      <c r="E12" s="7"/>
      <c r="F12" s="9">
        <v>154965</v>
      </c>
      <c r="G12" s="1"/>
    </row>
    <row r="13" spans="1:7" x14ac:dyDescent="0.4">
      <c r="A13" s="1"/>
      <c r="B13" s="5"/>
      <c r="C13" s="5"/>
      <c r="D13" s="5"/>
      <c r="E13" s="5"/>
      <c r="F13" s="5"/>
      <c r="G13" s="1"/>
    </row>
    <row r="14" spans="1:7" x14ac:dyDescent="0.4">
      <c r="A14" s="1"/>
      <c r="B14" s="10"/>
      <c r="C14" s="10"/>
      <c r="D14" s="11">
        <f>D11/D12</f>
        <v>0.52836177814470553</v>
      </c>
      <c r="E14" s="10"/>
      <c r="F14" s="11">
        <f>F11/F12</f>
        <v>0.57076759268221855</v>
      </c>
      <c r="G14" s="1"/>
    </row>
    <row r="15" spans="1:7" x14ac:dyDescent="0.4">
      <c r="A15" s="1"/>
      <c r="B15" s="5"/>
      <c r="C15" s="5"/>
      <c r="D15" s="5"/>
      <c r="E15" s="5"/>
      <c r="F15" s="5"/>
      <c r="G15" s="1"/>
    </row>
    <row r="16" spans="1:7" x14ac:dyDescent="0.4">
      <c r="A16" s="1"/>
      <c r="B16" s="12" t="s">
        <v>7</v>
      </c>
      <c r="C16" s="13"/>
      <c r="D16" s="13"/>
      <c r="E16" s="13"/>
      <c r="F16" s="13"/>
      <c r="G16" s="1"/>
    </row>
    <row r="17" spans="1:10" x14ac:dyDescent="0.4">
      <c r="A17" s="1"/>
      <c r="B17" s="2"/>
      <c r="C17" s="2"/>
      <c r="D17" s="3" t="s">
        <v>2</v>
      </c>
      <c r="E17" s="3"/>
      <c r="F17" s="3" t="s">
        <v>3</v>
      </c>
      <c r="G17" s="1"/>
      <c r="I17" t="s">
        <v>11</v>
      </c>
      <c r="J17" s="14" t="s">
        <v>10</v>
      </c>
    </row>
    <row r="18" spans="1:10" x14ac:dyDescent="0.4">
      <c r="A18" s="1"/>
      <c r="B18" s="4" t="s">
        <v>8</v>
      </c>
      <c r="C18" s="5"/>
      <c r="D18" s="8">
        <f>40786*365</f>
        <v>14886890</v>
      </c>
      <c r="E18" s="7"/>
      <c r="F18" s="8">
        <f>49083*365</f>
        <v>17915295</v>
      </c>
      <c r="G18" s="1"/>
    </row>
    <row r="19" spans="1:10" x14ac:dyDescent="0.4">
      <c r="A19" s="1"/>
      <c r="B19" s="6" t="s">
        <v>9</v>
      </c>
      <c r="C19" s="5"/>
      <c r="D19" s="9"/>
      <c r="E19" s="7"/>
      <c r="F19" s="9"/>
      <c r="G19" s="1"/>
    </row>
    <row r="20" spans="1:10" x14ac:dyDescent="0.4">
      <c r="A20" s="1"/>
      <c r="B20" s="5"/>
      <c r="C20" s="5"/>
      <c r="D20" s="5"/>
      <c r="E20" s="5"/>
      <c r="F20" s="5"/>
      <c r="G20" s="1"/>
    </row>
    <row r="21" spans="1:10" x14ac:dyDescent="0.4">
      <c r="A21" s="1"/>
      <c r="B21" s="10"/>
      <c r="C21" s="10"/>
      <c r="D21" s="11" t="str">
        <f>IFERROR(D18/D19, "Check")</f>
        <v>Check</v>
      </c>
      <c r="E21" s="10"/>
      <c r="F21" s="11" t="str">
        <f>IFERROR(F18/F19, "Check")</f>
        <v>Check</v>
      </c>
      <c r="G21" s="1"/>
    </row>
    <row r="22" spans="1:10" x14ac:dyDescent="0.4">
      <c r="A22" s="1"/>
      <c r="B22" s="5"/>
      <c r="C22" s="5"/>
      <c r="D22" s="5"/>
      <c r="E22" s="5"/>
      <c r="F22" s="5"/>
      <c r="G22" s="1"/>
    </row>
    <row r="23" spans="1:10" x14ac:dyDescent="0.4">
      <c r="A23" s="1"/>
      <c r="B23" s="12" t="s">
        <v>15</v>
      </c>
      <c r="C23" s="13"/>
      <c r="D23" s="13"/>
      <c r="E23" s="13"/>
      <c r="F23" s="13"/>
      <c r="G23" s="1"/>
    </row>
    <row r="24" spans="1:10" x14ac:dyDescent="0.4">
      <c r="A24" s="1"/>
      <c r="B24" s="2"/>
      <c r="C24" s="2"/>
      <c r="D24" s="3" t="s">
        <v>2</v>
      </c>
      <c r="E24" s="3"/>
      <c r="F24" s="3" t="s">
        <v>3</v>
      </c>
      <c r="G24" s="1"/>
    </row>
    <row r="25" spans="1:10" x14ac:dyDescent="0.4">
      <c r="A25" s="1"/>
      <c r="B25" s="4" t="s">
        <v>13</v>
      </c>
      <c r="C25" s="5"/>
      <c r="D25" s="8">
        <v>182654.6</v>
      </c>
      <c r="E25" s="7"/>
      <c r="F25" s="8">
        <v>190411.45</v>
      </c>
      <c r="G25" s="1"/>
      <c r="I25" t="s">
        <v>12</v>
      </c>
    </row>
    <row r="26" spans="1:10" x14ac:dyDescent="0.4">
      <c r="A26" s="1"/>
      <c r="B26" s="6" t="s">
        <v>14</v>
      </c>
      <c r="C26" s="5"/>
      <c r="D26" s="9">
        <v>88480.17</v>
      </c>
      <c r="E26" s="7"/>
      <c r="F26" s="9">
        <v>81010.899999999994</v>
      </c>
      <c r="G26" s="1"/>
    </row>
    <row r="27" spans="1:10" x14ac:dyDescent="0.4">
      <c r="A27" s="1"/>
      <c r="B27" s="5"/>
      <c r="C27" s="5"/>
      <c r="D27" s="5"/>
      <c r="E27" s="5"/>
      <c r="F27" s="5"/>
      <c r="G27" s="1"/>
    </row>
    <row r="28" spans="1:10" x14ac:dyDescent="0.4">
      <c r="B28" s="10"/>
      <c r="C28" s="10"/>
      <c r="D28" s="15">
        <f>IFERROR(D26/D25,"Check")</f>
        <v>0.48441249221207677</v>
      </c>
      <c r="E28" s="16"/>
      <c r="F28" s="15">
        <f>IFERROR(F26/F25, "Check")</f>
        <v>0.42545183075912707</v>
      </c>
    </row>
    <row r="30" spans="1:10" x14ac:dyDescent="0.4">
      <c r="B30" s="17" t="s">
        <v>17</v>
      </c>
      <c r="C30" s="13"/>
      <c r="D30" s="13"/>
      <c r="E30" s="13"/>
      <c r="F30" s="13"/>
      <c r="I30" t="s">
        <v>16</v>
      </c>
    </row>
    <row r="31" spans="1:10" x14ac:dyDescent="0.4">
      <c r="B31" s="2"/>
      <c r="C31" s="2"/>
      <c r="D31" s="3" t="s">
        <v>2</v>
      </c>
      <c r="E31" s="3"/>
      <c r="F31" s="3" t="s">
        <v>3</v>
      </c>
    </row>
    <row r="32" spans="1:10" x14ac:dyDescent="0.4">
      <c r="B32" s="4" t="s">
        <v>18</v>
      </c>
      <c r="C32" s="5"/>
      <c r="D32" s="8">
        <v>127523</v>
      </c>
      <c r="E32" s="7"/>
      <c r="F32" s="8">
        <v>146278</v>
      </c>
    </row>
    <row r="33" spans="2:6" x14ac:dyDescent="0.4">
      <c r="B33" s="6" t="s">
        <v>13</v>
      </c>
      <c r="C33" s="5"/>
      <c r="D33" s="9">
        <f>D25</f>
        <v>182654.6</v>
      </c>
      <c r="E33" s="7"/>
      <c r="F33" s="9">
        <f>F25</f>
        <v>190411.45</v>
      </c>
    </row>
    <row r="34" spans="2:6" x14ac:dyDescent="0.4">
      <c r="B34" s="5"/>
      <c r="C34" s="5"/>
      <c r="D34" s="5"/>
      <c r="E34" s="5"/>
      <c r="F34" s="5"/>
    </row>
    <row r="35" spans="2:6" x14ac:dyDescent="0.4">
      <c r="B35" s="10"/>
      <c r="C35" s="10"/>
      <c r="D35" s="11">
        <f>(IFERROR(D32/D33,"Check"))</f>
        <v>0.69816473277979307</v>
      </c>
      <c r="E35" s="10"/>
      <c r="F35" s="11">
        <f>(IFERROR(F32/F33,"Check"))</f>
        <v>0.7682206085820994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Veera S</cp:lastModifiedBy>
  <dcterms:created xsi:type="dcterms:W3CDTF">2018-07-31T12:45:11Z</dcterms:created>
  <dcterms:modified xsi:type="dcterms:W3CDTF">2025-09-10T10:57:06Z</dcterms:modified>
</cp:coreProperties>
</file>