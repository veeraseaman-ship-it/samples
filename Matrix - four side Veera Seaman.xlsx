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OMISTAJA\Documents\Portfolio\"/>
    </mc:Choice>
  </mc:AlternateContent>
  <xr:revisionPtr revIDLastSave="0" documentId="13_ncr:1_{85F854F3-92BB-4B9C-90B5-409B497B392F}" xr6:coauthVersionLast="47" xr6:coauthVersionMax="47" xr10:uidLastSave="{00000000-0000-0000-0000-000000000000}"/>
  <bookViews>
    <workbookView xWindow="-103" yWindow="-103" windowWidth="16663" windowHeight="9463" activeTab="1" xr2:uid="{00000000-000D-0000-FFFF-FFFF00000000}"/>
  </bookViews>
  <sheets>
    <sheet name="Scoring" sheetId="1" r:id="rId1"/>
    <sheet name="Matrix" sheetId="2" r:id="rId2"/>
    <sheet name="Lists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2" l="1"/>
  <c r="D6" i="2"/>
  <c r="D5" i="2"/>
  <c r="D4" i="2"/>
  <c r="J10" i="2" s="1"/>
  <c r="J12" i="2" l="1"/>
  <c r="D12" i="2" s="1"/>
  <c r="J11" i="2"/>
  <c r="C13" i="2"/>
  <c r="J13" i="2"/>
  <c r="E12" i="2" l="1"/>
  <c r="E13" i="2"/>
  <c r="J3" i="2"/>
  <c r="D14" i="2"/>
  <c r="C12" i="2"/>
  <c r="E14" i="2"/>
  <c r="C14" i="2"/>
</calcChain>
</file>

<file path=xl/sharedStrings.xml><?xml version="1.0" encoding="utf-8"?>
<sst xmlns="http://schemas.openxmlformats.org/spreadsheetml/2006/main" count="99" uniqueCount="44">
  <si>
    <t>Low</t>
  </si>
  <si>
    <t>Medium</t>
  </si>
  <si>
    <t>High</t>
  </si>
  <si>
    <t>Frequency</t>
  </si>
  <si>
    <t>Probability</t>
  </si>
  <si>
    <t>Quantity</t>
  </si>
  <si>
    <t>Impact</t>
  </si>
  <si>
    <t>Issue</t>
  </si>
  <si>
    <t>#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</si>
  <si>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</si>
  <si>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</si>
  <si>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</si>
  <si>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</si>
  <si>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</si>
  <si>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</si>
  <si>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</si>
  <si>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</si>
  <si>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</si>
  <si>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</si>
  <si>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</si>
  <si>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</si>
  <si>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</si>
  <si>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</si>
  <si>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</si>
  <si>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Deficiency risk</t>
  </si>
  <si>
    <t>Cost of mitigation</t>
  </si>
  <si>
    <t>Cost of deficiency score</t>
  </si>
  <si>
    <t>Cost of mitigation score</t>
  </si>
  <si>
    <t>1. Select risk from list:</t>
  </si>
  <si>
    <t xml:space="preserve">2. Select score type: </t>
  </si>
  <si>
    <t>(Go to Scoring to amend)</t>
  </si>
  <si>
    <t xml:space="preserve">Values set for this indicator: </t>
  </si>
  <si>
    <t>Issue 2</t>
  </si>
  <si>
    <t>Issue 3</t>
  </si>
  <si>
    <t>Issue 1</t>
  </si>
  <si>
    <t>Issue 44</t>
  </si>
  <si>
    <t>Final score</t>
  </si>
  <si>
    <t>Cost of mitigation: Frequency</t>
  </si>
  <si>
    <t>Cost of mitigation: Quantity</t>
  </si>
  <si>
    <t>Cost of deficiency: Impact</t>
  </si>
  <si>
    <t>Cost of deficiency: Probability</t>
  </si>
  <si>
    <t>Issue 55</t>
  </si>
  <si>
    <r>
      <t>Add your risks on the list below, then add Impact, Probability, Frequency and Quantity risks. 
Investigate each risk in</t>
    </r>
    <r>
      <rPr>
        <b/>
        <sz val="11"/>
        <color rgb="FFC00000"/>
        <rFont val="Calibri"/>
        <family val="2"/>
        <scheme val="minor"/>
      </rPr>
      <t xml:space="preserve"> Matrix tab </t>
    </r>
    <r>
      <rPr>
        <sz val="11"/>
        <color theme="1"/>
        <rFont val="Calibri"/>
        <family val="2"/>
        <scheme val="minor"/>
      </rPr>
      <t xml:space="preserve">in more detail. 
</t>
    </r>
  </si>
  <si>
    <t>Copyright Veera Seaman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</si>
</sst>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8"/>
      <color theme="10"/>
      <name val="Calibri"/>
      <family val="2"/>
      <scheme val="minor"/>
    </font>
    <font>
      <sz val="7"/>
      <color theme="1"/>
      <name val="Calibri"/>
      <family val="2"/>
      <scheme val="minor"/>
    </font>
    <font>
      <i/>
      <sz val="7"/>
      <color theme="1"/>
      <name val="Calibri"/>
      <family val="2"/>
      <scheme val="minor"/>
    </font>
    <font>
      <b/>
      <sz val="9"/>
      <color theme="3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0.14996795556505021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theme="0" tint="-0.499984740745262"/>
      </right>
      <top style="thin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auto="1"/>
      </right>
      <top style="thin">
        <color auto="1"/>
      </top>
      <bottom style="thin">
        <color theme="0" tint="-0.499984740745262"/>
      </bottom>
      <diagonal/>
    </border>
    <border>
      <left style="thin">
        <color auto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theme="0" tint="-0.499984740745262"/>
      </right>
      <top style="thin">
        <color theme="0" tint="-0.499984740745262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auto="1"/>
      </bottom>
      <diagonal/>
    </border>
    <border>
      <left style="thin">
        <color theme="0" tint="-0.499984740745262"/>
      </left>
      <right style="thin">
        <color auto="1"/>
      </right>
      <top style="thin">
        <color theme="0" tint="-0.499984740745262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63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 vertical="center" textRotation="90"/>
    </xf>
    <xf numFmtId="0" fontId="4" fillId="2" borderId="0" xfId="0" applyFont="1" applyFill="1" applyAlignment="1">
      <alignment horizontal="left" vertical="center" textRotation="180"/>
    </xf>
    <xf numFmtId="0" fontId="4" fillId="2" borderId="0" xfId="0" applyFont="1" applyFill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8" fillId="2" borderId="0" xfId="0" applyFont="1" applyFill="1"/>
    <xf numFmtId="0" fontId="0" fillId="2" borderId="0" xfId="0" applyFill="1" applyAlignment="1">
      <alignment horizontal="left" vertical="center" indent="2"/>
    </xf>
    <xf numFmtId="0" fontId="8" fillId="2" borderId="0" xfId="0" applyFont="1" applyFill="1" applyAlignment="1">
      <alignment horizontal="right" vertical="center" indent="1"/>
    </xf>
    <xf numFmtId="0" fontId="8" fillId="2" borderId="13" xfId="0" applyFont="1" applyFill="1" applyBorder="1" applyAlignment="1">
      <alignment vertical="center"/>
    </xf>
    <xf numFmtId="0" fontId="4" fillId="2" borderId="20" xfId="0" applyFont="1" applyFill="1" applyBorder="1" applyAlignment="1">
      <alignment horizontal="right" vertical="center" indent="1"/>
    </xf>
    <xf numFmtId="0" fontId="10" fillId="2" borderId="0" xfId="0" applyFont="1" applyFill="1" applyBorder="1" applyAlignment="1">
      <alignment vertical="top" wrapText="1"/>
    </xf>
    <xf numFmtId="0" fontId="9" fillId="2" borderId="0" xfId="0" applyFont="1" applyFill="1" applyBorder="1"/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6" fillId="2" borderId="0" xfId="0" applyFont="1" applyFill="1"/>
    <xf numFmtId="0" fontId="0" fillId="2" borderId="0" xfId="0" applyFill="1" applyProtection="1">
      <protection locked="0"/>
    </xf>
    <xf numFmtId="0" fontId="0" fillId="2" borderId="0" xfId="0" applyFill="1" applyBorder="1" applyAlignment="1">
      <alignment horizontal="center" vertical="center"/>
    </xf>
    <xf numFmtId="0" fontId="13" fillId="2" borderId="0" xfId="1" applyFont="1" applyFill="1" applyAlignment="1" applyProtection="1">
      <alignment horizontal="right" indent="1"/>
      <protection locked="0"/>
    </xf>
    <xf numFmtId="0" fontId="15" fillId="2" borderId="0" xfId="0" applyFont="1" applyFill="1" applyAlignment="1">
      <alignment horizontal="right" vertical="top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Protection="1">
      <protection locked="0"/>
    </xf>
    <xf numFmtId="0" fontId="16" fillId="2" borderId="5" xfId="0" applyFont="1" applyFill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horizontal="center" vertical="center"/>
      <protection locked="0"/>
    </xf>
    <xf numFmtId="0" fontId="8" fillId="2" borderId="5" xfId="0" applyFont="1" applyFill="1" applyBorder="1" applyProtection="1">
      <protection locked="0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7" fillId="2" borderId="18" xfId="0" applyFont="1" applyFill="1" applyBorder="1" applyAlignment="1" applyProtection="1">
      <alignment horizontal="center" vertical="center" wrapText="1"/>
      <protection locked="0"/>
    </xf>
    <xf numFmtId="0" fontId="7" fillId="2" borderId="19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textRotation="90"/>
    </xf>
    <xf numFmtId="0" fontId="1" fillId="2" borderId="0" xfId="0" applyFont="1" applyFill="1" applyAlignment="1">
      <alignment horizontal="center" vertical="center" textRotation="180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4" fillId="8" borderId="21" xfId="0" applyFont="1" applyFill="1" applyBorder="1" applyAlignment="1" applyProtection="1">
      <alignment horizontal="center" vertical="center" wrapText="1"/>
      <protection locked="0"/>
    </xf>
    <xf numFmtId="0" fontId="4" fillId="8" borderId="22" xfId="0" applyFont="1" applyFill="1" applyBorder="1" applyAlignment="1" applyProtection="1">
      <alignment horizontal="center" vertical="center" wrapText="1"/>
      <protection locked="0"/>
    </xf>
    <xf numFmtId="0" fontId="11" fillId="2" borderId="13" xfId="0" applyFont="1" applyFill="1" applyBorder="1" applyAlignment="1">
      <alignment horizontal="center" vertical="center" textRotation="180"/>
    </xf>
    <xf numFmtId="0" fontId="11" fillId="2" borderId="11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right" vertical="center" textRotation="90"/>
    </xf>
    <xf numFmtId="0" fontId="8" fillId="2" borderId="0" xfId="0" applyFont="1" applyFill="1" applyAlignment="1">
      <alignment horizontal="right" vertical="center" wrapText="1" indent="1"/>
    </xf>
    <xf numFmtId="0" fontId="8" fillId="2" borderId="14" xfId="0" applyFont="1" applyFill="1" applyBorder="1" applyAlignment="1">
      <alignment horizontal="right" vertical="center" wrapText="1" indent="1"/>
    </xf>
    <xf numFmtId="0" fontId="4" fillId="8" borderId="23" xfId="0" applyFont="1" applyFill="1" applyBorder="1" applyAlignment="1" applyProtection="1">
      <alignment horizontal="center" vertical="center" wrapText="1"/>
      <protection locked="0"/>
    </xf>
    <xf numFmtId="0" fontId="14" fillId="2" borderId="0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5"/>
      </font>
      <fill>
        <patternFill>
          <bgColor theme="5"/>
        </patternFill>
      </fill>
    </dxf>
    <dxf>
      <font>
        <color theme="0"/>
      </font>
    </dxf>
  </dxfs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5.7013694509850579E-3"/>
          <c:w val="1"/>
          <c:h val="0.99429856354712221"/>
        </c:manualLayout>
      </c:layout>
      <c:barChart>
        <c:barDir val="col"/>
        <c:grouping val="stacked"/>
        <c:varyColors val="0"/>
        <c:ser>
          <c:idx val="0"/>
          <c:order val="0"/>
          <c:spPr>
            <a:noFill/>
            <a:ln>
              <a:solidFill>
                <a:schemeClr val="tx2"/>
              </a:solidFill>
            </a:ln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8ED8522-BB9C-49CD-82B4-DB2DEB0B8BEA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136-4D25-8E2D-A7D52692DBB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AFAFC67-23A2-4D33-A7C8-365112F5D10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136-4D25-8E2D-A7D52692DBB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B3EA61E-71BD-4687-BC41-123C469E74B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136-4D25-8E2D-A7D52692DBB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Lists!$G$2:$G$4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Scoring!$D$7:$F$7</c15:f>
                <c15:dlblRangeCache>
                  <c:ptCount val="3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4136-4D25-8E2D-A7D52692DBBD}"/>
            </c:ext>
          </c:extLst>
        </c:ser>
        <c:ser>
          <c:idx val="1"/>
          <c:order val="1"/>
          <c:spPr>
            <a:noFill/>
            <a:ln>
              <a:solidFill>
                <a:schemeClr val="tx2"/>
              </a:solidFill>
            </a:ln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CB72B31-4D27-4D49-930F-C917BD4C4E92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136-4D25-8E2D-A7D52692DBB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98B4160-4084-4212-AADC-41E1FEC2D71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136-4D25-8E2D-A7D52692DBB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97DFDB8-514A-4E4E-8F70-51320FAC561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136-4D25-8E2D-A7D52692DBB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Lists!$H$2:$H$4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Scoring!$D$6:$F$6</c15:f>
                <c15:dlblRangeCache>
                  <c:ptCount val="3"/>
                  <c:pt idx="0">
                    <c:v>2</c:v>
                  </c:pt>
                  <c:pt idx="1">
                    <c:v>3</c:v>
                  </c:pt>
                  <c:pt idx="2">
                    <c:v>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4136-4D25-8E2D-A7D52692DBBD}"/>
            </c:ext>
          </c:extLst>
        </c:ser>
        <c:ser>
          <c:idx val="2"/>
          <c:order val="2"/>
          <c:spPr>
            <a:noFill/>
            <a:ln>
              <a:solidFill>
                <a:schemeClr val="tx2"/>
              </a:solidFill>
            </a:ln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8E9AC41-771C-4CD9-8B43-0E049490034B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136-4D25-8E2D-A7D52692DBB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BEC5FC9-92D4-4EB2-9325-6268313E6E8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136-4D25-8E2D-A7D52692DBB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6C9F169-F834-412C-A6A0-9FC8DF499A6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136-4D25-8E2D-A7D52692DBB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Lists!$I$2:$I$4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Scoring!$D$5:$F$5</c15:f>
                <c15:dlblRangeCache>
                  <c:ptCount val="3"/>
                  <c:pt idx="0">
                    <c:v>3</c:v>
                  </c:pt>
                  <c:pt idx="1">
                    <c:v>4</c:v>
                  </c:pt>
                  <c:pt idx="2">
                    <c:v>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4136-4D25-8E2D-A7D52692D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25822848"/>
        <c:axId val="169913824"/>
      </c:barChart>
      <c:catAx>
        <c:axId val="325822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913824"/>
        <c:crosses val="autoZero"/>
        <c:auto val="1"/>
        <c:lblAlgn val="ctr"/>
        <c:lblOffset val="100"/>
        <c:noMultiLvlLbl val="0"/>
      </c:catAx>
      <c:valAx>
        <c:axId val="169913824"/>
        <c:scaling>
          <c:orientation val="minMax"/>
          <c:max val="3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258228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561677</xdr:colOff>
      <xdr:row>2</xdr:row>
      <xdr:rowOff>110870</xdr:rowOff>
    </xdr:from>
    <xdr:to>
      <xdr:col>8</xdr:col>
      <xdr:colOff>487798</xdr:colOff>
      <xdr:row>8</xdr:row>
      <xdr:rowOff>80994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561677" y="336360"/>
          <a:ext cx="3774998" cy="2271675"/>
          <a:chOff x="656927" y="339470"/>
          <a:chExt cx="3526571" cy="2256124"/>
        </a:xfrm>
      </xdr:grpSpPr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 txBox="1"/>
        </xdr:nvSpPr>
        <xdr:spPr>
          <a:xfrm>
            <a:off x="656927" y="2235594"/>
            <a:ext cx="792000" cy="360000"/>
          </a:xfrm>
          <a:prstGeom prst="rect">
            <a:avLst/>
          </a:prstGeom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  <a:tileRect/>
          </a:gradFill>
          <a:ln w="9525" cmpd="sng">
            <a:solidFill>
              <a:schemeClr val="tx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lIns="36000" tIns="36000" rIns="36000" bIns="36000" rtlCol="0" anchor="ctr">
            <a:noAutofit/>
          </a:bodyPr>
          <a:lstStyle/>
          <a:p>
            <a:pPr algn="ctr"/>
            <a:r>
              <a:rPr lang="en-GB" sz="800" i="1"/>
              <a:t>Deficiency risk score</a:t>
            </a:r>
          </a:p>
        </xdr:txBody>
      </xdr:sp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/>
        </xdr:nvSpPr>
        <xdr:spPr>
          <a:xfrm>
            <a:off x="3391498" y="339470"/>
            <a:ext cx="792000" cy="360000"/>
          </a:xfrm>
          <a:prstGeom prst="rect">
            <a:avLst/>
          </a:prstGeom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  <a:tileRect/>
          </a:gradFill>
          <a:ln w="9525" cmpd="sng">
            <a:solidFill>
              <a:schemeClr val="tx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36000" rIns="36000" bIns="36000" rtlCol="0" anchor="ctr">
            <a:noAutofit/>
          </a:bodyPr>
          <a:lstStyle/>
          <a:p>
            <a:pPr algn="ctr"/>
            <a:r>
              <a:rPr lang="en-GB" sz="800" i="1"/>
              <a:t>Mitigation cost score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12806</xdr:colOff>
      <xdr:row>10</xdr:row>
      <xdr:rowOff>177362</xdr:rowOff>
    </xdr:from>
    <xdr:to>
      <xdr:col>5</xdr:col>
      <xdr:colOff>1</xdr:colOff>
      <xdr:row>14</xdr:row>
      <xdr:rowOff>6568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zoomScale="70" zoomScaleNormal="70" workbookViewId="0">
      <selection activeCell="L10" sqref="L10"/>
    </sheetView>
  </sheetViews>
  <sheetFormatPr defaultRowHeight="14.6" x14ac:dyDescent="0.4"/>
  <cols>
    <col min="1" max="1" width="15.69140625" customWidth="1"/>
    <col min="2" max="3" width="2.69140625" customWidth="1"/>
    <col min="7" max="8" width="2.69140625" customWidth="1"/>
    <col min="9" max="9" width="51.15234375" customWidth="1"/>
    <col min="11" max="11" width="9.15234375" customWidth="1"/>
  </cols>
  <sheetData>
    <row r="1" spans="1:14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" customHeigh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4">
      <c r="A3" s="1"/>
      <c r="B3" s="1"/>
      <c r="C3" s="1"/>
      <c r="D3" s="41" t="s">
        <v>3</v>
      </c>
      <c r="E3" s="41"/>
      <c r="F3" s="41"/>
      <c r="G3" s="1"/>
      <c r="H3" s="1"/>
      <c r="I3" s="1"/>
      <c r="J3" s="1"/>
      <c r="K3" s="1"/>
      <c r="L3" s="1"/>
      <c r="M3" s="1"/>
      <c r="N3" s="1"/>
    </row>
    <row r="4" spans="1:14" ht="15" customHeight="1" x14ac:dyDescent="0.4">
      <c r="A4" s="1"/>
      <c r="B4" s="1"/>
      <c r="C4" s="1"/>
      <c r="D4" s="2" t="s">
        <v>0</v>
      </c>
      <c r="E4" s="2" t="s">
        <v>1</v>
      </c>
      <c r="F4" s="2" t="s">
        <v>2</v>
      </c>
      <c r="G4" s="1"/>
      <c r="H4" s="1"/>
      <c r="I4" s="1"/>
      <c r="J4" s="1"/>
      <c r="K4" s="1"/>
      <c r="L4" s="1"/>
      <c r="M4" s="1"/>
      <c r="N4" s="1"/>
    </row>
    <row r="5" spans="1:14" ht="45" customHeight="1" x14ac:dyDescent="0.4">
      <c r="A5" s="1"/>
      <c r="B5" s="42" t="s">
        <v>6</v>
      </c>
      <c r="C5" s="3" t="s">
        <v>2</v>
      </c>
      <c r="D5" s="6">
        <v>3</v>
      </c>
      <c r="E5" s="7">
        <v>4</v>
      </c>
      <c r="F5" s="8">
        <v>5</v>
      </c>
      <c r="G5" s="4" t="s">
        <v>2</v>
      </c>
      <c r="H5" s="43" t="s">
        <v>5</v>
      </c>
      <c r="I5" s="1"/>
      <c r="J5" s="1"/>
      <c r="K5" s="1"/>
      <c r="L5" s="1"/>
      <c r="M5" s="1"/>
      <c r="N5" s="1"/>
    </row>
    <row r="6" spans="1:14" ht="45" customHeight="1" x14ac:dyDescent="0.4">
      <c r="A6" s="1"/>
      <c r="B6" s="42"/>
      <c r="C6" s="3" t="s">
        <v>1</v>
      </c>
      <c r="D6" s="9">
        <v>2</v>
      </c>
      <c r="E6" s="10">
        <v>3</v>
      </c>
      <c r="F6" s="11">
        <v>4</v>
      </c>
      <c r="G6" s="4" t="s">
        <v>1</v>
      </c>
      <c r="H6" s="43"/>
      <c r="I6" s="1"/>
      <c r="J6" s="1"/>
      <c r="K6" s="1"/>
      <c r="L6" s="1"/>
      <c r="M6" s="1"/>
      <c r="N6" s="1"/>
    </row>
    <row r="7" spans="1:14" ht="45" customHeight="1" x14ac:dyDescent="0.4">
      <c r="A7" s="1"/>
      <c r="B7" s="42"/>
      <c r="C7" s="3" t="s">
        <v>0</v>
      </c>
      <c r="D7" s="12">
        <v>1</v>
      </c>
      <c r="E7" s="13">
        <v>2</v>
      </c>
      <c r="F7" s="14">
        <v>3</v>
      </c>
      <c r="G7" s="4" t="s">
        <v>0</v>
      </c>
      <c r="H7" s="43"/>
      <c r="I7" s="44" t="s">
        <v>42</v>
      </c>
      <c r="J7" s="45"/>
      <c r="K7" s="45"/>
      <c r="L7" s="45"/>
      <c r="M7" s="45"/>
      <c r="N7" s="1"/>
    </row>
    <row r="8" spans="1:14" ht="15" customHeight="1" x14ac:dyDescent="0.4">
      <c r="A8" s="1"/>
      <c r="B8" s="1"/>
      <c r="C8" s="1"/>
      <c r="D8" s="5" t="s">
        <v>0</v>
      </c>
      <c r="E8" s="5" t="s">
        <v>1</v>
      </c>
      <c r="F8" s="5" t="s">
        <v>2</v>
      </c>
      <c r="G8" s="1"/>
      <c r="H8" s="29"/>
      <c r="I8" s="29"/>
      <c r="J8" s="39" t="s">
        <v>24</v>
      </c>
      <c r="K8" s="40"/>
      <c r="L8" s="39" t="s">
        <v>25</v>
      </c>
      <c r="M8" s="40"/>
      <c r="N8" s="1"/>
    </row>
    <row r="9" spans="1:14" ht="15" customHeight="1" x14ac:dyDescent="0.4">
      <c r="A9" s="1"/>
      <c r="B9" s="1"/>
      <c r="C9" s="1"/>
      <c r="D9" s="41" t="s">
        <v>4</v>
      </c>
      <c r="E9" s="41"/>
      <c r="F9" s="41"/>
      <c r="G9" s="1"/>
      <c r="H9" s="33" t="s">
        <v>8</v>
      </c>
      <c r="I9" s="34" t="s">
        <v>7</v>
      </c>
      <c r="J9" s="35" t="s">
        <v>6</v>
      </c>
      <c r="K9" s="35" t="s">
        <v>4</v>
      </c>
      <c r="L9" s="35" t="s">
        <v>3</v>
      </c>
      <c r="M9" s="35" t="s">
        <v>5</v>
      </c>
      <c r="N9" s="1"/>
    </row>
    <row r="10" spans="1:14" ht="15" customHeight="1" x14ac:dyDescent="0.4">
      <c r="A10" s="1"/>
      <c r="B10" s="1"/>
      <c r="C10" s="1"/>
      <c r="D10" s="1"/>
      <c r="E10" s="1"/>
      <c r="F10" s="1"/>
      <c r="G10" s="1"/>
      <c r="H10" s="36" t="s">
        <v>9</v>
      </c>
      <c r="I10" s="37" t="s">
        <v>34</v>
      </c>
      <c r="J10" s="38" t="s">
        <v>0</v>
      </c>
      <c r="K10" s="38" t="s">
        <v>1</v>
      </c>
      <c r="L10" s="38" t="s">
        <v>2</v>
      </c>
      <c r="M10" s="38" t="s">
        <v>2</v>
      </c>
      <c r="N10" s="1"/>
    </row>
    <row r="11" spans="1:14" x14ac:dyDescent="0.4">
      <c r="A11" s="1"/>
      <c r="B11" s="1"/>
      <c r="C11" s="1"/>
      <c r="D11" s="1"/>
      <c r="E11" s="1"/>
      <c r="F11" s="1"/>
      <c r="G11" s="1"/>
      <c r="H11" s="36" t="s">
        <v>10</v>
      </c>
      <c r="I11" s="37" t="s">
        <v>32</v>
      </c>
      <c r="J11" s="38" t="s">
        <v>2</v>
      </c>
      <c r="K11" s="38" t="s">
        <v>2</v>
      </c>
      <c r="L11" s="38" t="s">
        <v>0</v>
      </c>
      <c r="M11" s="38" t="s">
        <v>0</v>
      </c>
      <c r="N11" s="1"/>
    </row>
    <row r="12" spans="1:14" x14ac:dyDescent="0.4">
      <c r="A12" s="1"/>
      <c r="B12" s="1"/>
      <c r="C12" s="1"/>
      <c r="D12" s="1"/>
      <c r="E12" s="1"/>
      <c r="F12" s="1"/>
      <c r="G12" s="1"/>
      <c r="H12" s="36" t="s">
        <v>11</v>
      </c>
      <c r="I12" s="37" t="s">
        <v>33</v>
      </c>
      <c r="J12" s="38" t="s">
        <v>2</v>
      </c>
      <c r="K12" s="38" t="s">
        <v>1</v>
      </c>
      <c r="L12" s="38" t="s">
        <v>1</v>
      </c>
      <c r="M12" s="38" t="s">
        <v>1</v>
      </c>
      <c r="N12" s="1"/>
    </row>
    <row r="13" spans="1:14" x14ac:dyDescent="0.4">
      <c r="A13" s="1"/>
      <c r="B13" s="1"/>
      <c r="C13" s="1"/>
      <c r="D13" s="1"/>
      <c r="E13" s="1"/>
      <c r="F13" s="1"/>
      <c r="G13" s="1"/>
      <c r="H13" s="36" t="s">
        <v>12</v>
      </c>
      <c r="I13" s="37" t="s">
        <v>35</v>
      </c>
      <c r="J13" s="38" t="s">
        <v>1</v>
      </c>
      <c r="K13" s="38" t="s">
        <v>1</v>
      </c>
      <c r="L13" s="38" t="s">
        <v>0</v>
      </c>
      <c r="M13" s="38" t="s">
        <v>1</v>
      </c>
      <c r="N13" s="1"/>
    </row>
    <row r="14" spans="1:14" x14ac:dyDescent="0.4">
      <c r="A14" s="1"/>
      <c r="B14" s="1"/>
      <c r="C14" s="1"/>
      <c r="D14" s="1"/>
      <c r="E14" s="1"/>
      <c r="F14" s="1"/>
      <c r="G14" s="1"/>
      <c r="H14" s="36" t="s">
        <v>13</v>
      </c>
      <c r="I14" s="37" t="s">
        <v>41</v>
      </c>
      <c r="J14" s="38" t="s">
        <v>2</v>
      </c>
      <c r="K14" s="38" t="s">
        <v>0</v>
      </c>
      <c r="L14" s="38" t="s">
        <v>0</v>
      </c>
      <c r="M14" s="38" t="s">
        <v>0</v>
      </c>
      <c r="N14" s="1"/>
    </row>
    <row r="15" spans="1:14" x14ac:dyDescent="0.4">
      <c r="A15" s="1"/>
      <c r="B15" s="1"/>
      <c r="C15" s="1"/>
      <c r="D15" s="1"/>
      <c r="E15" s="1"/>
      <c r="F15" s="1"/>
      <c r="G15" s="1"/>
      <c r="H15" s="36" t="s">
        <v>14</v>
      </c>
      <c r="I15" s="37"/>
      <c r="J15" s="38"/>
      <c r="K15" s="38"/>
      <c r="L15" s="38"/>
      <c r="M15" s="38"/>
      <c r="N15" s="1"/>
    </row>
    <row r="16" spans="1:14" x14ac:dyDescent="0.4">
      <c r="A16" s="1"/>
      <c r="B16" s="1"/>
      <c r="C16" s="1"/>
      <c r="D16" s="1"/>
      <c r="E16" s="1"/>
      <c r="F16" s="1"/>
      <c r="G16" s="1"/>
      <c r="H16" s="36" t="s">
        <v>15</v>
      </c>
      <c r="I16" s="37"/>
      <c r="J16" s="38"/>
      <c r="K16" s="38"/>
      <c r="L16" s="38"/>
      <c r="M16" s="38"/>
      <c r="N16" s="1"/>
    </row>
    <row r="17" spans="1:14" x14ac:dyDescent="0.4">
      <c r="A17" s="1"/>
      <c r="B17" s="1"/>
      <c r="C17" s="1"/>
      <c r="D17" s="1"/>
      <c r="E17" s="1"/>
      <c r="F17" s="1"/>
      <c r="G17" s="1"/>
      <c r="H17" s="36" t="s">
        <v>16</v>
      </c>
      <c r="I17" s="37"/>
      <c r="J17" s="38"/>
      <c r="K17" s="38"/>
      <c r="L17" s="38"/>
      <c r="M17" s="38"/>
      <c r="N17" s="1"/>
    </row>
    <row r="18" spans="1:14" x14ac:dyDescent="0.4">
      <c r="A18" s="1"/>
      <c r="B18" s="1"/>
      <c r="C18" s="1"/>
      <c r="D18" s="1"/>
      <c r="E18" s="1"/>
      <c r="F18" s="1"/>
      <c r="G18" s="1"/>
      <c r="H18" s="36" t="s">
        <v>17</v>
      </c>
      <c r="I18" s="37"/>
      <c r="J18" s="38"/>
      <c r="K18" s="38"/>
      <c r="L18" s="38"/>
      <c r="M18" s="38"/>
      <c r="N18" s="1"/>
    </row>
    <row r="19" spans="1:14" x14ac:dyDescent="0.4">
      <c r="A19" s="1"/>
      <c r="B19" s="1"/>
      <c r="C19" s="1"/>
      <c r="D19" s="1"/>
      <c r="E19" s="1"/>
      <c r="F19" s="1"/>
      <c r="G19" s="1"/>
      <c r="H19" s="36" t="s">
        <v>18</v>
      </c>
      <c r="I19" s="37"/>
      <c r="J19" s="38"/>
      <c r="K19" s="38"/>
      <c r="L19" s="38"/>
      <c r="M19" s="38"/>
      <c r="N19" s="1"/>
    </row>
    <row r="20" spans="1:14" x14ac:dyDescent="0.4">
      <c r="A20" s="1"/>
      <c r="B20" s="1"/>
      <c r="C20" s="1"/>
      <c r="D20" s="1"/>
      <c r="E20" s="1"/>
      <c r="F20" s="1"/>
      <c r="G20" s="1"/>
      <c r="H20" s="36" t="s">
        <v>19</v>
      </c>
      <c r="I20" s="37"/>
      <c r="J20" s="38"/>
      <c r="K20" s="38"/>
      <c r="L20" s="38"/>
      <c r="M20" s="38"/>
      <c r="N20" s="1"/>
    </row>
    <row r="21" spans="1:14" x14ac:dyDescent="0.4">
      <c r="A21" s="1"/>
      <c r="B21" s="1"/>
      <c r="C21" s="1"/>
      <c r="D21" s="1"/>
      <c r="E21" s="1"/>
      <c r="F21" s="1"/>
      <c r="G21" s="1"/>
      <c r="H21" s="36" t="s">
        <v>20</v>
      </c>
      <c r="I21" s="37"/>
      <c r="J21" s="38"/>
      <c r="K21" s="38"/>
      <c r="L21" s="38"/>
      <c r="M21" s="38"/>
      <c r="N21" s="1"/>
    </row>
    <row r="22" spans="1:14" x14ac:dyDescent="0.4">
      <c r="A22" s="1"/>
      <c r="B22" s="1"/>
      <c r="C22" s="1"/>
      <c r="D22" s="1"/>
      <c r="E22" s="1"/>
      <c r="F22" s="1"/>
      <c r="G22" s="1"/>
      <c r="H22" s="36" t="s">
        <v>21</v>
      </c>
      <c r="I22" s="37"/>
      <c r="J22" s="38"/>
      <c r="K22" s="38"/>
      <c r="L22" s="38"/>
      <c r="M22" s="38"/>
      <c r="N22" s="1"/>
    </row>
    <row r="23" spans="1:14" x14ac:dyDescent="0.4">
      <c r="A23" s="1"/>
      <c r="B23" s="1"/>
      <c r="C23" s="1"/>
      <c r="D23" s="1"/>
      <c r="E23" s="1"/>
      <c r="F23" s="1"/>
      <c r="G23" s="1"/>
      <c r="H23" s="36" t="s">
        <v>22</v>
      </c>
      <c r="I23" s="37"/>
      <c r="J23" s="38"/>
      <c r="K23" s="38"/>
      <c r="L23" s="38"/>
      <c r="M23" s="38"/>
      <c r="N23" s="1"/>
    </row>
    <row r="24" spans="1:14" x14ac:dyDescent="0.4">
      <c r="A24" s="1"/>
      <c r="B24" s="1"/>
      <c r="C24" s="1"/>
      <c r="D24" s="1"/>
      <c r="E24" s="1"/>
      <c r="F24" s="1"/>
      <c r="G24" s="1"/>
      <c r="H24" s="36" t="s">
        <v>23</v>
      </c>
      <c r="I24" s="37"/>
      <c r="J24" s="38"/>
      <c r="K24" s="38"/>
      <c r="L24" s="38"/>
      <c r="M24" s="38"/>
      <c r="N24" s="1"/>
    </row>
    <row r="25" spans="1:14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4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4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</sheetData>
  <sheetProtection algorithmName="SHA-512" hashValue="gmVrw41HWvZhOyN3NtCcl8mPiFR7UiC92Qcj9T1F4zSY+cBK6f0wXaFW/zPqS89CTR3hYjjhyqUA79sm8d7AUA==" saltValue="7HE1rBhOTQZLT6zVnuchsw==" spinCount="100000" sheet="1" objects="1" scenarios="1"/>
  <protectedRanges>
    <protectedRange sqref="H8:M24" name="Risk scoring"/>
  </protectedRanges>
  <mergeCells count="7">
    <mergeCell ref="L8:M8"/>
    <mergeCell ref="D3:F3"/>
    <mergeCell ref="B5:B7"/>
    <mergeCell ref="D9:F9"/>
    <mergeCell ref="H5:H7"/>
    <mergeCell ref="J8:K8"/>
    <mergeCell ref="I7:M7"/>
  </mergeCells>
  <dataValidations count="1">
    <dataValidation type="list" allowBlank="1" showInputMessage="1" showErrorMessage="1" sqref="J10:M24" xr:uid="{00000000-0002-0000-0000-000000000000}">
      <formula1>$C$4:$F$4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tabSelected="1" zoomScale="85" zoomScaleNormal="85" workbookViewId="0">
      <selection activeCell="I2" sqref="I2:J2"/>
    </sheetView>
  </sheetViews>
  <sheetFormatPr defaultRowHeight="14.6" x14ac:dyDescent="0.4"/>
  <cols>
    <col min="1" max="1" width="10.53515625" customWidth="1"/>
    <col min="2" max="2" width="8" customWidth="1"/>
    <col min="7" max="7" width="2.69140625" customWidth="1"/>
    <col min="8" max="8" width="16.53515625" customWidth="1"/>
    <col min="10" max="10" width="14.3046875" customWidth="1"/>
  </cols>
  <sheetData>
    <row r="1" spans="1:12" x14ac:dyDescent="0.4">
      <c r="A1" s="1"/>
      <c r="B1" s="1"/>
      <c r="C1" s="1"/>
      <c r="D1" s="1"/>
      <c r="E1" s="1"/>
      <c r="F1" s="1"/>
      <c r="G1" s="1"/>
      <c r="H1" s="1"/>
      <c r="I1" s="1"/>
      <c r="J1" s="32" t="s">
        <v>43</v>
      </c>
      <c r="K1" s="1"/>
    </row>
    <row r="2" spans="1:12" ht="15" customHeight="1" x14ac:dyDescent="0.4">
      <c r="A2" s="16"/>
      <c r="B2" s="17" t="s">
        <v>28</v>
      </c>
      <c r="C2" s="48" t="s">
        <v>35</v>
      </c>
      <c r="D2" s="55"/>
      <c r="E2" s="55"/>
      <c r="F2" s="49"/>
      <c r="G2" s="1"/>
      <c r="H2" s="17" t="s">
        <v>29</v>
      </c>
      <c r="I2" s="48" t="s">
        <v>27</v>
      </c>
      <c r="J2" s="49"/>
      <c r="K2" s="1"/>
    </row>
    <row r="3" spans="1:12" x14ac:dyDescent="0.4">
      <c r="A3" s="1"/>
      <c r="B3" s="1"/>
      <c r="C3" s="1"/>
      <c r="D3" s="20"/>
      <c r="E3" s="20"/>
      <c r="F3" s="20"/>
      <c r="G3" s="1"/>
      <c r="H3" s="1"/>
      <c r="I3" s="15" t="s">
        <v>36</v>
      </c>
      <c r="J3" s="15">
        <f>IF($I$2=Lists!$A$1, (SUM(J10:J11)-1),  (SUM(J12:J13)-1))</f>
        <v>2</v>
      </c>
      <c r="K3" s="1"/>
    </row>
    <row r="4" spans="1:12" x14ac:dyDescent="0.4">
      <c r="A4" s="53" t="s">
        <v>31</v>
      </c>
      <c r="B4" s="54"/>
      <c r="C4" s="19" t="s">
        <v>6</v>
      </c>
      <c r="D4" s="46" t="str">
        <f>IFERROR(IF(ISBLANK(INDEX(Scoring!$H$9:$M$60,MATCH($C$2,Scoring!$I$9:$I$24,0),MATCH($C4,Scoring!$H$9:$M$9,0))), "", (INDEX(Scoring!$H$9:$M$60,MATCH($C$2,Scoring!$I$9:$I$24,0),MATCH($C4,Scoring!$H$9:$M$9,0)))), "-")</f>
        <v>Medium</v>
      </c>
      <c r="E4" s="47"/>
      <c r="F4" s="18"/>
      <c r="G4" s="1"/>
      <c r="H4" s="15"/>
      <c r="I4" s="15"/>
      <c r="J4" s="15"/>
      <c r="K4" s="1"/>
    </row>
    <row r="5" spans="1:12" x14ac:dyDescent="0.4">
      <c r="A5" s="53"/>
      <c r="B5" s="54"/>
      <c r="C5" s="19" t="s">
        <v>4</v>
      </c>
      <c r="D5" s="46" t="str">
        <f>IFERROR(IF(ISBLANK(INDEX(Scoring!$H$9:$M$60,MATCH($C$2,Scoring!$I$9:$I$24,0),MATCH($C5,Scoring!$H$9:$M$9,0))), "", (INDEX(Scoring!$H$9:$M$60,MATCH($C$2,Scoring!$I$9:$I$24,0),MATCH($C5,Scoring!$H$9:$M$9,0)))), "-")</f>
        <v>Medium</v>
      </c>
      <c r="E5" s="47"/>
      <c r="F5" s="18"/>
      <c r="G5" s="1"/>
      <c r="H5" s="15"/>
      <c r="I5" s="1"/>
      <c r="J5" s="1"/>
      <c r="K5" s="1"/>
    </row>
    <row r="6" spans="1:12" x14ac:dyDescent="0.4">
      <c r="A6" s="29"/>
      <c r="B6" s="31" t="s">
        <v>30</v>
      </c>
      <c r="C6" s="19" t="s">
        <v>3</v>
      </c>
      <c r="D6" s="46" t="str">
        <f>IFERROR(IF(ISBLANK(INDEX(Scoring!$H$9:$M$60,MATCH($C$2,Scoring!$I$9:$I$24,0),MATCH($C6,Scoring!$H$9:$M$9,0))), "", (INDEX(Scoring!$H$9:$M$60,MATCH($C$2,Scoring!$I$9:$I$24,0),MATCH($C6,Scoring!$H$9:$M$9,0)))), "-")</f>
        <v>Low</v>
      </c>
      <c r="E6" s="47"/>
      <c r="F6" s="18"/>
      <c r="G6" s="1"/>
      <c r="H6" s="15"/>
      <c r="I6" s="1"/>
      <c r="J6" s="1"/>
      <c r="K6" s="1"/>
    </row>
    <row r="7" spans="1:12" x14ac:dyDescent="0.4">
      <c r="A7" s="1"/>
      <c r="B7" s="1"/>
      <c r="C7" s="19" t="s">
        <v>5</v>
      </c>
      <c r="D7" s="46" t="str">
        <f>IFERROR(IF(ISBLANK(INDEX(Scoring!$H$9:$M$60,MATCH($C$2,Scoring!$I$9:$I$24,0),MATCH($C7,Scoring!$H$9:$M$9,0))), "", (INDEX(Scoring!$H$9:$M$60,MATCH($C$2,Scoring!$I$9:$I$24,0),MATCH($C7,Scoring!$H$9:$M$9,0)))), "-")</f>
        <v>Medium</v>
      </c>
      <c r="E7" s="47"/>
      <c r="F7" s="18"/>
      <c r="G7" s="1"/>
      <c r="H7" s="15"/>
      <c r="I7" s="1"/>
      <c r="J7" s="1"/>
      <c r="K7" s="1"/>
    </row>
    <row r="8" spans="1:12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4">
      <c r="A9" s="1"/>
      <c r="B9" s="1"/>
      <c r="C9" s="62" t="s">
        <v>37</v>
      </c>
      <c r="D9" s="62"/>
      <c r="E9" s="62"/>
      <c r="F9" s="1"/>
      <c r="G9" s="1"/>
      <c r="H9" s="1"/>
      <c r="I9" s="1"/>
      <c r="J9" s="1"/>
      <c r="K9" s="1"/>
      <c r="L9" s="1"/>
    </row>
    <row r="10" spans="1:12" x14ac:dyDescent="0.4">
      <c r="A10" s="1"/>
      <c r="B10" s="26"/>
      <c r="C10" s="60" t="s">
        <v>0</v>
      </c>
      <c r="D10" s="61" t="s">
        <v>1</v>
      </c>
      <c r="E10" s="60" t="s">
        <v>2</v>
      </c>
      <c r="F10" s="27"/>
      <c r="G10" s="1"/>
      <c r="H10" s="1"/>
      <c r="I10" s="21" t="s">
        <v>6</v>
      </c>
      <c r="J10" s="21" t="e">
        <f>IF($I$2=Lists!$A$2, NA(), IF($D$4="Low", 1, IF($D$4="Medium", 2, IF($D$4="High", 3))))</f>
        <v>#N/A</v>
      </c>
      <c r="K10" s="1"/>
      <c r="L10" s="1"/>
    </row>
    <row r="11" spans="1:12" x14ac:dyDescent="0.4">
      <c r="A11" s="1"/>
      <c r="B11" s="22"/>
      <c r="C11" s="56"/>
      <c r="D11" s="58"/>
      <c r="E11" s="56"/>
      <c r="F11" s="23"/>
      <c r="G11" s="1"/>
      <c r="H11" s="1"/>
      <c r="I11" s="21" t="s">
        <v>4</v>
      </c>
      <c r="J11" s="21" t="e">
        <f>IF($I$2=Lists!$A$2, NA(), IF($D$5="Low", 1, IF($D$5="Medium", 2, IF($D$5="High", 3))))</f>
        <v>#N/A</v>
      </c>
      <c r="K11" s="1"/>
      <c r="L11" s="1"/>
    </row>
    <row r="12" spans="1:12" ht="46.5" customHeight="1" x14ac:dyDescent="0.4">
      <c r="A12" s="52" t="s">
        <v>39</v>
      </c>
      <c r="B12" s="22" t="s">
        <v>2</v>
      </c>
      <c r="C12" s="30">
        <f>(IF(I2=Lists!A1,IF(J10=3,3,NA()), IF(I2=Lists!A2, IF(J12=1,1,IF(J12&lt;&gt;1,NA())))))</f>
        <v>1</v>
      </c>
      <c r="D12" s="30" t="e">
        <f>IF(J12=2,2, IF(J12&lt;&gt;2, NA()))</f>
        <v>#N/A</v>
      </c>
      <c r="E12" s="30" t="e">
        <f>IF(J13=3, 3, IF(J12=3,3, IF(J12&lt;&gt;3, NA())))</f>
        <v>#N/A</v>
      </c>
      <c r="F12" s="23" t="s">
        <v>2</v>
      </c>
      <c r="G12" s="50" t="s">
        <v>38</v>
      </c>
      <c r="H12" s="1"/>
      <c r="I12" s="21" t="s">
        <v>3</v>
      </c>
      <c r="J12" s="21">
        <f>IF($I$2=Lists!$A$1, NA(), IF($D$6="Low", 1, IF($D$6="Medium", 2, IF($D$6="High", 3))))</f>
        <v>1</v>
      </c>
      <c r="K12" s="1"/>
      <c r="L12" s="1"/>
    </row>
    <row r="13" spans="1:12" ht="46.5" customHeight="1" x14ac:dyDescent="0.4">
      <c r="A13" s="52"/>
      <c r="B13" s="22" t="s">
        <v>1</v>
      </c>
      <c r="C13" s="30" t="e">
        <f>IF(J10=2, 2, NA())</f>
        <v>#N/A</v>
      </c>
      <c r="D13" s="30"/>
      <c r="E13" s="30">
        <f>IF(J13=2,2, IF(J13&lt;&gt;2, NA()))</f>
        <v>2</v>
      </c>
      <c r="F13" s="23" t="s">
        <v>1</v>
      </c>
      <c r="G13" s="50"/>
      <c r="H13" s="1"/>
      <c r="I13" s="21" t="s">
        <v>5</v>
      </c>
      <c r="J13" s="21">
        <f>IF($I$2=Lists!$A$1, NA(), IF($D$7="Low", 1, IF($D$7="Medium", 2, IF($D$7="High", 3))))</f>
        <v>2</v>
      </c>
      <c r="K13" s="1"/>
      <c r="L13" s="1"/>
    </row>
    <row r="14" spans="1:12" ht="46.5" customHeight="1" x14ac:dyDescent="0.4">
      <c r="A14" s="52"/>
      <c r="B14" s="22" t="s">
        <v>0</v>
      </c>
      <c r="C14" s="30" t="e">
        <f>(IF($I$2=Lists!$A$1,NA(),IF(J11=1,1,IF(ISERROR(J10),-1,IF(J11=1,NA(),IF(J10=1,1,IF(J10&lt;&gt;1,NA())))))))</f>
        <v>#N/A</v>
      </c>
      <c r="D14" s="30" t="e">
        <f>IF(J11=2, 2, IF(J11&lt;&gt;2, NA()))</f>
        <v>#N/A</v>
      </c>
      <c r="E14" s="30" t="e">
        <f>(IF($I$2=Lists!$A$1, IF(J11=3,3,NA()), IF(J13=1,1,IF(J13&lt;&gt;1,NA()))))</f>
        <v>#N/A</v>
      </c>
      <c r="F14" s="23" t="s">
        <v>0</v>
      </c>
      <c r="G14" s="50"/>
      <c r="H14" s="1"/>
      <c r="I14" s="1"/>
      <c r="J14" s="1"/>
      <c r="K14" s="1"/>
      <c r="L14" s="1"/>
    </row>
    <row r="15" spans="1:12" x14ac:dyDescent="0.4">
      <c r="A15" s="1"/>
      <c r="B15" s="22"/>
      <c r="C15" s="56" t="s">
        <v>0</v>
      </c>
      <c r="D15" s="58" t="s">
        <v>1</v>
      </c>
      <c r="E15" s="56" t="s">
        <v>2</v>
      </c>
      <c r="F15" s="23"/>
      <c r="G15" s="1"/>
      <c r="H15" s="1"/>
      <c r="I15" s="1"/>
      <c r="J15" s="1"/>
      <c r="K15" s="1"/>
      <c r="L15" s="1"/>
    </row>
    <row r="16" spans="1:12" x14ac:dyDescent="0.4">
      <c r="A16" s="1"/>
      <c r="B16" s="24"/>
      <c r="C16" s="57"/>
      <c r="D16" s="59"/>
      <c r="E16" s="57"/>
      <c r="F16" s="25"/>
      <c r="G16" s="1"/>
      <c r="H16" s="1"/>
      <c r="I16" s="1"/>
      <c r="J16" s="1"/>
      <c r="K16" s="1"/>
      <c r="L16" s="1"/>
    </row>
    <row r="17" spans="1:12" x14ac:dyDescent="0.4">
      <c r="A17" s="1"/>
      <c r="B17" s="1"/>
      <c r="C17" s="51" t="s">
        <v>40</v>
      </c>
      <c r="D17" s="51"/>
      <c r="E17" s="51"/>
      <c r="F17" s="1"/>
      <c r="G17" s="1"/>
      <c r="H17" s="1"/>
      <c r="I17" s="1"/>
      <c r="J17" s="1"/>
      <c r="K17" s="1"/>
      <c r="L17" s="1"/>
    </row>
    <row r="18" spans="1:12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</sheetData>
  <sheetProtection algorithmName="SHA-512" hashValue="KgO03EnkV0iESj+0vu+PS2Hz8Rw91EiqF6GyLj0hJA1wRMZZXofMP6rvB8OMABFvCtZgKRonWQ+KG8q9tELuBA==" saltValue="KrpuwE3gL4AHuvwq/nsHzg==" spinCount="100000" sheet="1" selectLockedCells="1"/>
  <protectedRanges>
    <protectedRange sqref="A2:J8" name="Lists"/>
    <protectedRange algorithmName="SHA-512" hashValue="JH3lycsQGOzO/DBAzCp3paWIIOQwUv+VD6SgiOaA/zSPjjqNVo5DATbcknoYTeA3V55HmEP/rBu4mUFf4rkO9Q==" saltValue="6r7/aCcZ+fLHu1YK8foiHw==" spinCount="100000" sqref="J1" name="Copyright Veera Seaman"/>
  </protectedRanges>
  <mergeCells count="17">
    <mergeCell ref="D6:E6"/>
    <mergeCell ref="D7:E7"/>
    <mergeCell ref="I2:J2"/>
    <mergeCell ref="G12:G14"/>
    <mergeCell ref="C17:E17"/>
    <mergeCell ref="A12:A14"/>
    <mergeCell ref="A4:B5"/>
    <mergeCell ref="C2:F2"/>
    <mergeCell ref="C15:C16"/>
    <mergeCell ref="D15:D16"/>
    <mergeCell ref="E15:E16"/>
    <mergeCell ref="C10:C11"/>
    <mergeCell ref="D10:D11"/>
    <mergeCell ref="E10:E11"/>
    <mergeCell ref="C9:E9"/>
    <mergeCell ref="D4:E4"/>
    <mergeCell ref="D5:E5"/>
  </mergeCells>
  <conditionalFormatting sqref="C12:E14">
    <cfRule type="cellIs" dxfId="3" priority="8" operator="equal">
      <formula>-1</formula>
    </cfRule>
    <cfRule type="cellIs" dxfId="2" priority="9" operator="greaterThan">
      <formula>0</formula>
    </cfRule>
    <cfRule type="containsErrors" dxfId="1" priority="10">
      <formula>ISERROR(C12)</formula>
    </cfRule>
  </conditionalFormatting>
  <conditionalFormatting sqref="J10:J13">
    <cfRule type="containsErrors" dxfId="0" priority="7">
      <formula>ISERROR(J10)</formula>
    </cfRule>
  </conditionalFormatting>
  <hyperlinks>
    <hyperlink ref="B6" location="Scoring!A1" display="(Go to Scoring to amend)" xr:uid="{00000000-0004-0000-0100-000000000000}"/>
  </hyperlink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Lists!$A$1:$A$2</xm:f>
          </x14:formula1>
          <xm:sqref>I2:J2</xm:sqref>
        </x14:dataValidation>
        <x14:dataValidation type="list" allowBlank="1" showInputMessage="1" showErrorMessage="1" xr:uid="{00000000-0002-0000-0100-000001000000}">
          <x14:formula1>
            <xm:f>Scoring!$I$10:$I$24</xm:f>
          </x14:formula1>
          <xm:sqref>C2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>
      <selection sqref="A1:A2"/>
    </sheetView>
  </sheetViews>
  <sheetFormatPr defaultRowHeight="14.6" x14ac:dyDescent="0.4"/>
  <sheetData>
    <row r="1" spans="1:9" x14ac:dyDescent="0.4">
      <c r="A1" s="29" t="s">
        <v>26</v>
      </c>
      <c r="B1" s="1"/>
      <c r="C1" s="1"/>
      <c r="D1" s="1"/>
      <c r="E1" s="1"/>
      <c r="F1" s="1"/>
      <c r="G1" s="1"/>
      <c r="H1" s="1"/>
    </row>
    <row r="2" spans="1:9" x14ac:dyDescent="0.4">
      <c r="A2" s="29" t="s">
        <v>27</v>
      </c>
      <c r="B2" s="1"/>
      <c r="C2" s="1"/>
      <c r="D2" s="1"/>
      <c r="E2" s="1"/>
      <c r="F2" s="1"/>
      <c r="G2" s="28">
        <v>1</v>
      </c>
      <c r="H2" s="28">
        <v>1</v>
      </c>
      <c r="I2" s="28">
        <v>1</v>
      </c>
    </row>
    <row r="3" spans="1:9" x14ac:dyDescent="0.4">
      <c r="A3" s="1"/>
      <c r="B3" s="1"/>
      <c r="C3" s="1"/>
      <c r="D3" s="1"/>
      <c r="E3" s="1"/>
      <c r="F3" s="1"/>
      <c r="G3" s="28">
        <v>1</v>
      </c>
      <c r="H3" s="28">
        <v>1</v>
      </c>
      <c r="I3" s="28">
        <v>1</v>
      </c>
    </row>
    <row r="4" spans="1:9" x14ac:dyDescent="0.4">
      <c r="A4" s="1"/>
      <c r="B4" s="1"/>
      <c r="C4" s="1"/>
      <c r="D4" s="1"/>
      <c r="E4" s="1"/>
      <c r="F4" s="1"/>
      <c r="G4" s="28">
        <v>1</v>
      </c>
      <c r="H4" s="28">
        <v>1</v>
      </c>
      <c r="I4" s="28">
        <v>1</v>
      </c>
    </row>
    <row r="5" spans="1:9" x14ac:dyDescent="0.4">
      <c r="A5" s="1"/>
      <c r="B5" s="1"/>
      <c r="C5" s="1"/>
      <c r="D5" s="1"/>
      <c r="E5" s="1"/>
      <c r="F5" s="1"/>
      <c r="G5" s="1"/>
      <c r="H5" s="1"/>
    </row>
    <row r="6" spans="1:9" x14ac:dyDescent="0.4">
      <c r="A6" s="1"/>
      <c r="B6" s="1"/>
      <c r="C6" s="1"/>
      <c r="D6" s="1"/>
      <c r="E6" s="1"/>
      <c r="F6" s="1"/>
      <c r="G6" s="1"/>
      <c r="H6" s="1"/>
    </row>
    <row r="7" spans="1:9" x14ac:dyDescent="0.4">
      <c r="A7" s="1"/>
      <c r="B7" s="1"/>
      <c r="C7" s="1"/>
      <c r="D7" s="1"/>
      <c r="E7" s="1"/>
      <c r="F7" s="1"/>
      <c r="G7" s="1"/>
      <c r="H7" s="1"/>
    </row>
    <row r="8" spans="1:9" x14ac:dyDescent="0.4">
      <c r="A8" s="1"/>
      <c r="B8" s="1"/>
      <c r="C8" s="1"/>
      <c r="D8" s="1"/>
      <c r="E8" s="1"/>
      <c r="F8" s="1"/>
      <c r="G8" s="1"/>
      <c r="H8" s="1"/>
    </row>
    <row r="9" spans="1:9" x14ac:dyDescent="0.4">
      <c r="A9" s="1"/>
      <c r="B9" s="1"/>
      <c r="C9" s="1"/>
      <c r="D9" s="1"/>
      <c r="E9" s="1"/>
      <c r="F9" s="1"/>
      <c r="G9" s="1"/>
      <c r="H9" s="1"/>
    </row>
    <row r="10" spans="1:9" x14ac:dyDescent="0.4">
      <c r="A10" s="1"/>
      <c r="B10" s="1"/>
      <c r="C10" s="1"/>
      <c r="D10" s="1"/>
      <c r="E10" s="1"/>
      <c r="F10" s="1"/>
      <c r="G10" s="1"/>
      <c r="H10" s="1"/>
    </row>
    <row r="11" spans="1:9" x14ac:dyDescent="0.4">
      <c r="A11" s="1"/>
      <c r="B11" s="1"/>
      <c r="C11" s="1"/>
      <c r="D11" s="1"/>
      <c r="E11" s="1"/>
      <c r="F11" s="1"/>
      <c r="G11" s="1"/>
      <c r="H11" s="1"/>
    </row>
    <row r="12" spans="1:9" x14ac:dyDescent="0.4">
      <c r="A12" s="1"/>
      <c r="B12" s="1"/>
      <c r="C12" s="1"/>
      <c r="D12" s="1"/>
      <c r="E12" s="1"/>
      <c r="F12" s="1"/>
      <c r="G12" s="1"/>
      <c r="H12" s="1"/>
    </row>
    <row r="13" spans="1:9" x14ac:dyDescent="0.4">
      <c r="A13" s="1"/>
      <c r="B13" s="1"/>
      <c r="C13" s="1"/>
      <c r="D13" s="1"/>
      <c r="E13" s="1"/>
      <c r="F13" s="1"/>
      <c r="G13" s="1"/>
      <c r="H13" s="1"/>
    </row>
    <row r="14" spans="1:9" x14ac:dyDescent="0.4">
      <c r="A14" s="1"/>
      <c r="B14" s="1"/>
      <c r="C14" s="1"/>
      <c r="D14" s="1"/>
      <c r="E14" s="1"/>
      <c r="F14" s="1"/>
      <c r="G14" s="1"/>
      <c r="H14" s="1"/>
    </row>
    <row r="15" spans="1:9" x14ac:dyDescent="0.4">
      <c r="A15" s="1"/>
      <c r="B15" s="1"/>
      <c r="C15" s="1"/>
      <c r="D15" s="1"/>
      <c r="E15" s="1"/>
      <c r="F15" s="1"/>
      <c r="G15" s="1"/>
      <c r="H15" s="1"/>
    </row>
  </sheetData>
  <sheetProtection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Scoring</vt:lpstr>
      <vt:lpstr>Matrix</vt:lpstr>
      <vt:lpstr>Lists</vt:lpstr>
    </vt:vector>
  </TitlesOfParts>
  <Company>SCC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Vuorinen, Veera</dc:creator>
  <cp:lastModifiedBy>Veera S</cp:lastModifiedBy>
  <dcterms:created xsi:type="dcterms:W3CDTF">2017-07-06T14:40:55Z</dcterms:created>
  <dcterms:modified xsi:type="dcterms:W3CDTF">2025-09-10T16:43:41Z</dcterms:modified>
</cp:coreProperties>
</file>