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MISTAJA\Documents\Portfolio\"/>
    </mc:Choice>
  </mc:AlternateContent>
  <xr:revisionPtr revIDLastSave="0" documentId="13_ncr:1_{1AD287F0-79BE-4142-829B-EF23261127F7}" xr6:coauthVersionLast="47" xr6:coauthVersionMax="47" xr10:uidLastSave="{00000000-0000-0000-0000-000000000000}"/>
  <workbookProtection workbookAlgorithmName="SHA-512" workbookHashValue="opRZtMzKvsgUBDCL4E8fQUU/jqkBZjI/OZqCca4fPO63UMo5m6YlnZ964WkXDsRDLTXXuTxXmsUtjABLcU4pdQ==" workbookSaltValue="pszuDfyQ+wEMiSYrgnujfg==" workbookSpinCount="100000" lockStructure="1"/>
  <bookViews>
    <workbookView xWindow="-103" yWindow="-103" windowWidth="16663" windowHeight="9463" xr2:uid="{7FA4EBF0-3976-457D-A88B-5AA46D645A9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7" i="1" l="1"/>
  <c r="L6" i="1"/>
  <c r="L5" i="1" s="1"/>
  <c r="K6" i="1"/>
  <c r="K5" i="1" s="1"/>
  <c r="J6" i="1"/>
  <c r="J5" i="1" s="1"/>
  <c r="I6" i="1"/>
  <c r="I5" i="1" s="1"/>
  <c r="G6" i="1"/>
  <c r="G5" i="1" s="1"/>
  <c r="H6" i="1"/>
  <c r="H5" i="1" s="1"/>
  <c r="I13" i="1"/>
  <c r="J13" i="1" s="1"/>
  <c r="L13" i="1" s="1"/>
  <c r="I14" i="1"/>
  <c r="J14" i="1" s="1"/>
  <c r="L14" i="1" s="1"/>
  <c r="I15" i="1"/>
  <c r="J15" i="1" s="1"/>
  <c r="L15" i="1" s="1"/>
  <c r="I16" i="1"/>
  <c r="J16" i="1" s="1"/>
  <c r="L16" i="1" s="1"/>
  <c r="I17" i="1"/>
  <c r="J17" i="1" s="1"/>
  <c r="L17" i="1" s="1"/>
  <c r="I18" i="1"/>
  <c r="J18" i="1" s="1"/>
  <c r="L18" i="1" s="1"/>
  <c r="I19" i="1"/>
  <c r="J19" i="1" s="1"/>
  <c r="L19" i="1" s="1"/>
  <c r="I20" i="1"/>
  <c r="J20" i="1" s="1"/>
  <c r="L20" i="1" s="1"/>
  <c r="I21" i="1"/>
  <c r="J21" i="1" s="1"/>
  <c r="L21" i="1" s="1"/>
  <c r="I22" i="1"/>
  <c r="J22" i="1" s="1"/>
  <c r="L22" i="1" s="1"/>
  <c r="I23" i="1"/>
  <c r="J23" i="1" s="1"/>
  <c r="L23" i="1" s="1"/>
  <c r="I24" i="1"/>
  <c r="J24" i="1" s="1"/>
  <c r="L24" i="1" s="1"/>
  <c r="I25" i="1"/>
  <c r="J25" i="1" s="1"/>
  <c r="L25" i="1" s="1"/>
  <c r="I26" i="1"/>
  <c r="J26" i="1" s="1"/>
  <c r="L26" i="1" s="1"/>
  <c r="I27" i="1"/>
  <c r="J27" i="1" s="1"/>
  <c r="L27" i="1" s="1"/>
  <c r="I28" i="1"/>
  <c r="J28" i="1"/>
  <c r="L28" i="1" s="1"/>
  <c r="I29" i="1"/>
  <c r="J29" i="1" s="1"/>
  <c r="L29" i="1" s="1"/>
  <c r="I30" i="1"/>
  <c r="J30" i="1" s="1"/>
  <c r="L30" i="1" s="1"/>
  <c r="I31" i="1"/>
  <c r="J31" i="1" s="1"/>
  <c r="L31" i="1" s="1"/>
  <c r="J11" i="1"/>
  <c r="I12" i="1"/>
  <c r="J12" i="1" s="1"/>
  <c r="L12" i="1" s="1"/>
  <c r="E5" i="1"/>
  <c r="D5" i="1"/>
  <c r="B5" i="1"/>
  <c r="D37" i="1" l="1"/>
</calcChain>
</file>

<file path=xl/sharedStrings.xml><?xml version="1.0" encoding="utf-8"?>
<sst xmlns="http://schemas.openxmlformats.org/spreadsheetml/2006/main" count="67" uniqueCount="47">
  <si>
    <t>&lt; Enter the denominator (e.g. the total value) here</t>
  </si>
  <si>
    <t>&lt; Enter your numerators here</t>
  </si>
  <si>
    <t>Employee turnover estimate</t>
  </si>
  <si>
    <t>Interviewing and assessment costs (include Interviewer(s) from team only)</t>
  </si>
  <si>
    <t>In-house recruitment team costs (include interviewer(s) from HR / recruitment team only)</t>
  </si>
  <si>
    <t>Recruitment agency fees</t>
  </si>
  <si>
    <t>Employee referral program costs</t>
  </si>
  <si>
    <t>Technology and recruitment tools (these do not include new employee equipment costs)</t>
  </si>
  <si>
    <t>Miscellaneous costs</t>
  </si>
  <si>
    <t>TOTAL COST</t>
  </si>
  <si>
    <t>Career fair / recruitment event name (Enter here)</t>
  </si>
  <si>
    <t>Enter this number first</t>
  </si>
  <si>
    <t>Number of career fairs and recruitment events attended / year (Enter estimate if not known)</t>
  </si>
  <si>
    <t>Miscellaneous costs (TOTAL)</t>
  </si>
  <si>
    <t xml:space="preserve"> </t>
  </si>
  <si>
    <t xml:space="preserve">Career fairs and recruitment events - Enter name of event here. If not known, enter planned events. </t>
  </si>
  <si>
    <t>Enter averages if not known</t>
  </si>
  <si>
    <t>Advertising &amp; equipment (TOTAL)</t>
  </si>
  <si>
    <r>
      <t xml:space="preserve">Total pay for </t>
    </r>
    <r>
      <rPr>
        <b/>
        <u/>
        <sz val="10"/>
        <color theme="1"/>
        <rFont val="Aptos Narrow"/>
        <family val="2"/>
        <scheme val="minor"/>
      </rPr>
      <t>each</t>
    </r>
    <r>
      <rPr>
        <b/>
        <sz val="10"/>
        <color theme="1"/>
        <rFont val="Aptos Narrow"/>
        <family val="2"/>
        <scheme val="minor"/>
      </rPr>
      <t xml:space="preserve"> employee working at event (averaged)</t>
    </r>
  </si>
  <si>
    <t>Time attended in hours / person (averaged)</t>
  </si>
  <si>
    <t>Number of employees working at event (TOTAL)</t>
  </si>
  <si>
    <t>Hourly rate / person (averaged)</t>
  </si>
  <si>
    <t>Copyright Veera Seaman</t>
  </si>
  <si>
    <t>Number of career fairs and recruitment events per annum</t>
  </si>
  <si>
    <t>Total cost</t>
  </si>
  <si>
    <t>Recruitment related cost</t>
  </si>
  <si>
    <t>Recruitment cost - Events</t>
  </si>
  <si>
    <t>Recruitment cost - Other</t>
  </si>
  <si>
    <t>Enter your costs manually below:</t>
  </si>
  <si>
    <t xml:space="preserve">This will calculate automatically: </t>
  </si>
  <si>
    <t>Acceptable level of cost</t>
  </si>
  <si>
    <t>Unacceptable level of cost</t>
  </si>
  <si>
    <t>0-5%</t>
  </si>
  <si>
    <t>&gt;5-10%</t>
  </si>
  <si>
    <t>&gt;10-25%</t>
  </si>
  <si>
    <t>&gt;25-40%</t>
  </si>
  <si>
    <t>&lt;40-60%</t>
  </si>
  <si>
    <t>&lt;60%</t>
  </si>
  <si>
    <t>Total number of employees</t>
  </si>
  <si>
    <t>Recruitment and retention cost calculator - suitable for small operations</t>
  </si>
  <si>
    <t>Employees leaving after first year (per annum)</t>
  </si>
  <si>
    <t>Scenarios - Employee turnover per annum</t>
  </si>
  <si>
    <t>Cost calculations using actual and random numbers (limited by specific conditions)</t>
  </si>
  <si>
    <t>Travel to location / person (averaged)</t>
  </si>
  <si>
    <t>Events</t>
  </si>
  <si>
    <t>Highest acceptable level</t>
  </si>
  <si>
    <t>Lowest unacceptable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</si>
</sst>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u/>
      <sz val="10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mediumGray">
        <fgColor theme="0"/>
        <bgColor theme="9" tint="0.5999633777886288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30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/>
      <right style="thin">
        <color theme="0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0"/>
      </left>
      <right style="thin">
        <color theme="0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0"/>
      </left>
      <right/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n">
        <color theme="0" tint="-0.499984740745262"/>
      </left>
      <right style="thin">
        <color theme="4" tint="0.39994506668294322"/>
      </right>
      <top style="thin">
        <color theme="0" tint="-0.499984740745262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0" tint="-0.499984740745262"/>
      </top>
      <bottom/>
      <diagonal/>
    </border>
    <border>
      <left style="thin">
        <color theme="4" tint="0.3999450666829432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0" tint="-0.49998474074526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0" tint="-0.499984740745262"/>
      </left>
      <right/>
      <top style="thin">
        <color theme="4" tint="0.3999145481734672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0" tint="-0.49998474074526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0" tint="-0.499984740745262"/>
      </bottom>
      <diagonal/>
    </border>
    <border>
      <left style="thin">
        <color theme="4" tint="0.39991454817346722"/>
      </left>
      <right style="thin">
        <color theme="0" tint="-0.499984740745262"/>
      </right>
      <top style="thin">
        <color theme="4" tint="0.39991454817346722"/>
      </top>
      <bottom style="thin">
        <color theme="0" tint="-0.499984740745262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0.39994506668294322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0.39994506668294322"/>
      </bottom>
      <diagonal/>
    </border>
    <border>
      <left style="thin">
        <color theme="4" tint="-0.2499465926084170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-0.24994659260841701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-0.24994659260841701"/>
      </left>
      <right style="thin">
        <color theme="4" tint="0.39994506668294322"/>
      </right>
      <top style="thin">
        <color theme="4" tint="0.39994506668294322"/>
      </top>
      <bottom style="thin">
        <color theme="4" tint="-0.24994659260841701"/>
      </bottom>
      <diagonal/>
    </border>
    <border>
      <left style="thin">
        <color theme="4" tint="0.39994506668294322"/>
      </left>
      <right style="thin">
        <color theme="4" tint="-0.24994659260841701"/>
      </right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0.39994506668294322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top"/>
      <protection locked="0"/>
    </xf>
    <xf numFmtId="0" fontId="1" fillId="2" borderId="1" xfId="0" applyFont="1" applyFill="1" applyBorder="1" applyAlignment="1" applyProtection="1">
      <alignment horizontal="left" vertical="top" wrapText="1"/>
      <protection locked="0"/>
    </xf>
    <xf numFmtId="0" fontId="1" fillId="2" borderId="1" xfId="0" applyFont="1" applyFill="1" applyBorder="1" applyAlignment="1" applyProtection="1">
      <alignment horizontal="center" vertical="top" wrapText="1"/>
      <protection locked="0"/>
    </xf>
    <xf numFmtId="0" fontId="2" fillId="0" borderId="0" xfId="0" applyFont="1" applyAlignment="1" applyProtection="1">
      <alignment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10" fontId="0" fillId="0" borderId="1" xfId="0" applyNumberFormat="1" applyBorder="1" applyAlignment="1" applyProtection="1">
      <alignment horizontal="center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4" borderId="2" xfId="0" applyFill="1" applyBorder="1" applyAlignment="1" applyProtection="1">
      <alignment horizontal="center" vertical="top" wrapText="1"/>
      <protection locked="0"/>
    </xf>
    <xf numFmtId="0" fontId="2" fillId="0" borderId="0" xfId="0" applyFont="1" applyAlignment="1" applyProtection="1">
      <alignment vertical="top" wrapText="1"/>
      <protection locked="0"/>
    </xf>
    <xf numFmtId="0" fontId="0" fillId="3" borderId="4" xfId="0" applyFill="1" applyBorder="1" applyAlignment="1" applyProtection="1">
      <alignment horizontal="left" vertical="top" wrapText="1"/>
      <protection locked="0"/>
    </xf>
    <xf numFmtId="0" fontId="0" fillId="3" borderId="4" xfId="0" applyFill="1" applyBorder="1" applyAlignment="1" applyProtection="1">
      <alignment horizontal="center" vertical="top"/>
      <protection locked="0"/>
    </xf>
    <xf numFmtId="0" fontId="0" fillId="3" borderId="5" xfId="0" applyFill="1" applyBorder="1" applyAlignment="1" applyProtection="1">
      <alignment horizontal="center" vertical="top"/>
      <protection locked="0"/>
    </xf>
    <xf numFmtId="0" fontId="0" fillId="3" borderId="6" xfId="0" applyFill="1" applyBorder="1" applyAlignment="1" applyProtection="1">
      <alignment horizontal="center" vertical="top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4" borderId="3" xfId="0" applyFont="1" applyFill="1" applyBorder="1" applyAlignment="1" applyProtection="1">
      <alignment horizontal="center" vertical="top"/>
      <protection locked="0"/>
    </xf>
    <xf numFmtId="0" fontId="1" fillId="0" borderId="0" xfId="0" applyFont="1" applyBorder="1" applyAlignment="1" applyProtection="1">
      <alignment horizontal="left" vertical="top" wrapText="1"/>
      <protection locked="0"/>
    </xf>
    <xf numFmtId="0" fontId="1" fillId="4" borderId="0" xfId="0" applyFont="1" applyFill="1" applyBorder="1" applyAlignment="1" applyProtection="1">
      <alignment horizontal="center" vertical="top"/>
      <protection locked="0"/>
    </xf>
    <xf numFmtId="1" fontId="0" fillId="0" borderId="0" xfId="0" applyNumberFormat="1" applyAlignment="1">
      <alignment horizontal="left" vertical="top" indent="1"/>
    </xf>
    <xf numFmtId="1" fontId="0" fillId="4" borderId="8" xfId="0" applyNumberFormat="1" applyFill="1" applyBorder="1" applyAlignment="1" applyProtection="1">
      <alignment horizontal="left" wrapText="1"/>
      <protection locked="0"/>
    </xf>
    <xf numFmtId="1" fontId="0" fillId="4" borderId="7" xfId="0" applyNumberFormat="1" applyFill="1" applyBorder="1" applyAlignment="1" applyProtection="1">
      <alignment horizontal="left" wrapText="1"/>
      <protection locked="0"/>
    </xf>
    <xf numFmtId="1" fontId="0" fillId="4" borderId="7" xfId="0" applyNumberFormat="1" applyFill="1" applyBorder="1" applyAlignment="1" applyProtection="1">
      <alignment horizontal="left" wrapText="1"/>
    </xf>
    <xf numFmtId="1" fontId="0" fillId="4" borderId="7" xfId="0" applyNumberFormat="1" applyFill="1" applyBorder="1" applyAlignment="1">
      <alignment horizontal="left" wrapText="1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4" borderId="7" xfId="0" applyFill="1" applyBorder="1" applyAlignment="1" applyProtection="1">
      <alignment horizontal="center" vertical="top" wrapText="1"/>
      <protection locked="0"/>
    </xf>
    <xf numFmtId="0" fontId="0" fillId="0" borderId="7" xfId="0" applyBorder="1" applyProtection="1">
      <protection locked="0"/>
    </xf>
    <xf numFmtId="0" fontId="1" fillId="8" borderId="2" xfId="0" applyFont="1" applyFill="1" applyBorder="1" applyAlignment="1" applyProtection="1">
      <alignment horizontal="left" vertical="top" wrapText="1"/>
      <protection locked="0"/>
    </xf>
    <xf numFmtId="0" fontId="1" fillId="8" borderId="2" xfId="0" applyFont="1" applyFill="1" applyBorder="1" applyAlignment="1" applyProtection="1">
      <alignment horizontal="center" vertical="top" wrapText="1"/>
      <protection locked="0"/>
    </xf>
    <xf numFmtId="0" fontId="1" fillId="8" borderId="2" xfId="0" applyFont="1" applyFill="1" applyBorder="1" applyAlignment="1" applyProtection="1">
      <alignment horizontal="center" vertical="top" wrapText="1"/>
    </xf>
    <xf numFmtId="1" fontId="0" fillId="4" borderId="7" xfId="0" applyNumberFormat="1" applyFill="1" applyBorder="1" applyAlignment="1" applyProtection="1">
      <alignment horizontal="center" vertical="top" wrapText="1"/>
    </xf>
    <xf numFmtId="0" fontId="0" fillId="4" borderId="7" xfId="0" applyFill="1" applyBorder="1" applyAlignment="1" applyProtection="1">
      <alignment horizontal="center" vertical="top" wrapText="1"/>
    </xf>
    <xf numFmtId="0" fontId="1" fillId="4" borderId="0" xfId="0" applyFont="1" applyFill="1" applyBorder="1" applyAlignment="1" applyProtection="1">
      <alignment horizontal="left" wrapText="1"/>
      <protection locked="0"/>
    </xf>
    <xf numFmtId="0" fontId="1" fillId="8" borderId="2" xfId="0" applyFont="1" applyFill="1" applyBorder="1" applyAlignment="1" applyProtection="1">
      <alignment horizontal="left" vertical="top" wrapText="1"/>
    </xf>
    <xf numFmtId="0" fontId="0" fillId="0" borderId="7" xfId="0" applyBorder="1" applyAlignment="1" applyProtection="1">
      <alignment horizontal="left" vertical="top" wrapText="1"/>
    </xf>
    <xf numFmtId="0" fontId="0" fillId="6" borderId="9" xfId="0" applyFill="1" applyBorder="1" applyAlignment="1" applyProtection="1">
      <alignment horizontal="center" vertical="top" wrapText="1"/>
      <protection locked="0"/>
    </xf>
    <xf numFmtId="0" fontId="3" fillId="5" borderId="13" xfId="0" applyFont="1" applyFill="1" applyBorder="1" applyAlignment="1">
      <alignment horizontal="left" vertical="top" wrapText="1"/>
    </xf>
    <xf numFmtId="0" fontId="3" fillId="5" borderId="14" xfId="0" applyFont="1" applyFill="1" applyBorder="1" applyAlignment="1">
      <alignment horizontal="center" vertical="top" wrapText="1"/>
    </xf>
    <xf numFmtId="0" fontId="3" fillId="7" borderId="14" xfId="0" applyFont="1" applyFill="1" applyBorder="1" applyAlignment="1">
      <alignment horizontal="center" vertical="top" wrapText="1"/>
    </xf>
    <xf numFmtId="0" fontId="3" fillId="5" borderId="14" xfId="0" applyFont="1" applyFill="1" applyBorder="1" applyAlignment="1" applyProtection="1">
      <alignment horizontal="center" vertical="top" wrapText="1"/>
    </xf>
    <xf numFmtId="0" fontId="3" fillId="5" borderId="15" xfId="0" applyFont="1" applyFill="1" applyBorder="1" applyAlignment="1">
      <alignment horizontal="center" vertical="top" wrapText="1"/>
    </xf>
    <xf numFmtId="0" fontId="0" fillId="4" borderId="16" xfId="0" applyFill="1" applyBorder="1" applyAlignment="1" applyProtection="1">
      <alignment horizontal="left" wrapText="1"/>
      <protection locked="0"/>
    </xf>
    <xf numFmtId="1" fontId="0" fillId="4" borderId="17" xfId="0" applyNumberFormat="1" applyFill="1" applyBorder="1" applyAlignment="1">
      <alignment horizontal="left" wrapText="1"/>
    </xf>
    <xf numFmtId="0" fontId="0" fillId="4" borderId="18" xfId="0" applyFill="1" applyBorder="1" applyAlignment="1" applyProtection="1">
      <alignment horizontal="left" wrapText="1"/>
      <protection locked="0"/>
    </xf>
    <xf numFmtId="1" fontId="0" fillId="4" borderId="20" xfId="0" applyNumberFormat="1" applyFill="1" applyBorder="1" applyAlignment="1" applyProtection="1">
      <alignment horizontal="left" wrapText="1"/>
      <protection locked="0"/>
    </xf>
    <xf numFmtId="1" fontId="0" fillId="4" borderId="21" xfId="0" applyNumberFormat="1" applyFill="1" applyBorder="1" applyAlignment="1" applyProtection="1">
      <alignment horizontal="left" wrapText="1"/>
      <protection locked="0"/>
    </xf>
    <xf numFmtId="1" fontId="0" fillId="4" borderId="21" xfId="0" applyNumberFormat="1" applyFill="1" applyBorder="1" applyAlignment="1" applyProtection="1">
      <alignment horizontal="left" wrapText="1"/>
    </xf>
    <xf numFmtId="1" fontId="0" fillId="4" borderId="21" xfId="0" applyNumberFormat="1" applyFill="1" applyBorder="1" applyAlignment="1">
      <alignment horizontal="left" wrapText="1"/>
    </xf>
    <xf numFmtId="1" fontId="0" fillId="4" borderId="22" xfId="0" applyNumberFormat="1" applyFill="1" applyBorder="1" applyAlignment="1">
      <alignment horizontal="left" wrapText="1"/>
    </xf>
    <xf numFmtId="0" fontId="1" fillId="9" borderId="25" xfId="0" applyFont="1" applyFill="1" applyBorder="1" applyAlignment="1" applyProtection="1">
      <alignment horizontal="center" vertical="top" wrapText="1"/>
      <protection locked="0"/>
    </xf>
    <xf numFmtId="0" fontId="1" fillId="9" borderId="26" xfId="0" applyFont="1" applyFill="1" applyBorder="1" applyAlignment="1" applyProtection="1">
      <alignment horizontal="center" vertical="top" wrapText="1"/>
      <protection locked="0"/>
    </xf>
    <xf numFmtId="10" fontId="0" fillId="0" borderId="25" xfId="0" applyNumberFormat="1" applyBorder="1" applyAlignment="1" applyProtection="1">
      <alignment horizontal="center" vertical="top" wrapText="1"/>
    </xf>
    <xf numFmtId="10" fontId="0" fillId="0" borderId="26" xfId="0" applyNumberFormat="1" applyBorder="1" applyAlignment="1" applyProtection="1">
      <alignment horizontal="center" vertical="top" wrapText="1"/>
    </xf>
    <xf numFmtId="0" fontId="0" fillId="4" borderId="27" xfId="0" applyFill="1" applyBorder="1" applyAlignment="1" applyProtection="1">
      <alignment horizontal="center" vertical="top" wrapText="1"/>
    </xf>
    <xf numFmtId="0" fontId="0" fillId="4" borderId="28" xfId="0" applyFill="1" applyBorder="1" applyAlignment="1" applyProtection="1">
      <alignment horizontal="center" vertical="top" wrapText="1"/>
    </xf>
    <xf numFmtId="10" fontId="0" fillId="0" borderId="1" xfId="0" applyNumberFormat="1" applyBorder="1" applyAlignment="1" applyProtection="1">
      <alignment horizontal="center" vertical="top" wrapText="1"/>
    </xf>
    <xf numFmtId="0" fontId="1" fillId="0" borderId="0" xfId="0" applyFont="1" applyAlignment="1" applyProtection="1">
      <alignment horizontal="left" vertical="top" wrapText="1"/>
      <protection locked="0"/>
    </xf>
    <xf numFmtId="0" fontId="1" fillId="0" borderId="23" xfId="0" applyFont="1" applyBorder="1" applyAlignment="1" applyProtection="1">
      <alignment horizontal="center"/>
      <protection locked="0"/>
    </xf>
    <xf numFmtId="0" fontId="1" fillId="0" borderId="29" xfId="0" applyFont="1" applyBorder="1" applyAlignment="1" applyProtection="1">
      <alignment horizontal="center"/>
      <protection locked="0"/>
    </xf>
    <xf numFmtId="0" fontId="1" fillId="0" borderId="24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top"/>
      <protection locked="0"/>
    </xf>
    <xf numFmtId="0" fontId="1" fillId="4" borderId="3" xfId="0" applyFont="1" applyFill="1" applyBorder="1" applyAlignment="1" applyProtection="1">
      <alignment horizontal="center" vertical="top"/>
      <protection locked="0"/>
    </xf>
    <xf numFmtId="0" fontId="4" fillId="6" borderId="10" xfId="0" applyFont="1" applyFill="1" applyBorder="1" applyAlignment="1" applyProtection="1">
      <alignment horizontal="center" vertical="center" wrapText="1"/>
      <protection locked="0"/>
    </xf>
    <xf numFmtId="0" fontId="4" fillId="6" borderId="0" xfId="0" applyFont="1" applyFill="1" applyBorder="1" applyAlignment="1" applyProtection="1">
      <alignment horizontal="center" vertical="center" wrapText="1"/>
      <protection locked="0"/>
    </xf>
    <xf numFmtId="0" fontId="4" fillId="6" borderId="19" xfId="0" applyFont="1" applyFill="1" applyBorder="1" applyAlignment="1" applyProtection="1">
      <alignment horizontal="center" vertical="center" wrapText="1"/>
      <protection locked="0"/>
    </xf>
    <xf numFmtId="0" fontId="0" fillId="6" borderId="11" xfId="0" applyFill="1" applyBorder="1" applyAlignment="1" applyProtection="1">
      <alignment horizontal="center" vertical="top" wrapText="1"/>
      <protection locked="0"/>
    </xf>
    <xf numFmtId="0" fontId="0" fillId="6" borderId="12" xfId="0" applyFill="1" applyBorder="1" applyAlignment="1" applyProtection="1">
      <alignment horizontal="center" vertical="top" wrapText="1"/>
      <protection locked="0"/>
    </xf>
    <xf numFmtId="0" fontId="0" fillId="0" borderId="0" xfId="0" applyProtection="1"/>
    <xf numFmtId="0" fontId="0" fillId="0" borderId="0" xfId="0" applyAlignment="1" applyProtection="1">
      <alignment horizontal="right" vertical="top"/>
    </xf>
  </cellXfs>
  <cellStyles count="1">
    <cellStyle name="Normal" xfId="0" builtinId="0"/>
  </cellStyles>
  <dxfs count="11">
    <dxf>
      <font>
        <b val="0"/>
        <i/>
      </font>
      <numFmt numFmtId="30" formatCode="@"/>
    </dxf>
    <dxf>
      <font>
        <b val="0"/>
        <i/>
      </font>
      <numFmt numFmtId="30" formatCode="@"/>
    </dxf>
    <dxf>
      <font>
        <b val="0"/>
        <i/>
      </font>
      <numFmt numFmtId="30" formatCode="@"/>
    </dxf>
    <dxf>
      <font>
        <b val="0"/>
        <i/>
      </font>
      <numFmt numFmtId="30" formatCode="@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i/>
      </font>
      <numFmt numFmtId="30" formatCode="@"/>
    </dxf>
  </dxfs>
  <tableStyles count="0" defaultTableStyle="TableStyleMedium2" defaultPivotStyle="PivotStyleLight16"/>
  <colors>
    <mruColors>
      <color rgb="FFFF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221840</xdr:colOff>
      <xdr:row>9</xdr:row>
      <xdr:rowOff>456</xdr:rowOff>
    </xdr:from>
    <xdr:to>
      <xdr:col>11</xdr:col>
      <xdr:colOff>941761</xdr:colOff>
      <xdr:row>9</xdr:row>
      <xdr:rowOff>399751</xdr:rowOff>
    </xdr:to>
    <xdr:sp macro="[0]!ClearTable" textlink="">
      <xdr:nvSpPr>
        <xdr:cNvPr id="2" name="TextBox 1" descr="Clear the table to enter new values&#10;">
          <a:extLst>
            <a:ext uri="{FF2B5EF4-FFF2-40B4-BE49-F238E27FC236}">
              <a16:creationId xmlns:a16="http://schemas.microsoft.com/office/drawing/2014/main" id="{3EE1653F-E9B4-DECF-36ED-C0AA4A3CC97D}"/>
            </a:ext>
          </a:extLst>
        </xdr:cNvPr>
        <xdr:cNvSpPr txBox="1"/>
      </xdr:nvSpPr>
      <xdr:spPr>
        <a:xfrm>
          <a:off x="11006473" y="2636355"/>
          <a:ext cx="2710451" cy="39929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6350" cap="rnd" cmpd="sng">
          <a:solidFill>
            <a:schemeClr val="accent1">
              <a:lumMod val="75000"/>
            </a:schemeClr>
          </a:solidFill>
        </a:ln>
        <a:effectLst>
          <a:outerShdw blurRad="38100" dist="38100" dir="2700000" algn="tl" rotWithShape="0">
            <a:schemeClr val="accent4">
              <a:lumMod val="75000"/>
              <a:alpha val="44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Clear the </a:t>
          </a:r>
          <a:r>
            <a:rPr lang="en-GB" sz="1100" b="1"/>
            <a:t>table</a:t>
          </a:r>
          <a:r>
            <a:rPr lang="en-GB" sz="1100" baseline="0"/>
            <a:t> to enter new values</a:t>
          </a:r>
        </a:p>
        <a:p>
          <a:pPr algn="ctr"/>
          <a:endParaRPr lang="en-GB" sz="1100"/>
        </a:p>
      </xdr:txBody>
    </xdr:sp>
    <xdr:clientData/>
  </xdr:twoCellAnchor>
  <xdr:twoCellAnchor>
    <xdr:from>
      <xdr:col>9</xdr:col>
      <xdr:colOff>208541</xdr:colOff>
      <xdr:row>0</xdr:row>
      <xdr:rowOff>186612</xdr:rowOff>
    </xdr:from>
    <xdr:to>
      <xdr:col>11</xdr:col>
      <xdr:colOff>953789</xdr:colOff>
      <xdr:row>1</xdr:row>
      <xdr:rowOff>217715</xdr:rowOff>
    </xdr:to>
    <xdr:sp macro="[0]!RefreshData" textlink="">
      <xdr:nvSpPr>
        <xdr:cNvPr id="3" name="TextBox 2">
          <a:extLst>
            <a:ext uri="{FF2B5EF4-FFF2-40B4-BE49-F238E27FC236}">
              <a16:creationId xmlns:a16="http://schemas.microsoft.com/office/drawing/2014/main" id="{1DA3615F-FA77-66C1-5C9E-5398D19B8E8F}"/>
            </a:ext>
          </a:extLst>
        </xdr:cNvPr>
        <xdr:cNvSpPr txBox="1"/>
      </xdr:nvSpPr>
      <xdr:spPr>
        <a:xfrm>
          <a:off x="11024983" y="186612"/>
          <a:ext cx="2744261" cy="39725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6350" cap="rnd" cmpd="sng">
          <a:solidFill>
            <a:schemeClr val="accent1">
              <a:lumMod val="75000"/>
            </a:schemeClr>
          </a:solidFill>
        </a:ln>
        <a:effectLst>
          <a:outerShdw blurRad="38100" dist="38100" dir="2700000" algn="tl" rotWithShape="0">
            <a:schemeClr val="accent4">
              <a:lumMod val="75000"/>
              <a:alpha val="44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Refresh scenario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5D94C-F0D9-48E6-BD01-FC5AF46C072F}">
  <dimension ref="A1:Q47"/>
  <sheetViews>
    <sheetView tabSelected="1" zoomScale="70" zoomScaleNormal="70" workbookViewId="0"/>
  </sheetViews>
  <sheetFormatPr defaultRowHeight="14.6" x14ac:dyDescent="0.4"/>
  <cols>
    <col min="1" max="1" width="5.69140625" customWidth="1"/>
    <col min="2" max="2" width="48.23046875" customWidth="1"/>
    <col min="3" max="12" width="14.07421875" customWidth="1"/>
  </cols>
  <sheetData>
    <row r="1" spans="1:13" ht="29.15" x14ac:dyDescent="0.4">
      <c r="B1" s="58" t="s">
        <v>39</v>
      </c>
      <c r="C1" s="3"/>
      <c r="D1" s="3"/>
      <c r="E1" s="3"/>
      <c r="F1" s="3"/>
      <c r="G1" s="3"/>
      <c r="H1" s="3"/>
      <c r="I1" s="3"/>
      <c r="J1" s="3"/>
      <c r="K1" s="3"/>
      <c r="L1" s="3"/>
    </row>
    <row r="2" spans="1:13" ht="29.15" x14ac:dyDescent="0.4">
      <c r="B2" s="2" t="s">
        <v>42</v>
      </c>
      <c r="C2" s="3"/>
      <c r="D2" s="3"/>
      <c r="E2" s="69"/>
      <c r="F2" s="69"/>
      <c r="G2" s="70" t="s">
        <v>22</v>
      </c>
      <c r="H2" s="69"/>
      <c r="I2" s="69"/>
      <c r="J2" s="3"/>
      <c r="K2" s="3"/>
      <c r="L2" s="3"/>
    </row>
    <row r="3" spans="1:13" x14ac:dyDescent="0.4">
      <c r="B3" s="2"/>
      <c r="C3" s="4"/>
      <c r="D3" s="62"/>
      <c r="E3" s="62"/>
      <c r="F3" s="3"/>
      <c r="G3" s="59" t="s">
        <v>41</v>
      </c>
      <c r="H3" s="60"/>
      <c r="I3" s="60"/>
      <c r="J3" s="60"/>
      <c r="K3" s="60"/>
      <c r="L3" s="61"/>
    </row>
    <row r="4" spans="1:13" ht="43.75" x14ac:dyDescent="0.4">
      <c r="A4" s="1"/>
      <c r="B4" s="5" t="s">
        <v>2</v>
      </c>
      <c r="C4" s="6"/>
      <c r="D4" s="6" t="s">
        <v>45</v>
      </c>
      <c r="E4" s="6" t="s">
        <v>46</v>
      </c>
      <c r="F4" s="7"/>
      <c r="G4" s="51" t="s">
        <v>32</v>
      </c>
      <c r="H4" s="52" t="s">
        <v>33</v>
      </c>
      <c r="I4" s="51" t="s">
        <v>34</v>
      </c>
      <c r="J4" s="52" t="s">
        <v>35</v>
      </c>
      <c r="K4" s="51" t="s">
        <v>36</v>
      </c>
      <c r="L4" s="52" t="s">
        <v>37</v>
      </c>
    </row>
    <row r="5" spans="1:13" x14ac:dyDescent="0.4">
      <c r="A5" s="1"/>
      <c r="B5" s="8" t="str">
        <f>"Percentage of "&amp;B6</f>
        <v>Percentage of Employees leaving after first year (per annum)</v>
      </c>
      <c r="C5" s="9"/>
      <c r="D5" s="57">
        <f>IF(D6/$D$8&gt;100%, "Pls check values", D6/$D$8)</f>
        <v>0.02</v>
      </c>
      <c r="E5" s="57">
        <f>IF(E6/$D$8&gt;100%, "Pls check values", E6/$D$8)</f>
        <v>0.1</v>
      </c>
      <c r="F5" s="7"/>
      <c r="G5" s="53">
        <f t="shared" ref="G5:L5" ca="1" si="0">IF(G6/$D$8&gt;100%, "Pls check values", G6/$D$8)</f>
        <v>3.4000000000000002E-2</v>
      </c>
      <c r="H5" s="54">
        <f t="shared" ca="1" si="0"/>
        <v>8.2000000000000003E-2</v>
      </c>
      <c r="I5" s="53">
        <f t="shared" ca="1" si="0"/>
        <v>0.16800000000000001</v>
      </c>
      <c r="J5" s="54">
        <f t="shared" ca="1" si="0"/>
        <v>0.374</v>
      </c>
      <c r="K5" s="53">
        <f t="shared" ca="1" si="0"/>
        <v>0.52400000000000002</v>
      </c>
      <c r="L5" s="54">
        <f t="shared" ca="1" si="0"/>
        <v>0.874</v>
      </c>
    </row>
    <row r="6" spans="1:13" ht="24" x14ac:dyDescent="0.4">
      <c r="A6" s="1"/>
      <c r="B6" s="10" t="s">
        <v>40</v>
      </c>
      <c r="C6" s="11"/>
      <c r="D6" s="11">
        <v>10</v>
      </c>
      <c r="E6" s="11">
        <v>50</v>
      </c>
      <c r="F6" s="12" t="s">
        <v>1</v>
      </c>
      <c r="G6" s="55">
        <f ca="1">RANDBETWEEN(0, 5%*$D$8)</f>
        <v>17</v>
      </c>
      <c r="H6" s="56">
        <f ca="1">RANDBETWEEN(5.1%*$D$8, 10%*$D$8)</f>
        <v>41</v>
      </c>
      <c r="I6" s="56">
        <f ca="1">RANDBETWEEN(10.1%*$D$8, 25%*$D$8)</f>
        <v>84</v>
      </c>
      <c r="J6" s="56">
        <f ca="1">RANDBETWEEN(25.1%*$D$8, 40%*$D$8)</f>
        <v>187</v>
      </c>
      <c r="K6" s="56">
        <f ca="1">RANDBETWEEN(40.1%*$D$8, 60%*$D$8)</f>
        <v>262</v>
      </c>
      <c r="L6" s="56">
        <f ca="1">RANDBETWEEN(60.1%*$D$8, 100%*$D$8)</f>
        <v>437</v>
      </c>
    </row>
    <row r="7" spans="1:13" x14ac:dyDescent="0.4">
      <c r="A7" s="1"/>
      <c r="B7" s="13"/>
      <c r="C7" s="14"/>
      <c r="D7" s="15"/>
      <c r="E7" s="16"/>
      <c r="F7" s="7"/>
      <c r="G7" s="7"/>
      <c r="H7" s="3"/>
      <c r="I7" s="3"/>
      <c r="J7" s="3"/>
      <c r="K7" s="3"/>
      <c r="L7" s="3"/>
    </row>
    <row r="8" spans="1:13" ht="36" x14ac:dyDescent="0.4">
      <c r="A8" s="1"/>
      <c r="B8" s="17" t="s">
        <v>38</v>
      </c>
      <c r="C8" s="18"/>
      <c r="D8" s="63">
        <v>500</v>
      </c>
      <c r="E8" s="63"/>
      <c r="F8" s="12" t="s">
        <v>0</v>
      </c>
      <c r="G8" s="7"/>
      <c r="H8" s="3"/>
      <c r="I8" s="3"/>
      <c r="J8" s="3"/>
      <c r="K8" s="3"/>
      <c r="L8" s="3"/>
    </row>
    <row r="9" spans="1:13" ht="15" thickBot="1" x14ac:dyDescent="0.45">
      <c r="A9" s="1"/>
      <c r="B9" s="19"/>
      <c r="C9" s="20"/>
      <c r="D9" s="20"/>
      <c r="E9" s="20"/>
      <c r="F9" s="12"/>
      <c r="G9" s="7"/>
      <c r="H9" s="3"/>
      <c r="I9" s="3"/>
      <c r="J9" s="3"/>
      <c r="K9" s="3"/>
      <c r="L9" s="3"/>
    </row>
    <row r="10" spans="1:13" ht="44.6" customHeight="1" thickTop="1" x14ac:dyDescent="0.4">
      <c r="B10" s="2"/>
      <c r="C10" s="37" t="s">
        <v>11</v>
      </c>
      <c r="D10" s="3"/>
      <c r="E10" s="3"/>
      <c r="F10" s="3"/>
      <c r="G10" s="67" t="s">
        <v>16</v>
      </c>
      <c r="H10" s="68"/>
      <c r="I10" s="3"/>
      <c r="J10" s="3"/>
      <c r="K10" s="3"/>
      <c r="L10" s="3"/>
    </row>
    <row r="11" spans="1:13" ht="90.45" thickBot="1" x14ac:dyDescent="0.45">
      <c r="B11" s="38" t="s">
        <v>15</v>
      </c>
      <c r="C11" s="39" t="s">
        <v>12</v>
      </c>
      <c r="D11" s="39" t="s">
        <v>17</v>
      </c>
      <c r="E11" s="40" t="s">
        <v>43</v>
      </c>
      <c r="F11" s="39" t="s">
        <v>20</v>
      </c>
      <c r="G11" s="40" t="s">
        <v>21</v>
      </c>
      <c r="H11" s="40" t="s">
        <v>19</v>
      </c>
      <c r="I11" s="41" t="s">
        <v>18</v>
      </c>
      <c r="J11" s="41" t="str">
        <f>"Total pay of all ("&amp;F12&amp;") employees working at event (averaged &amp; estimated)"</f>
        <v>Total pay of all (5) employees working at event (averaged &amp; estimated)</v>
      </c>
      <c r="K11" s="39" t="s">
        <v>13</v>
      </c>
      <c r="L11" s="42" t="s">
        <v>9</v>
      </c>
    </row>
    <row r="12" spans="1:13" ht="15" customHeight="1" thickTop="1" x14ac:dyDescent="0.4">
      <c r="A12" s="21">
        <v>1</v>
      </c>
      <c r="B12" s="43" t="s">
        <v>10</v>
      </c>
      <c r="C12" s="64">
        <v>8</v>
      </c>
      <c r="D12" s="22">
        <v>100</v>
      </c>
      <c r="E12" s="23">
        <v>15</v>
      </c>
      <c r="F12" s="23">
        <v>5</v>
      </c>
      <c r="G12" s="23">
        <v>25</v>
      </c>
      <c r="H12" s="23">
        <v>6</v>
      </c>
      <c r="I12" s="24">
        <f>H12*G12</f>
        <v>150</v>
      </c>
      <c r="J12" s="24">
        <f>I12*F12</f>
        <v>750</v>
      </c>
      <c r="K12" s="25">
        <v>50</v>
      </c>
      <c r="L12" s="44">
        <f>$D12+($E12*$F12)+$J12+$K12</f>
        <v>975</v>
      </c>
      <c r="M12" t="s">
        <v>14</v>
      </c>
    </row>
    <row r="13" spans="1:13" ht="14.6" customHeight="1" x14ac:dyDescent="0.4">
      <c r="A13" s="21">
        <v>2</v>
      </c>
      <c r="B13" s="43" t="s">
        <v>10</v>
      </c>
      <c r="C13" s="65"/>
      <c r="D13" s="22">
        <v>200</v>
      </c>
      <c r="E13" s="23">
        <v>20</v>
      </c>
      <c r="F13" s="23">
        <v>6</v>
      </c>
      <c r="G13" s="23">
        <v>25</v>
      </c>
      <c r="H13" s="23">
        <v>6</v>
      </c>
      <c r="I13" s="24">
        <f t="shared" ref="I13:I31" si="1">H13*G13</f>
        <v>150</v>
      </c>
      <c r="J13" s="24">
        <f t="shared" ref="J13:J31" si="2">I13*F13</f>
        <v>900</v>
      </c>
      <c r="K13" s="25">
        <v>40</v>
      </c>
      <c r="L13" s="44">
        <f t="shared" ref="L13:L31" si="3">$D13+($E13*$F13)+$J13+$K13</f>
        <v>1260</v>
      </c>
    </row>
    <row r="14" spans="1:13" ht="14.6" customHeight="1" x14ac:dyDescent="0.4">
      <c r="A14" s="21">
        <v>3</v>
      </c>
      <c r="B14" s="43" t="s">
        <v>10</v>
      </c>
      <c r="C14" s="65"/>
      <c r="D14" s="22">
        <v>300</v>
      </c>
      <c r="E14" s="23">
        <v>13</v>
      </c>
      <c r="F14" s="23">
        <v>5</v>
      </c>
      <c r="G14" s="23">
        <v>25</v>
      </c>
      <c r="H14" s="23">
        <v>6</v>
      </c>
      <c r="I14" s="24">
        <f t="shared" si="1"/>
        <v>150</v>
      </c>
      <c r="J14" s="24">
        <f t="shared" si="2"/>
        <v>750</v>
      </c>
      <c r="K14" s="25">
        <v>30</v>
      </c>
      <c r="L14" s="44">
        <f t="shared" si="3"/>
        <v>1145</v>
      </c>
    </row>
    <row r="15" spans="1:13" ht="14.6" customHeight="1" x14ac:dyDescent="0.4">
      <c r="A15" s="21">
        <v>4</v>
      </c>
      <c r="B15" s="43" t="s">
        <v>10</v>
      </c>
      <c r="C15" s="65"/>
      <c r="D15" s="22">
        <v>45</v>
      </c>
      <c r="E15" s="23">
        <v>15</v>
      </c>
      <c r="F15" s="23">
        <v>4</v>
      </c>
      <c r="G15" s="23">
        <v>25</v>
      </c>
      <c r="H15" s="23">
        <v>6</v>
      </c>
      <c r="I15" s="24">
        <f t="shared" si="1"/>
        <v>150</v>
      </c>
      <c r="J15" s="24">
        <f t="shared" si="2"/>
        <v>600</v>
      </c>
      <c r="K15" s="25">
        <v>40</v>
      </c>
      <c r="L15" s="44">
        <f t="shared" si="3"/>
        <v>745</v>
      </c>
    </row>
    <row r="16" spans="1:13" ht="14.6" customHeight="1" x14ac:dyDescent="0.4">
      <c r="A16" s="21">
        <v>5</v>
      </c>
      <c r="B16" s="43" t="s">
        <v>10</v>
      </c>
      <c r="C16" s="65"/>
      <c r="D16" s="22">
        <v>100</v>
      </c>
      <c r="E16" s="23">
        <v>40</v>
      </c>
      <c r="F16" s="23">
        <v>2</v>
      </c>
      <c r="G16" s="23">
        <v>25</v>
      </c>
      <c r="H16" s="23">
        <v>6</v>
      </c>
      <c r="I16" s="24">
        <f t="shared" si="1"/>
        <v>150</v>
      </c>
      <c r="J16" s="24">
        <f t="shared" si="2"/>
        <v>300</v>
      </c>
      <c r="K16" s="25">
        <v>50</v>
      </c>
      <c r="L16" s="44">
        <f t="shared" si="3"/>
        <v>530</v>
      </c>
    </row>
    <row r="17" spans="1:12" ht="14.6" customHeight="1" x14ac:dyDescent="0.4">
      <c r="A17" s="21">
        <v>6</v>
      </c>
      <c r="B17" s="43" t="s">
        <v>10</v>
      </c>
      <c r="C17" s="65"/>
      <c r="D17" s="22">
        <v>522</v>
      </c>
      <c r="E17" s="23">
        <v>60</v>
      </c>
      <c r="F17" s="23">
        <v>5</v>
      </c>
      <c r="G17" s="23">
        <v>25</v>
      </c>
      <c r="H17" s="23">
        <v>6</v>
      </c>
      <c r="I17" s="24">
        <f t="shared" si="1"/>
        <v>150</v>
      </c>
      <c r="J17" s="24">
        <f t="shared" si="2"/>
        <v>750</v>
      </c>
      <c r="K17" s="25">
        <v>40</v>
      </c>
      <c r="L17" s="44">
        <f t="shared" si="3"/>
        <v>1612</v>
      </c>
    </row>
    <row r="18" spans="1:12" ht="14.6" customHeight="1" x14ac:dyDescent="0.4">
      <c r="A18" s="21">
        <v>7</v>
      </c>
      <c r="B18" s="43" t="s">
        <v>10</v>
      </c>
      <c r="C18" s="65"/>
      <c r="D18" s="22">
        <v>100</v>
      </c>
      <c r="E18" s="23">
        <v>15</v>
      </c>
      <c r="F18" s="23">
        <v>6</v>
      </c>
      <c r="G18" s="23">
        <v>25</v>
      </c>
      <c r="H18" s="23">
        <v>6</v>
      </c>
      <c r="I18" s="24">
        <f t="shared" si="1"/>
        <v>150</v>
      </c>
      <c r="J18" s="24">
        <f t="shared" si="2"/>
        <v>900</v>
      </c>
      <c r="K18" s="25">
        <v>30</v>
      </c>
      <c r="L18" s="44">
        <f t="shared" si="3"/>
        <v>1120</v>
      </c>
    </row>
    <row r="19" spans="1:12" ht="14.6" customHeight="1" x14ac:dyDescent="0.4">
      <c r="A19" s="21">
        <v>8</v>
      </c>
      <c r="B19" s="43" t="s">
        <v>10</v>
      </c>
      <c r="C19" s="65"/>
      <c r="D19" s="22">
        <v>30</v>
      </c>
      <c r="E19" s="23">
        <v>20</v>
      </c>
      <c r="F19" s="23">
        <v>5</v>
      </c>
      <c r="G19" s="23">
        <v>25</v>
      </c>
      <c r="H19" s="23">
        <v>6</v>
      </c>
      <c r="I19" s="24">
        <f t="shared" si="1"/>
        <v>150</v>
      </c>
      <c r="J19" s="24">
        <f t="shared" si="2"/>
        <v>750</v>
      </c>
      <c r="K19" s="25">
        <v>40</v>
      </c>
      <c r="L19" s="44">
        <f t="shared" si="3"/>
        <v>920</v>
      </c>
    </row>
    <row r="20" spans="1:12" ht="14.6" customHeight="1" x14ac:dyDescent="0.4">
      <c r="A20" s="21">
        <v>9</v>
      </c>
      <c r="B20" s="43" t="s">
        <v>10</v>
      </c>
      <c r="C20" s="65"/>
      <c r="D20" s="22">
        <v>400</v>
      </c>
      <c r="E20" s="23">
        <v>13</v>
      </c>
      <c r="F20" s="23">
        <v>4</v>
      </c>
      <c r="G20" s="23">
        <v>25</v>
      </c>
      <c r="H20" s="23">
        <v>6</v>
      </c>
      <c r="I20" s="24">
        <f t="shared" si="1"/>
        <v>150</v>
      </c>
      <c r="J20" s="24">
        <f t="shared" si="2"/>
        <v>600</v>
      </c>
      <c r="K20" s="25">
        <v>40</v>
      </c>
      <c r="L20" s="44">
        <f t="shared" si="3"/>
        <v>1092</v>
      </c>
    </row>
    <row r="21" spans="1:12" ht="14.6" customHeight="1" x14ac:dyDescent="0.4">
      <c r="A21" s="21">
        <v>10</v>
      </c>
      <c r="B21" s="43" t="s">
        <v>10</v>
      </c>
      <c r="C21" s="65"/>
      <c r="D21" s="22">
        <v>302</v>
      </c>
      <c r="E21" s="23">
        <v>15</v>
      </c>
      <c r="F21" s="23">
        <v>2</v>
      </c>
      <c r="G21" s="23">
        <v>25</v>
      </c>
      <c r="H21" s="23">
        <v>6</v>
      </c>
      <c r="I21" s="24">
        <f t="shared" si="1"/>
        <v>150</v>
      </c>
      <c r="J21" s="24">
        <f t="shared" si="2"/>
        <v>300</v>
      </c>
      <c r="K21" s="25">
        <v>40</v>
      </c>
      <c r="L21" s="44">
        <f t="shared" si="3"/>
        <v>672</v>
      </c>
    </row>
    <row r="22" spans="1:12" ht="14.6" customHeight="1" x14ac:dyDescent="0.4">
      <c r="A22" s="21">
        <v>11</v>
      </c>
      <c r="B22" s="43" t="s">
        <v>10</v>
      </c>
      <c r="C22" s="65"/>
      <c r="D22" s="22"/>
      <c r="E22" s="23">
        <v>40</v>
      </c>
      <c r="F22" s="23"/>
      <c r="G22" s="23"/>
      <c r="H22" s="23"/>
      <c r="I22" s="24">
        <f t="shared" si="1"/>
        <v>0</v>
      </c>
      <c r="J22" s="24">
        <f t="shared" si="2"/>
        <v>0</v>
      </c>
      <c r="K22" s="25"/>
      <c r="L22" s="44">
        <f t="shared" si="3"/>
        <v>0</v>
      </c>
    </row>
    <row r="23" spans="1:12" ht="15" customHeight="1" x14ac:dyDescent="0.4">
      <c r="A23" s="21">
        <v>12</v>
      </c>
      <c r="B23" s="43" t="s">
        <v>10</v>
      </c>
      <c r="C23" s="65"/>
      <c r="D23" s="22"/>
      <c r="E23" s="23">
        <v>60</v>
      </c>
      <c r="F23" s="23"/>
      <c r="G23" s="23"/>
      <c r="H23" s="23"/>
      <c r="I23" s="24">
        <f t="shared" si="1"/>
        <v>0</v>
      </c>
      <c r="J23" s="24">
        <f t="shared" si="2"/>
        <v>0</v>
      </c>
      <c r="K23" s="25"/>
      <c r="L23" s="44">
        <f t="shared" si="3"/>
        <v>0</v>
      </c>
    </row>
    <row r="24" spans="1:12" x14ac:dyDescent="0.4">
      <c r="A24" s="21">
        <v>13</v>
      </c>
      <c r="B24" s="43" t="s">
        <v>10</v>
      </c>
      <c r="C24" s="65"/>
      <c r="D24" s="22"/>
      <c r="E24" s="23"/>
      <c r="F24" s="23"/>
      <c r="G24" s="23"/>
      <c r="H24" s="23"/>
      <c r="I24" s="24">
        <f t="shared" si="1"/>
        <v>0</v>
      </c>
      <c r="J24" s="24">
        <f t="shared" si="2"/>
        <v>0</v>
      </c>
      <c r="K24" s="25"/>
      <c r="L24" s="44">
        <f t="shared" si="3"/>
        <v>0</v>
      </c>
    </row>
    <row r="25" spans="1:12" x14ac:dyDescent="0.4">
      <c r="A25" s="21">
        <v>14</v>
      </c>
      <c r="B25" s="43" t="s">
        <v>10</v>
      </c>
      <c r="C25" s="65"/>
      <c r="D25" s="22"/>
      <c r="E25" s="23"/>
      <c r="F25" s="23"/>
      <c r="G25" s="23"/>
      <c r="H25" s="23"/>
      <c r="I25" s="24">
        <f t="shared" si="1"/>
        <v>0</v>
      </c>
      <c r="J25" s="24">
        <f t="shared" si="2"/>
        <v>0</v>
      </c>
      <c r="K25" s="25"/>
      <c r="L25" s="44">
        <f t="shared" si="3"/>
        <v>0</v>
      </c>
    </row>
    <row r="26" spans="1:12" x14ac:dyDescent="0.4">
      <c r="A26" s="21">
        <v>15</v>
      </c>
      <c r="B26" s="43" t="s">
        <v>10</v>
      </c>
      <c r="C26" s="65"/>
      <c r="D26" s="22"/>
      <c r="E26" s="23"/>
      <c r="F26" s="23"/>
      <c r="G26" s="23"/>
      <c r="H26" s="23"/>
      <c r="I26" s="24">
        <f t="shared" si="1"/>
        <v>0</v>
      </c>
      <c r="J26" s="24">
        <f t="shared" si="2"/>
        <v>0</v>
      </c>
      <c r="K26" s="25"/>
      <c r="L26" s="44">
        <f t="shared" si="3"/>
        <v>0</v>
      </c>
    </row>
    <row r="27" spans="1:12" x14ac:dyDescent="0.4">
      <c r="A27" s="21">
        <v>16</v>
      </c>
      <c r="B27" s="43" t="s">
        <v>10</v>
      </c>
      <c r="C27" s="65"/>
      <c r="D27" s="22"/>
      <c r="E27" s="23"/>
      <c r="F27" s="23"/>
      <c r="G27" s="23"/>
      <c r="H27" s="23"/>
      <c r="I27" s="24">
        <f t="shared" si="1"/>
        <v>0</v>
      </c>
      <c r="J27" s="24">
        <f t="shared" si="2"/>
        <v>0</v>
      </c>
      <c r="K27" s="25"/>
      <c r="L27" s="44">
        <f t="shared" si="3"/>
        <v>0</v>
      </c>
    </row>
    <row r="28" spans="1:12" x14ac:dyDescent="0.4">
      <c r="A28" s="21">
        <v>17</v>
      </c>
      <c r="B28" s="43" t="s">
        <v>10</v>
      </c>
      <c r="C28" s="65"/>
      <c r="D28" s="22"/>
      <c r="E28" s="23"/>
      <c r="F28" s="23"/>
      <c r="G28" s="23"/>
      <c r="H28" s="23"/>
      <c r="I28" s="24">
        <f t="shared" si="1"/>
        <v>0</v>
      </c>
      <c r="J28" s="24">
        <f t="shared" si="2"/>
        <v>0</v>
      </c>
      <c r="K28" s="25"/>
      <c r="L28" s="44">
        <f t="shared" si="3"/>
        <v>0</v>
      </c>
    </row>
    <row r="29" spans="1:12" x14ac:dyDescent="0.4">
      <c r="A29" s="21">
        <v>18</v>
      </c>
      <c r="B29" s="43" t="s">
        <v>10</v>
      </c>
      <c r="C29" s="65"/>
      <c r="D29" s="22"/>
      <c r="E29" s="23"/>
      <c r="F29" s="23"/>
      <c r="G29" s="23"/>
      <c r="H29" s="23"/>
      <c r="I29" s="24">
        <f t="shared" si="1"/>
        <v>0</v>
      </c>
      <c r="J29" s="24">
        <f t="shared" si="2"/>
        <v>0</v>
      </c>
      <c r="K29" s="25"/>
      <c r="L29" s="44">
        <f t="shared" si="3"/>
        <v>0</v>
      </c>
    </row>
    <row r="30" spans="1:12" x14ac:dyDescent="0.4">
      <c r="A30" s="21">
        <v>19</v>
      </c>
      <c r="B30" s="43" t="s">
        <v>10</v>
      </c>
      <c r="C30" s="65"/>
      <c r="D30" s="22"/>
      <c r="E30" s="23"/>
      <c r="F30" s="23"/>
      <c r="G30" s="23"/>
      <c r="H30" s="23"/>
      <c r="I30" s="24">
        <f t="shared" si="1"/>
        <v>0</v>
      </c>
      <c r="J30" s="24">
        <f t="shared" si="2"/>
        <v>0</v>
      </c>
      <c r="K30" s="25"/>
      <c r="L30" s="44">
        <f t="shared" si="3"/>
        <v>0</v>
      </c>
    </row>
    <row r="31" spans="1:12" x14ac:dyDescent="0.4">
      <c r="A31" s="21">
        <v>20</v>
      </c>
      <c r="B31" s="45" t="s">
        <v>10</v>
      </c>
      <c r="C31" s="66"/>
      <c r="D31" s="46"/>
      <c r="E31" s="47"/>
      <c r="F31" s="47"/>
      <c r="G31" s="47"/>
      <c r="H31" s="47"/>
      <c r="I31" s="48">
        <f t="shared" si="1"/>
        <v>0</v>
      </c>
      <c r="J31" s="48">
        <f t="shared" si="2"/>
        <v>0</v>
      </c>
      <c r="K31" s="49"/>
      <c r="L31" s="50">
        <f t="shared" si="3"/>
        <v>0</v>
      </c>
    </row>
    <row r="33" spans="2:17" x14ac:dyDescent="0.4">
      <c r="B33" s="34" t="s">
        <v>25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2:17" x14ac:dyDescent="0.4">
      <c r="B34" s="3" t="s">
        <v>29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2:17" x14ac:dyDescent="0.4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2:17" x14ac:dyDescent="0.4">
      <c r="B36" s="35" t="s">
        <v>26</v>
      </c>
      <c r="C36" s="31" t="s">
        <v>44</v>
      </c>
      <c r="D36" s="31" t="s">
        <v>24</v>
      </c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2:17" x14ac:dyDescent="0.4">
      <c r="B37" s="36" t="s">
        <v>23</v>
      </c>
      <c r="C37" s="32">
        <f>$C$12</f>
        <v>8</v>
      </c>
      <c r="D37" s="33">
        <f>SUMIFS(L12:L31,A12:A31,"&lt;="&amp;C37)</f>
        <v>8307</v>
      </c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2:17" x14ac:dyDescent="0.4"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2:17" x14ac:dyDescent="0.4">
      <c r="B39" t="s">
        <v>28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2:17" x14ac:dyDescent="0.4"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2:17" ht="29.15" x14ac:dyDescent="0.4">
      <c r="B41" s="29" t="s">
        <v>27</v>
      </c>
      <c r="C41" s="30" t="s">
        <v>24</v>
      </c>
      <c r="D41" s="30" t="s">
        <v>30</v>
      </c>
      <c r="E41" s="30" t="s">
        <v>31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2:17" x14ac:dyDescent="0.4">
      <c r="B42" s="26" t="s">
        <v>5</v>
      </c>
      <c r="C42" s="27"/>
      <c r="D42" s="27"/>
      <c r="E42" s="27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2:17" x14ac:dyDescent="0.4">
      <c r="B43" s="26" t="s">
        <v>6</v>
      </c>
      <c r="C43" s="27"/>
      <c r="D43" s="27"/>
      <c r="E43" s="27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2:17" ht="29.15" x14ac:dyDescent="0.4">
      <c r="B44" s="26" t="s">
        <v>4</v>
      </c>
      <c r="C44" s="27"/>
      <c r="D44" s="27"/>
      <c r="E44" s="27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2:17" ht="29.15" x14ac:dyDescent="0.4">
      <c r="B45" s="26" t="s">
        <v>3</v>
      </c>
      <c r="C45" s="27"/>
      <c r="D45" s="27"/>
      <c r="E45" s="27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2:17" ht="29.15" x14ac:dyDescent="0.4">
      <c r="B46" s="26" t="s">
        <v>7</v>
      </c>
      <c r="C46" s="27"/>
      <c r="D46" s="27"/>
      <c r="E46" s="27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2:17" x14ac:dyDescent="0.4">
      <c r="B47" s="28" t="s">
        <v>8</v>
      </c>
      <c r="C47" s="27"/>
      <c r="D47" s="27"/>
      <c r="E47" s="27"/>
    </row>
  </sheetData>
  <sheetProtection algorithmName="SHA-512" hashValue="tzI3ilC9WKel5j8tLuOFKELzk4ZYVHoKbuR0hrVYq1sYr2nyUYHk3dbB8YQyTb/fBnwofiH+1ub7YjEC1FRi6A==" saltValue="OU0wFwphqmQ07xwVCVlq9w==" spinCount="100000" sheet="1" objects="1" scenarios="1"/>
  <mergeCells count="5">
    <mergeCell ref="G3:L3"/>
    <mergeCell ref="D3:E3"/>
    <mergeCell ref="D8:E8"/>
    <mergeCell ref="C12:C31"/>
    <mergeCell ref="G10:H10"/>
  </mergeCells>
  <conditionalFormatting sqref="C5:E6 C37:D37 C42:E47">
    <cfRule type="containsText" dxfId="10" priority="31" operator="containsText" text="Value too high">
      <formula>NOT(ISERROR(SEARCH("Value too high",C5)))</formula>
    </cfRule>
  </conditionalFormatting>
  <conditionalFormatting sqref="A12:A31">
    <cfRule type="cellIs" dxfId="9" priority="16" operator="greaterThan">
      <formula>$C$12</formula>
    </cfRule>
  </conditionalFormatting>
  <conditionalFormatting sqref="B12:B31 B33">
    <cfRule type="expression" dxfId="8" priority="13">
      <formula>$A12&gt;$C$12</formula>
    </cfRule>
  </conditionalFormatting>
  <conditionalFormatting sqref="D12:I31">
    <cfRule type="expression" dxfId="7" priority="12">
      <formula>$A12&gt;$C$12</formula>
    </cfRule>
  </conditionalFormatting>
  <conditionalFormatting sqref="J12:J31">
    <cfRule type="expression" dxfId="6" priority="11">
      <formula>$A12&gt;$C$12</formula>
    </cfRule>
  </conditionalFormatting>
  <conditionalFormatting sqref="K12:K31">
    <cfRule type="expression" dxfId="5" priority="10">
      <formula>$A12&gt;$C$12</formula>
    </cfRule>
  </conditionalFormatting>
  <conditionalFormatting sqref="L12:L31">
    <cfRule type="expression" dxfId="4" priority="9">
      <formula>$A12&gt;$C$12</formula>
    </cfRule>
  </conditionalFormatting>
  <conditionalFormatting sqref="G5:H6">
    <cfRule type="containsText" dxfId="3" priority="8" operator="containsText" text="Value too high">
      <formula>NOT(ISERROR(SEARCH("Value too high",G5)))</formula>
    </cfRule>
  </conditionalFormatting>
  <conditionalFormatting sqref="I5:J5">
    <cfRule type="containsText" dxfId="2" priority="7" operator="containsText" text="Value too high">
      <formula>NOT(ISERROR(SEARCH("Value too high",I5)))</formula>
    </cfRule>
  </conditionalFormatting>
  <conditionalFormatting sqref="K5:L5">
    <cfRule type="containsText" dxfId="1" priority="6" operator="containsText" text="Value too high">
      <formula>NOT(ISERROR(SEARCH("Value too high",K5)))</formula>
    </cfRule>
  </conditionalFormatting>
  <conditionalFormatting sqref="I6:L6">
    <cfRule type="containsText" dxfId="0" priority="5" operator="containsText" text="Value too high">
      <formula>NOT(ISERROR(SEARCH("Value too high",I6)))</formula>
    </cfRule>
  </conditionalFormatting>
  <conditionalFormatting sqref="G5:L5">
    <cfRule type="colorScale" priority="2">
      <colorScale>
        <cfvo type="min"/>
        <cfvo type="percentile" val="30"/>
        <cfvo type="max"/>
        <color rgb="FF63BE7B"/>
        <color rgb="FFFFEB84"/>
        <color rgb="FFF8696B"/>
      </colorScale>
    </cfRule>
  </conditionalFormatting>
  <conditionalFormatting sqref="G6:L6">
    <cfRule type="colorScale" priority="1">
      <colorScale>
        <cfvo type="min"/>
        <cfvo type="percentile" val="3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Veera S</dc:creator>
  <cp:lastModifiedBy>Veera S</cp:lastModifiedBy>
  <dcterms:created xsi:type="dcterms:W3CDTF">2025-09-10T11:36:50Z</dcterms:created>
  <dcterms:modified xsi:type="dcterms:W3CDTF">2025-09-10T15:54:14Z</dcterms:modified>
</cp:coreProperties>
</file>