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ocuments\Portfolio\"/>
    </mc:Choice>
  </mc:AlternateContent>
  <xr:revisionPtr revIDLastSave="0" documentId="13_ncr:1_{B7508123-08CF-4F5D-8E48-43F740AC1279}" xr6:coauthVersionLast="47" xr6:coauthVersionMax="47" xr10:uidLastSave="{00000000-0000-0000-0000-000000000000}"/>
  <bookViews>
    <workbookView xWindow="4114" yWindow="0" windowWidth="12343" windowHeight="8460" xr2:uid="{B67F4F44-D51B-43B3-8F48-E7518AE98DE5}"/>
  </bookViews>
  <sheets>
    <sheet name="Aloitus" sheetId="1" r:id="rId1"/>
    <sheet name="Listat" sheetId="2" r:id="rId2"/>
    <sheet name="Dashboard" sheetId="3" r:id="rId3"/>
    <sheet name="Data" sheetId="4" r:id="rId4"/>
    <sheet name="Ota yhteyttä" sheetId="5" r:id="rId5"/>
  </sheets>
  <definedNames>
    <definedName name="_xlnm._FilterDatabase" localSheetId="2" hidden="1">Dashboard!$B$7:$B$8</definedName>
    <definedName name="Colours" comment="This is where you will see the selected colour scheme. ">Aloitus!$D$2:$G$2</definedName>
    <definedName name="_xlnm.Print_Area" localSheetId="0">Aloitus!$B$1:$H$9</definedName>
    <definedName name="_xlnm.Print_Area" localSheetId="2">Dashboard!$A$1:$M$90</definedName>
    <definedName name="_xlnm.Print_Area" localSheetId="3">Data!$A$1:$EE$39</definedName>
    <definedName name="_xlnm.Print_Area" localSheetId="1">Listat!$A$1:$G$27</definedName>
    <definedName name="_xlnm.Print_Area" localSheetId="4">'Ota yhteyttä'!$A$1:$J$6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C12" i="2"/>
  <c r="C13" i="2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D13" i="4"/>
  <c r="B70" i="3"/>
  <c r="B50" i="3"/>
  <c r="B30" i="3"/>
  <c r="B10" i="3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8" i="4"/>
  <c r="D7" i="2"/>
  <c r="E11" i="2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D10" i="4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CA8" i="4" s="1"/>
  <c r="CB8" i="4" s="1"/>
  <c r="CC8" i="4" s="1"/>
  <c r="CD8" i="4" s="1"/>
  <c r="CE8" i="4" s="1"/>
  <c r="CF8" i="4" s="1"/>
  <c r="CG8" i="4" s="1"/>
  <c r="CH8" i="4" s="1"/>
  <c r="CI8" i="4" s="1"/>
  <c r="CJ8" i="4" s="1"/>
  <c r="CK8" i="4" s="1"/>
  <c r="CL8" i="4" s="1"/>
  <c r="CM8" i="4" s="1"/>
  <c r="CN8" i="4" s="1"/>
  <c r="CO8" i="4" s="1"/>
  <c r="CP8" i="4" s="1"/>
  <c r="CQ8" i="4" s="1"/>
  <c r="CR8" i="4" s="1"/>
  <c r="CS8" i="4" s="1"/>
  <c r="CT8" i="4" s="1"/>
  <c r="CU8" i="4" s="1"/>
  <c r="CV8" i="4" s="1"/>
  <c r="CW8" i="4" s="1"/>
  <c r="CX8" i="4" s="1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DQ8" i="4" s="1"/>
  <c r="DR8" i="4" s="1"/>
  <c r="DS8" i="4" s="1"/>
  <c r="DT8" i="4" s="1"/>
  <c r="DU8" i="4" s="1"/>
  <c r="DV8" i="4" s="1"/>
  <c r="DW8" i="4" s="1"/>
  <c r="DX8" i="4" s="1"/>
  <c r="DY8" i="4" s="1"/>
  <c r="DZ8" i="4" s="1"/>
  <c r="EA8" i="4" s="1"/>
  <c r="EB8" i="4" s="1"/>
  <c r="EC8" i="4" s="1"/>
  <c r="ED8" i="4" s="1"/>
  <c r="EE8" i="4" s="1"/>
  <c r="EE9" i="4" s="1"/>
  <c r="EA9" i="4" l="1"/>
  <c r="F11" i="2"/>
  <c r="F26" i="2"/>
  <c r="F22" i="2"/>
  <c r="F18" i="2"/>
  <c r="F14" i="2"/>
  <c r="F23" i="2"/>
  <c r="F15" i="2"/>
  <c r="F13" i="2"/>
  <c r="F19" i="2"/>
  <c r="F25" i="2"/>
  <c r="F21" i="2"/>
  <c r="F17" i="2"/>
  <c r="F24" i="2"/>
  <c r="F20" i="2"/>
  <c r="F16" i="2"/>
  <c r="F12" i="2"/>
  <c r="EB9" i="4"/>
  <c r="DX9" i="4"/>
  <c r="DT9" i="4"/>
  <c r="DP9" i="4"/>
  <c r="DL9" i="4"/>
  <c r="DH9" i="4"/>
  <c r="DD9" i="4"/>
  <c r="CZ9" i="4"/>
  <c r="CV9" i="4"/>
  <c r="CR9" i="4"/>
  <c r="CN9" i="4"/>
  <c r="CJ9" i="4"/>
  <c r="CF9" i="4"/>
  <c r="CB9" i="4"/>
  <c r="BX9" i="4"/>
  <c r="BT9" i="4"/>
  <c r="BP9" i="4"/>
  <c r="BL9" i="4"/>
  <c r="BH9" i="4"/>
  <c r="BD9" i="4"/>
  <c r="AZ9" i="4"/>
  <c r="AV9" i="4"/>
  <c r="AR9" i="4"/>
  <c r="AN9" i="4"/>
  <c r="AJ9" i="4"/>
  <c r="AF9" i="4"/>
  <c r="AB9" i="4"/>
  <c r="X9" i="4"/>
  <c r="T9" i="4"/>
  <c r="P9" i="4"/>
  <c r="L9" i="4"/>
  <c r="H9" i="4"/>
  <c r="DY9" i="4"/>
  <c r="DQ9" i="4"/>
  <c r="DM9" i="4"/>
  <c r="DE9" i="4"/>
  <c r="CW9" i="4"/>
  <c r="CO9" i="4"/>
  <c r="CG9" i="4"/>
  <c r="BY9" i="4"/>
  <c r="BQ9" i="4"/>
  <c r="BI9" i="4"/>
  <c r="BA9" i="4"/>
  <c r="AS9" i="4"/>
  <c r="AG9" i="4"/>
  <c r="G9" i="4"/>
  <c r="EC9" i="4"/>
  <c r="DU9" i="4"/>
  <c r="DI9" i="4"/>
  <c r="DA9" i="4"/>
  <c r="CS9" i="4"/>
  <c r="CK9" i="4"/>
  <c r="CC9" i="4"/>
  <c r="BU9" i="4"/>
  <c r="BM9" i="4"/>
  <c r="BE9" i="4"/>
  <c r="AW9" i="4"/>
  <c r="AO9" i="4"/>
  <c r="AK9" i="4"/>
  <c r="AC9" i="4"/>
  <c r="Y9" i="4"/>
  <c r="U9" i="4"/>
  <c r="Q9" i="4"/>
  <c r="M9" i="4"/>
  <c r="I9" i="4"/>
  <c r="DW9" i="4"/>
  <c r="DS9" i="4"/>
  <c r="DO9" i="4"/>
  <c r="DK9" i="4"/>
  <c r="DG9" i="4"/>
  <c r="DC9" i="4"/>
  <c r="CY9" i="4"/>
  <c r="CU9" i="4"/>
  <c r="CQ9" i="4"/>
  <c r="CM9" i="4"/>
  <c r="CI9" i="4"/>
  <c r="CE9" i="4"/>
  <c r="CA9" i="4"/>
  <c r="BW9" i="4"/>
  <c r="BS9" i="4"/>
  <c r="BO9" i="4"/>
  <c r="BK9" i="4"/>
  <c r="BG9" i="4"/>
  <c r="BC9" i="4"/>
  <c r="AY9" i="4"/>
  <c r="AU9" i="4"/>
  <c r="AQ9" i="4"/>
  <c r="AM9" i="4"/>
  <c r="AI9" i="4"/>
  <c r="AE9" i="4"/>
  <c r="AA9" i="4"/>
  <c r="W9" i="4"/>
  <c r="S9" i="4"/>
  <c r="O9" i="4"/>
  <c r="K9" i="4"/>
  <c r="ED9" i="4"/>
  <c r="DZ9" i="4"/>
  <c r="DV9" i="4"/>
  <c r="DR9" i="4"/>
  <c r="DN9" i="4"/>
  <c r="DJ9" i="4"/>
  <c r="DF9" i="4"/>
  <c r="DB9" i="4"/>
  <c r="CX9" i="4"/>
  <c r="CT9" i="4"/>
  <c r="CP9" i="4"/>
  <c r="CL9" i="4"/>
  <c r="CH9" i="4"/>
  <c r="CD9" i="4"/>
  <c r="BZ9" i="4"/>
  <c r="BV9" i="4"/>
  <c r="BR9" i="4"/>
  <c r="BN9" i="4"/>
  <c r="BJ9" i="4"/>
  <c r="BF9" i="4"/>
  <c r="BB9" i="4"/>
  <c r="AX9" i="4"/>
  <c r="AT9" i="4"/>
  <c r="AP9" i="4"/>
  <c r="AL9" i="4"/>
  <c r="AH9" i="4"/>
  <c r="AD9" i="4"/>
  <c r="Z9" i="4"/>
  <c r="V9" i="4"/>
  <c r="R9" i="4"/>
  <c r="N9" i="4"/>
  <c r="J9" i="4"/>
  <c r="F9" i="4"/>
  <c r="E9" i="4"/>
  <c r="D9" i="4"/>
  <c r="E6" i="4"/>
  <c r="C6" i="4"/>
  <c r="C2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D39" i="4" a="1"/>
  <c r="D39" i="4" s="1"/>
  <c r="E39" i="4" a="1"/>
  <c r="E39" i="4" s="1"/>
  <c r="F39" i="4" a="1"/>
  <c r="F39" i="4" s="1"/>
  <c r="G39" i="4" a="1"/>
  <c r="G39" i="4" s="1"/>
  <c r="H39" i="4" a="1"/>
  <c r="H39" i="4" s="1"/>
  <c r="I39" i="4" a="1"/>
  <c r="I39" i="4" s="1"/>
  <c r="J39" i="4" a="1"/>
  <c r="J39" i="4" s="1"/>
  <c r="K39" i="4" a="1"/>
  <c r="K39" i="4" s="1"/>
  <c r="L39" i="4" a="1"/>
  <c r="L39" i="4" s="1"/>
  <c r="M39" i="4" a="1"/>
  <c r="M39" i="4" s="1"/>
  <c r="N39" i="4" a="1"/>
  <c r="N39" i="4" s="1"/>
  <c r="O39" i="4" a="1"/>
  <c r="O39" i="4" s="1"/>
  <c r="P39" i="4" a="1"/>
  <c r="P39" i="4" s="1"/>
  <c r="Q39" i="4" a="1"/>
  <c r="Q39" i="4" s="1"/>
  <c r="R39" i="4" a="1"/>
  <c r="R39" i="4" s="1"/>
  <c r="S39" i="4" a="1"/>
  <c r="S39" i="4" s="1"/>
  <c r="T39" i="4" a="1"/>
  <c r="T39" i="4" s="1"/>
  <c r="U39" i="4" a="1"/>
  <c r="U39" i="4" s="1"/>
  <c r="V39" i="4" a="1"/>
  <c r="V39" i="4" s="1"/>
  <c r="W39" i="4" a="1"/>
  <c r="W39" i="4" s="1"/>
  <c r="X39" i="4" a="1"/>
  <c r="X39" i="4" s="1"/>
  <c r="Y39" i="4" a="1"/>
  <c r="Y39" i="4" s="1"/>
  <c r="Z39" i="4" a="1"/>
  <c r="Z39" i="4" s="1"/>
  <c r="AA39" i="4" a="1"/>
  <c r="AA39" i="4" s="1"/>
  <c r="AB39" i="4" a="1"/>
  <c r="AB39" i="4" s="1"/>
  <c r="AC39" i="4" a="1"/>
  <c r="AC39" i="4" s="1"/>
  <c r="AD39" i="4" a="1"/>
  <c r="AD39" i="4" s="1"/>
  <c r="AE39" i="4" a="1"/>
  <c r="AE39" i="4" s="1"/>
  <c r="AF39" i="4" a="1"/>
  <c r="AF39" i="4" s="1"/>
  <c r="AG39" i="4" a="1"/>
  <c r="AG39" i="4" s="1"/>
  <c r="AH39" i="4" a="1"/>
  <c r="AH39" i="4" s="1"/>
  <c r="AI39" i="4" a="1"/>
  <c r="AI39" i="4" s="1"/>
  <c r="AJ39" i="4" a="1"/>
  <c r="AJ39" i="4" s="1"/>
  <c r="AK39" i="4" a="1"/>
  <c r="AK39" i="4" s="1"/>
  <c r="AL39" i="4" a="1"/>
  <c r="AL39" i="4" s="1"/>
  <c r="AM39" i="4" a="1"/>
  <c r="AM39" i="4" s="1"/>
  <c r="AN39" i="4" a="1"/>
  <c r="AN39" i="4" s="1"/>
  <c r="AO39" i="4" a="1"/>
  <c r="AO39" i="4" s="1"/>
  <c r="AP39" i="4" a="1"/>
  <c r="AP39" i="4" s="1"/>
  <c r="AQ39" i="4" a="1"/>
  <c r="AQ39" i="4" s="1"/>
  <c r="AR39" i="4" a="1"/>
  <c r="AR39" i="4" s="1"/>
  <c r="AS39" i="4" a="1"/>
  <c r="AS39" i="4" s="1"/>
  <c r="AT39" i="4" a="1"/>
  <c r="AT39" i="4" s="1"/>
  <c r="AU39" i="4" a="1"/>
  <c r="AU39" i="4" s="1"/>
  <c r="AV39" i="4" a="1"/>
  <c r="AV39" i="4" s="1"/>
  <c r="AW39" i="4" a="1"/>
  <c r="AW39" i="4" s="1"/>
  <c r="AX39" i="4" a="1"/>
  <c r="AX39" i="4" s="1"/>
  <c r="AY39" i="4" a="1"/>
  <c r="AY39" i="4" s="1"/>
  <c r="AZ39" i="4" a="1"/>
  <c r="AZ39" i="4" s="1"/>
  <c r="BA39" i="4" a="1"/>
  <c r="BA39" i="4" s="1"/>
  <c r="BB39" i="4" a="1"/>
  <c r="BB39" i="4" s="1"/>
  <c r="BC39" i="4" a="1"/>
  <c r="BC39" i="4" s="1"/>
  <c r="BD39" i="4" a="1"/>
  <c r="BD39" i="4" s="1"/>
  <c r="BE39" i="4" a="1"/>
  <c r="BE39" i="4" s="1"/>
  <c r="BF39" i="4" a="1"/>
  <c r="BF39" i="4" s="1"/>
  <c r="BG39" i="4" a="1"/>
  <c r="BG39" i="4" s="1"/>
  <c r="BH39" i="4" a="1"/>
  <c r="BH39" i="4" s="1"/>
  <c r="BI39" i="4" a="1"/>
  <c r="BI39" i="4" s="1"/>
  <c r="BJ39" i="4" a="1"/>
  <c r="BJ39" i="4" s="1"/>
  <c r="BK39" i="4" a="1"/>
  <c r="BK39" i="4" s="1"/>
  <c r="BL39" i="4" a="1"/>
  <c r="BL39" i="4" s="1"/>
  <c r="BM39" i="4" a="1"/>
  <c r="BM39" i="4" s="1"/>
  <c r="BN39" i="4" a="1"/>
  <c r="BN39" i="4" s="1"/>
  <c r="BO39" i="4" a="1"/>
  <c r="BO39" i="4" s="1"/>
  <c r="BP39" i="4" a="1"/>
  <c r="BP39" i="4" s="1"/>
  <c r="BQ39" i="4" a="1"/>
  <c r="BQ39" i="4" s="1"/>
  <c r="BR39" i="4" a="1"/>
  <c r="BR39" i="4" s="1"/>
  <c r="BS39" i="4" a="1"/>
  <c r="BS39" i="4" s="1"/>
  <c r="BT39" i="4" a="1"/>
  <c r="BT39" i="4" s="1"/>
  <c r="BU39" i="4" a="1"/>
  <c r="BU39" i="4" s="1"/>
  <c r="BV39" i="4" a="1"/>
  <c r="BV39" i="4" s="1"/>
  <c r="BW39" i="4" a="1"/>
  <c r="BW39" i="4" s="1"/>
  <c r="BX39" i="4" a="1"/>
  <c r="BX39" i="4" s="1"/>
  <c r="BY39" i="4" a="1"/>
  <c r="BY39" i="4" s="1"/>
  <c r="BZ39" i="4" a="1"/>
  <c r="BZ39" i="4" s="1"/>
  <c r="CA39" i="4" a="1"/>
  <c r="CA39" i="4" s="1"/>
  <c r="CB39" i="4" a="1"/>
  <c r="CB39" i="4" s="1"/>
  <c r="CC39" i="4" a="1"/>
  <c r="CC39" i="4" s="1"/>
  <c r="CD39" i="4" a="1"/>
  <c r="CD39" i="4" s="1"/>
  <c r="CE39" i="4" a="1"/>
  <c r="CE39" i="4" s="1"/>
  <c r="CF39" i="4" a="1"/>
  <c r="CF39" i="4" s="1"/>
  <c r="CG39" i="4" a="1"/>
  <c r="CG39" i="4" s="1"/>
  <c r="CH39" i="4" a="1"/>
  <c r="CH39" i="4" s="1"/>
  <c r="CI39" i="4" a="1"/>
  <c r="CI39" i="4" s="1"/>
  <c r="CJ39" i="4" a="1"/>
  <c r="CJ39" i="4" s="1"/>
  <c r="CK39" i="4" a="1"/>
  <c r="CK39" i="4" s="1"/>
  <c r="CL39" i="4" a="1"/>
  <c r="CL39" i="4" s="1"/>
  <c r="CM39" i="4" a="1"/>
  <c r="CM39" i="4" s="1"/>
  <c r="CN39" i="4" a="1"/>
  <c r="CN39" i="4" s="1"/>
  <c r="CO39" i="4" a="1"/>
  <c r="CO39" i="4" s="1"/>
  <c r="CP39" i="4" a="1"/>
  <c r="CP39" i="4" s="1"/>
  <c r="CQ39" i="4" a="1"/>
  <c r="CQ39" i="4" s="1"/>
  <c r="CR39" i="4" a="1"/>
  <c r="CR39" i="4" s="1"/>
  <c r="CS39" i="4" a="1"/>
  <c r="CS39" i="4" s="1"/>
  <c r="CT39" i="4" a="1"/>
  <c r="CT39" i="4" s="1"/>
  <c r="CU39" i="4" a="1"/>
  <c r="CU39" i="4" s="1"/>
  <c r="CV39" i="4" a="1"/>
  <c r="CV39" i="4" s="1"/>
  <c r="CW39" i="4" a="1"/>
  <c r="CW39" i="4" s="1"/>
  <c r="CX39" i="4" a="1"/>
  <c r="CX39" i="4" s="1"/>
  <c r="CY39" i="4" a="1"/>
  <c r="CY39" i="4" s="1"/>
  <c r="CZ39" i="4" a="1"/>
  <c r="CZ39" i="4" s="1"/>
  <c r="DA39" i="4" a="1"/>
  <c r="DA39" i="4" s="1"/>
  <c r="DB39" i="4" a="1"/>
  <c r="DB39" i="4" s="1"/>
  <c r="DC39" i="4" a="1"/>
  <c r="DC39" i="4" s="1"/>
  <c r="DD39" i="4" a="1"/>
  <c r="DD39" i="4" s="1"/>
  <c r="DE39" i="4" a="1"/>
  <c r="DE39" i="4" s="1"/>
  <c r="DF39" i="4" a="1"/>
  <c r="DF39" i="4" s="1"/>
  <c r="DG39" i="4" a="1"/>
  <c r="DG39" i="4" s="1"/>
  <c r="DH39" i="4" a="1"/>
  <c r="DH39" i="4" s="1"/>
  <c r="DI39" i="4" a="1"/>
  <c r="DI39" i="4" s="1"/>
  <c r="DJ39" i="4" a="1"/>
  <c r="DJ39" i="4" s="1"/>
  <c r="DK39" i="4" a="1"/>
  <c r="DK39" i="4" s="1"/>
  <c r="DL39" i="4" a="1"/>
  <c r="DL39" i="4" s="1"/>
  <c r="DM39" i="4" a="1"/>
  <c r="DM39" i="4" s="1"/>
  <c r="DN39" i="4" a="1"/>
  <c r="DN39" i="4" s="1"/>
  <c r="DO39" i="4"/>
  <c r="DP39" i="4" a="1"/>
  <c r="DP39" i="4" s="1"/>
  <c r="DQ39" i="4" a="1"/>
  <c r="DQ39" i="4" s="1"/>
  <c r="DR39" i="4" a="1"/>
  <c r="DR39" i="4" s="1"/>
  <c r="DS39" i="4" a="1"/>
  <c r="DS39" i="4" s="1"/>
  <c r="DT39" i="4" a="1"/>
  <c r="DT39" i="4" s="1"/>
  <c r="DU39" i="4" a="1"/>
  <c r="DU39" i="4" s="1"/>
  <c r="DV39" i="4" a="1"/>
  <c r="DV39" i="4" s="1"/>
  <c r="DW39" i="4" a="1"/>
  <c r="DW39" i="4" s="1"/>
  <c r="DX39" i="4" a="1"/>
  <c r="DX39" i="4" s="1"/>
  <c r="DY39" i="4" a="1"/>
  <c r="DY39" i="4" s="1"/>
  <c r="DZ39" i="4" a="1"/>
  <c r="DZ39" i="4" s="1"/>
  <c r="EA39" i="4" a="1"/>
  <c r="EA39" i="4" s="1"/>
  <c r="EB39" i="4" a="1"/>
  <c r="EB39" i="4" s="1"/>
  <c r="EC39" i="4" a="1"/>
  <c r="EC39" i="4" s="1"/>
  <c r="ED39" i="4" a="1"/>
  <c r="ED39" i="4" s="1"/>
  <c r="EE39" i="4" a="1"/>
  <c r="EE39" i="4" s="1"/>
  <c r="C2" i="3"/>
  <c r="D6" i="3"/>
  <c r="C7" i="2"/>
  <c r="C2" i="2"/>
  <c r="D7" i="4"/>
  <c r="E7" i="4" s="1"/>
  <c r="F7" i="4" s="1"/>
  <c r="G7" i="4" s="1"/>
  <c r="H7" i="4" s="1"/>
  <c r="I7" i="4" s="1"/>
  <c r="J7" i="4" s="1"/>
  <c r="K7" i="4" s="1"/>
  <c r="L7" i="4" s="1"/>
  <c r="M7" i="4" s="1"/>
  <c r="C14" i="2"/>
  <c r="C15" i="2"/>
  <c r="C16" i="2"/>
  <c r="C17" i="2"/>
  <c r="C18" i="2"/>
  <c r="C19" i="2"/>
  <c r="C20" i="2"/>
  <c r="C21" i="2"/>
  <c r="C22" i="2"/>
  <c r="C12" i="3" l="1"/>
  <c r="D12" i="3" s="1"/>
  <c r="C32" i="3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P32" i="3" s="1"/>
  <c r="Q32" i="3" s="1"/>
  <c r="C72" i="3"/>
  <c r="D72" i="3" s="1"/>
  <c r="E72" i="3" s="1"/>
  <c r="F72" i="3" s="1"/>
  <c r="C52" i="3"/>
  <c r="D52" i="3" s="1"/>
  <c r="E52" i="3" s="1"/>
  <c r="E12" i="3"/>
  <c r="G72" i="3" l="1"/>
  <c r="F12" i="3"/>
  <c r="F52" i="3"/>
  <c r="G12" i="3" l="1"/>
  <c r="G52" i="3"/>
  <c r="H72" i="3"/>
  <c r="I72" i="3" l="1"/>
  <c r="H12" i="3"/>
  <c r="H52" i="3"/>
  <c r="I52" i="3" l="1"/>
  <c r="I12" i="3"/>
  <c r="J72" i="3"/>
  <c r="K72" i="3" l="1"/>
  <c r="J12" i="3"/>
  <c r="J52" i="3"/>
  <c r="K12" i="3" l="1"/>
  <c r="K52" i="3"/>
  <c r="L72" i="3"/>
  <c r="M72" i="3" l="1"/>
  <c r="L52" i="3"/>
  <c r="L12" i="3"/>
  <c r="M12" i="3" l="1"/>
  <c r="P72" i="3"/>
  <c r="Q72" i="3" s="1"/>
  <c r="M52" i="3"/>
  <c r="N7" i="4" l="1"/>
  <c r="P52" i="3"/>
  <c r="Q52" i="3" s="1"/>
  <c r="P12" i="3"/>
  <c r="Q12" i="3" s="1"/>
  <c r="O7" i="4" l="1"/>
  <c r="P7" i="4" l="1"/>
  <c r="Q7" i="4" l="1"/>
  <c r="R7" i="4" l="1"/>
  <c r="S7" i="4" l="1"/>
  <c r="T7" i="4" l="1"/>
  <c r="U7" i="4" l="1"/>
  <c r="V7" i="4" l="1"/>
  <c r="W7" i="4" l="1"/>
  <c r="X7" i="4" l="1"/>
  <c r="Y7" i="4" l="1"/>
  <c r="Z7" i="4" l="1"/>
  <c r="AA7" i="4" l="1"/>
  <c r="AB7" i="4" l="1"/>
  <c r="AC7" i="4" l="1"/>
  <c r="AD7" i="4" l="1"/>
  <c r="AE7" i="4" l="1"/>
  <c r="AF7" i="4" l="1"/>
  <c r="AG7" i="4" l="1"/>
  <c r="AH7" i="4" l="1"/>
  <c r="AI7" i="4" l="1"/>
  <c r="AJ7" i="4" l="1"/>
  <c r="AK7" i="4" l="1"/>
  <c r="AL7" i="4" l="1"/>
  <c r="AM7" i="4" l="1"/>
  <c r="AN7" i="4" l="1"/>
  <c r="AO7" i="4" l="1"/>
  <c r="AP7" i="4" l="1"/>
  <c r="AQ7" i="4" l="1"/>
  <c r="AR7" i="4" l="1"/>
  <c r="AS7" i="4" l="1"/>
  <c r="AT7" i="4" l="1"/>
  <c r="AU7" i="4" l="1"/>
  <c r="AV7" i="4" l="1"/>
  <c r="AW7" i="4" l="1"/>
  <c r="AX7" i="4" l="1"/>
  <c r="AY7" i="4" l="1"/>
  <c r="AZ7" i="4" l="1"/>
  <c r="BA7" i="4" l="1"/>
  <c r="BB7" i="4" l="1"/>
  <c r="BC7" i="4" l="1"/>
  <c r="BD7" i="4" l="1"/>
  <c r="BE7" i="4" l="1"/>
  <c r="BF7" i="4" l="1"/>
  <c r="BG7" i="4" l="1"/>
  <c r="BH7" i="4" l="1"/>
  <c r="BI7" i="4" l="1"/>
  <c r="BJ7" i="4" l="1"/>
  <c r="BK7" i="4" l="1"/>
  <c r="BL7" i="4" l="1"/>
  <c r="BM7" i="4" l="1"/>
  <c r="BN7" i="4" l="1"/>
  <c r="BO7" i="4" l="1"/>
  <c r="BP7" i="4" l="1"/>
  <c r="BQ7" i="4" l="1"/>
  <c r="BR7" i="4" l="1"/>
  <c r="BS7" i="4" l="1"/>
  <c r="BT7" i="4" l="1"/>
  <c r="BU7" i="4" l="1"/>
  <c r="BV7" i="4" l="1"/>
  <c r="BW7" i="4" l="1"/>
  <c r="BX7" i="4" l="1"/>
  <c r="BY7" i="4" l="1"/>
  <c r="BZ7" i="4" l="1"/>
  <c r="CA7" i="4" l="1"/>
  <c r="CB7" i="4" l="1"/>
  <c r="CC7" i="4" l="1"/>
  <c r="CD7" i="4" l="1"/>
  <c r="CE7" i="4" l="1"/>
  <c r="CF7" i="4" l="1"/>
  <c r="CG7" i="4" l="1"/>
  <c r="CH7" i="4" l="1"/>
  <c r="CI7" i="4" l="1"/>
  <c r="CJ7" i="4" l="1"/>
  <c r="CK7" i="4" l="1"/>
  <c r="CL7" i="4" l="1"/>
  <c r="CM7" i="4" l="1"/>
  <c r="CN7" i="4" l="1"/>
  <c r="CO7" i="4" l="1"/>
  <c r="CP7" i="4" l="1"/>
  <c r="CQ7" i="4" l="1"/>
  <c r="CR7" i="4" l="1"/>
  <c r="CS7" i="4" l="1"/>
  <c r="CT7" i="4" l="1"/>
  <c r="CU7" i="4" l="1"/>
  <c r="CV7" i="4" l="1"/>
  <c r="CW7" i="4" l="1"/>
  <c r="CX7" i="4" l="1"/>
  <c r="CY7" i="4" l="1"/>
  <c r="CZ7" i="4" l="1"/>
  <c r="DA7" i="4" l="1"/>
  <c r="DB7" i="4" l="1"/>
  <c r="DC7" i="4" l="1"/>
  <c r="DD7" i="4" l="1"/>
  <c r="DE7" i="4" l="1"/>
  <c r="DF7" i="4" l="1"/>
  <c r="DG7" i="4" l="1"/>
  <c r="DH7" i="4" l="1"/>
  <c r="DI7" i="4" l="1"/>
  <c r="DJ7" i="4" l="1"/>
  <c r="DK7" i="4" l="1"/>
  <c r="DL7" i="4" l="1"/>
  <c r="DM7" i="4" l="1"/>
  <c r="DN7" i="4" l="1"/>
  <c r="DO7" i="4" l="1"/>
  <c r="DP7" i="4" l="1"/>
  <c r="DQ7" i="4" l="1"/>
  <c r="DR7" i="4" l="1"/>
  <c r="DS7" i="4" l="1"/>
  <c r="DT7" i="4" l="1"/>
  <c r="DU7" i="4" l="1"/>
  <c r="DV7" i="4" l="1"/>
  <c r="DW7" i="4" l="1"/>
  <c r="DX7" i="4" l="1"/>
  <c r="DY7" i="4" l="1"/>
  <c r="DZ7" i="4" l="1"/>
  <c r="EA7" i="4" l="1"/>
  <c r="EB7" i="4" l="1"/>
  <c r="EC7" i="4" l="1"/>
  <c r="ED7" i="4" l="1"/>
  <c r="EE7" i="4" l="1"/>
  <c r="P33" i="3" l="1"/>
  <c r="P53" i="3"/>
  <c r="H73" i="3"/>
  <c r="M13" i="3"/>
  <c r="I13" i="3"/>
  <c r="G53" i="3"/>
  <c r="E53" i="3"/>
  <c r="K73" i="3"/>
  <c r="P73" i="3"/>
  <c r="E13" i="3"/>
  <c r="Q33" i="3"/>
  <c r="Q73" i="3"/>
  <c r="L33" i="3"/>
  <c r="K53" i="3"/>
  <c r="M73" i="3"/>
  <c r="F33" i="3"/>
  <c r="M33" i="3"/>
  <c r="I53" i="3"/>
  <c r="F73" i="3"/>
  <c r="G13" i="3"/>
  <c r="I73" i="3"/>
  <c r="D73" i="3"/>
  <c r="D53" i="3"/>
  <c r="L13" i="3"/>
  <c r="P13" i="3"/>
  <c r="G73" i="3"/>
  <c r="J13" i="3"/>
  <c r="I33" i="3"/>
  <c r="F53" i="3"/>
  <c r="H53" i="3"/>
  <c r="Q13" i="3"/>
  <c r="G33" i="3"/>
  <c r="D33" i="3"/>
  <c r="L73" i="3"/>
  <c r="C13" i="3"/>
  <c r="K33" i="3"/>
  <c r="Q53" i="3"/>
  <c r="C73" i="3"/>
  <c r="E33" i="3"/>
  <c r="L53" i="3"/>
  <c r="J53" i="3"/>
  <c r="E73" i="3"/>
  <c r="K13" i="3"/>
  <c r="H33" i="3"/>
  <c r="D13" i="3"/>
  <c r="M53" i="3"/>
  <c r="J33" i="3"/>
  <c r="C53" i="3"/>
  <c r="F13" i="3"/>
  <c r="H13" i="3"/>
  <c r="C33" i="3"/>
  <c r="J7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<sst xmlns="http://schemas.openxmlformats.org/spreadsheetml/2006/main" count="97" uniqueCount="72">
  <si>
    <t>Copyright: Veera Seaman</t>
  </si>
  <si>
    <t>#</t>
  </si>
  <si>
    <t>Month and year</t>
  </si>
  <si>
    <t>KPI ID 1</t>
  </si>
  <si>
    <t>KPI ID 1 %</t>
  </si>
  <si>
    <t>KPI ID 3</t>
  </si>
  <si>
    <t>KPI ID 4 %</t>
  </si>
  <si>
    <t>KPI ID 5</t>
  </si>
  <si>
    <t>KPI ID 6</t>
  </si>
  <si>
    <t>KPI ID 7</t>
  </si>
  <si>
    <t>KPI ID 8 %</t>
  </si>
  <si>
    <t>KPI ID 9 %</t>
  </si>
  <si>
    <t>KPI ID 10</t>
  </si>
  <si>
    <t>KPI ID 11</t>
  </si>
  <si>
    <t>KPI ID 12 %</t>
  </si>
  <si>
    <t>KPI ID 13</t>
  </si>
  <si>
    <t>KPI ID 14</t>
  </si>
  <si>
    <t>KPI ID 15</t>
  </si>
  <si>
    <t>KPI ID 16 %</t>
  </si>
  <si>
    <t>KPI ID 17</t>
  </si>
  <si>
    <t>KPI ID 18</t>
  </si>
  <si>
    <t>KPI ID 19 %</t>
  </si>
  <si>
    <t>KPI ID 20 %</t>
  </si>
  <si>
    <t>KPI ID 21 %</t>
  </si>
  <si>
    <t>KPI ID 22</t>
  </si>
  <si>
    <t>KPI ID 23 R</t>
  </si>
  <si>
    <t>KPI ID 24</t>
  </si>
  <si>
    <t>KPI ID 25 R</t>
  </si>
  <si>
    <t>KPI ID 26</t>
  </si>
  <si>
    <t>KPI ID 27</t>
  </si>
  <si>
    <t>KPI ID 28 %</t>
  </si>
  <si>
    <t>KPI ID 29 %</t>
  </si>
  <si>
    <t>KPI ID 30</t>
  </si>
  <si>
    <t>KPI ID 31 R</t>
  </si>
  <si>
    <t>KPI ID 32</t>
  </si>
  <si>
    <t>Copyright</t>
  </si>
  <si>
    <t>veeraseaman@gmail.com</t>
  </si>
  <si>
    <t>June</t>
  </si>
  <si>
    <t>Otsikko</t>
  </si>
  <si>
    <t>Korostus</t>
  </si>
  <si>
    <t>Valitse teema:</t>
  </si>
  <si>
    <t xml:space="preserve">Lisää yrityksen logo (logon tulee mahtua merkityn alueen sisään): </t>
  </si>
  <si>
    <t xml:space="preserve">Värivaihtoehtoja voidaan lisätä toiveidesi mukaan. </t>
  </si>
  <si>
    <t>Kevät</t>
  </si>
  <si>
    <t xml:space="preserve">Poista Your logo-kuva ja lisää omasi: </t>
  </si>
  <si>
    <t xml:space="preserve">Vaihda vieressä olevaan oman datasi aloitusvuosi (ensimmäinen vuosi, josta datasi alkaa): </t>
  </si>
  <si>
    <t>Kuukausi</t>
  </si>
  <si>
    <t>Vuosi</t>
  </si>
  <si>
    <t xml:space="preserve">Vuosilaskelma (älä muokkaa näitä): </t>
  </si>
  <si>
    <t xml:space="preserve">Valitse kuukausi: </t>
  </si>
  <si>
    <t xml:space="preserve">Valitse vuosi: </t>
  </si>
  <si>
    <t>Rekisteröityneiden asiakkaiden määrä</t>
  </si>
  <si>
    <t>Asiakkaiden määrän nousu edellisestä kuukaudesta</t>
  </si>
  <si>
    <t>Asiakkaat, jotka vierailivat kaupassa toisen tai useamman kerran</t>
  </si>
  <si>
    <t>Prosenttimäärä asiakkaita, jotka ostivat nallekarhun</t>
  </si>
  <si>
    <t>Nallekarhuja varastossa</t>
  </si>
  <si>
    <t>Punaisten rantapyyhkeiden määrä varastossa</t>
  </si>
  <si>
    <t>Vihreiden käsilaukkujen määrä varastossa</t>
  </si>
  <si>
    <t>Virheellisten tuotteiden määrä koko inventaariosta (%)</t>
  </si>
  <si>
    <t>Virheellisten tuotteiden määrä, jotka lähetettiin takaisin valmistajalle (%=</t>
  </si>
  <si>
    <t>Kokoaikaisten työntekijöiden määrä</t>
  </si>
  <si>
    <t>Osa-aikaisten työntekijöiden määrä</t>
  </si>
  <si>
    <t>Osa-aikaiset työntekijät koko työvoimasta (%)</t>
  </si>
  <si>
    <t>Työntekijöiden määrä</t>
  </si>
  <si>
    <t>Esimerkki indikaattori</t>
  </si>
  <si>
    <t>Kuukausi ja vuosi</t>
  </si>
  <si>
    <t xml:space="preserve">Lisää datasi alle. Voit antaa indikaattoreillesi omat koodit tai käyttää allaolevia. Älä käytä koodia useammin kuin kerran. </t>
  </si>
  <si>
    <t xml:space="preserve">Jos haluat vaihtaa aloitusvuoden, voit tehdä sen Listat-välilehdellä. </t>
  </si>
  <si>
    <t xml:space="preserve">Oma tuotteesi suunnitellaan omalla logollasi, valitsemillasi vöreillä ja tyylillä - tämä on vain esimerkki. </t>
  </si>
  <si>
    <t xml:space="preserve">Voimme lisätä indikaattoreita lopulliseen versioosi. </t>
  </si>
  <si>
    <t xml:space="preserve">Lisää indikaattoreiden nimet alle. </t>
  </si>
  <si>
    <t xml:space="preserve">Ota yhteyttä sähköpostitse: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</si>
</sst>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"/>
      <color theme="0"/>
      <name val="Aptos Narrow"/>
      <family val="2"/>
      <scheme val="minor"/>
    </font>
    <font>
      <i/>
      <sz val="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auto="1"/>
      </top>
      <bottom/>
      <diagonal/>
    </border>
    <border>
      <left style="thin">
        <color theme="7" tint="0.39994506668294322"/>
      </left>
      <right/>
      <top style="thin">
        <color theme="7" tint="0.39994506668294322"/>
      </top>
      <bottom/>
      <diagonal/>
    </border>
    <border>
      <left/>
      <right/>
      <top style="thin">
        <color theme="7" tint="0.39994506668294322"/>
      </top>
      <bottom/>
      <diagonal/>
    </border>
    <border>
      <left/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/>
      <top/>
      <bottom/>
      <diagonal/>
    </border>
    <border>
      <left/>
      <right style="thin">
        <color theme="7" tint="0.39994506668294322"/>
      </right>
      <top/>
      <bottom/>
      <diagonal/>
    </border>
    <border>
      <left style="thin">
        <color theme="7" tint="0.39994506668294322"/>
      </left>
      <right/>
      <top/>
      <bottom style="thin">
        <color theme="7" tint="0.39994506668294322"/>
      </bottom>
      <diagonal/>
    </border>
    <border>
      <left/>
      <right/>
      <top/>
      <bottom style="thin">
        <color theme="7" tint="0.39994506668294322"/>
      </bottom>
      <diagonal/>
    </border>
    <border>
      <left/>
      <right style="thin">
        <color theme="7" tint="0.39994506668294322"/>
      </right>
      <top/>
      <bottom style="thin">
        <color theme="7" tint="0.39994506668294322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4" fillId="0" borderId="0" xfId="0" applyFont="1"/>
    <xf numFmtId="0" fontId="2" fillId="0" borderId="0" xfId="0" applyFont="1"/>
    <xf numFmtId="0" fontId="0" fillId="0" borderId="1" xfId="0" applyBorder="1" applyAlignment="1" applyProtection="1">
      <alignment vertical="top"/>
    </xf>
    <xf numFmtId="1" fontId="0" fillId="0" borderId="1" xfId="0" applyNumberFormat="1" applyBorder="1" applyAlignment="1" applyProtection="1">
      <alignment vertical="top"/>
    </xf>
    <xf numFmtId="14" fontId="0" fillId="0" borderId="1" xfId="0" applyNumberFormat="1" applyBorder="1" applyAlignment="1" applyProtection="1">
      <alignment vertical="top"/>
    </xf>
    <xf numFmtId="1" fontId="0" fillId="0" borderId="1" xfId="0" applyNumberFormat="1" applyBorder="1" applyAlignment="1" applyProtection="1">
      <alignment horizontal="center" vertical="top"/>
    </xf>
    <xf numFmtId="1" fontId="0" fillId="0" borderId="0" xfId="0" applyNumberFormat="1" applyAlignment="1" applyProtection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/>
    </xf>
    <xf numFmtId="0" fontId="0" fillId="4" borderId="0" xfId="0" applyFill="1" applyAlignment="1" applyProtection="1">
      <alignment horizontal="right" indent="3"/>
      <protection locked="0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  <xf numFmtId="0" fontId="0" fillId="4" borderId="0" xfId="0" applyFill="1" applyAlignment="1">
      <alignment horizontal="right" vertical="top" indent="2"/>
    </xf>
    <xf numFmtId="0" fontId="0" fillId="4" borderId="0" xfId="0" applyFill="1" applyAlignment="1">
      <alignment horizontal="right" indent="2"/>
    </xf>
    <xf numFmtId="0" fontId="0" fillId="0" borderId="0" xfId="0" applyAlignment="1">
      <alignment horizontal="center" vertical="top"/>
    </xf>
    <xf numFmtId="17" fontId="0" fillId="0" borderId="0" xfId="0" applyNumberFormat="1"/>
    <xf numFmtId="0" fontId="1" fillId="0" borderId="0" xfId="0" applyFont="1" applyAlignment="1">
      <alignment horizontal="left" indent="5"/>
    </xf>
    <xf numFmtId="0" fontId="7" fillId="3" borderId="0" xfId="0" applyFont="1" applyFill="1" applyAlignment="1">
      <alignment vertical="top"/>
    </xf>
    <xf numFmtId="0" fontId="0" fillId="0" borderId="0" xfId="0" applyAlignment="1">
      <alignment horizontal="center" vertical="top" wrapText="1"/>
    </xf>
    <xf numFmtId="0" fontId="7" fillId="3" borderId="0" xfId="0" applyFont="1" applyFill="1" applyAlignment="1">
      <alignment horizontal="right" vertical="top" wrapText="1"/>
    </xf>
    <xf numFmtId="0" fontId="4" fillId="0" borderId="0" xfId="0" applyFont="1" applyProtection="1"/>
    <xf numFmtId="0" fontId="6" fillId="0" borderId="0" xfId="0" applyFont="1" applyAlignment="1">
      <alignment horizontal="left" vertical="top" inden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11" fillId="0" borderId="0" xfId="1"/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top" indent="1"/>
      <protection locked="0"/>
    </xf>
    <xf numFmtId="1" fontId="0" fillId="0" borderId="0" xfId="0" applyNumberFormat="1" applyAlignment="1" applyProtection="1">
      <alignment horizontal="right" vertical="top" indent="1"/>
      <protection locked="0"/>
    </xf>
    <xf numFmtId="0" fontId="0" fillId="0" borderId="0" xfId="0" applyAlignment="1" applyProtection="1">
      <alignment horizontal="right" vertical="top" wrapText="1" indent="1"/>
      <protection locked="0"/>
    </xf>
    <xf numFmtId="0" fontId="0" fillId="0" borderId="0" xfId="0" applyAlignment="1" applyProtection="1">
      <alignment horizontal="left" vertical="top"/>
      <protection locked="0"/>
    </xf>
    <xf numFmtId="4" fontId="0" fillId="0" borderId="0" xfId="0" applyNumberFormat="1" applyProtection="1">
      <protection locked="0"/>
    </xf>
    <xf numFmtId="0" fontId="8" fillId="3" borderId="0" xfId="0" applyFont="1" applyFill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indent="2"/>
    </xf>
    <xf numFmtId="0" fontId="0" fillId="0" borderId="7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74">
    <dxf>
      <font>
        <b/>
        <i val="0"/>
      </font>
      <fill>
        <patternFill patternType="mediumGray">
          <fgColor theme="0"/>
          <bgColor rgb="FFCC99FF"/>
        </patternFill>
      </fill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  <color theme="1"/>
      </font>
      <fill>
        <patternFill>
          <bgColor rgb="FFCCFF99"/>
        </patternFill>
      </fill>
    </dxf>
    <dxf>
      <font>
        <b/>
        <i val="0"/>
        <color theme="9"/>
      </font>
      <fill>
        <gradientFill degree="90">
          <stop position="0">
            <color rgb="FFCCECFF"/>
          </stop>
          <stop position="1">
            <color rgb="FF99FF99"/>
          </stop>
        </gradient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1"/>
      </font>
      <fill>
        <patternFill>
          <bgColor rgb="FFCCFF99"/>
        </patternFill>
      </fill>
    </dxf>
    <dxf>
      <font>
        <b/>
        <i val="0"/>
        <color theme="9"/>
      </font>
      <fill>
        <gradientFill degree="90">
          <stop position="0">
            <color rgb="FFCCECFF"/>
          </stop>
          <stop position="1">
            <color rgb="FF99FF99"/>
          </stop>
        </gradient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</font>
      <fill>
        <patternFill patternType="mediumGray">
          <fgColor theme="0"/>
          <bgColor rgb="FFCC99FF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  <dxf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9" tint="-0.24994659260841701"/>
      </font>
      <fill>
        <patternFill>
          <bgColor rgb="FFCCFFCC"/>
        </patternFill>
      </fill>
    </dxf>
    <dxf>
      <font>
        <b/>
        <i val="0"/>
        <color theme="5" tint="-0.499984740745262"/>
      </font>
      <fill>
        <gradientFill type="path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ont>
        <b/>
        <i val="0"/>
        <color theme="3"/>
      </font>
      <fill>
        <gradientFill degree="90">
          <stop position="0">
            <color theme="7" tint="0.80001220740379042"/>
          </stop>
          <stop position="1">
            <color theme="7" tint="0.59999389629810485"/>
          </stop>
        </gradientFill>
      </fill>
    </dxf>
    <dxf>
      <font>
        <b/>
        <i val="0"/>
        <color theme="6" tint="-0.499984740745262"/>
      </font>
      <fill>
        <patternFill>
          <bgColor rgb="FFFFFF66"/>
        </patternFill>
      </fill>
    </dxf>
  </dxfs>
  <tableStyles count="1" defaultTableStyle="TableStyleMedium2" defaultPivotStyle="PivotStyleLight16">
    <tableStyle name="Table Style 1" pivot="0" count="0" xr9:uid="{D7B9A76F-B4E8-4065-A3F2-414A2382E00E}"/>
  </tableStyles>
  <colors>
    <mruColors>
      <color rgb="FFCCFF99"/>
      <color rgb="FFCC99FF"/>
      <color rgb="FF66FFFF"/>
      <color rgb="FFFF99FF"/>
      <color rgb="FFFFFFFF"/>
      <color rgb="FFCC3399"/>
      <color rgb="FFCCECFF"/>
      <color rgb="FF99FF99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Virheellisten tuotteiden määrä koko inventaariosta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Dashboard!$C$12:$M$12</c:f>
              <c:strCache>
                <c:ptCount val="11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</c:strCache>
            </c:strRef>
          </c:cat>
          <c:val>
            <c:numRef>
              <c:f>Dashboard!$C$13:$M$13</c:f>
              <c:numCache>
                <c:formatCode>0.00</c:formatCode>
                <c:ptCount val="11"/>
                <c:pt idx="0">
                  <c:v>0.98169429999649516</c:v>
                </c:pt>
                <c:pt idx="1">
                  <c:v>0.53794861783056636</c:v>
                </c:pt>
                <c:pt idx="2">
                  <c:v>0.4958653636737087</c:v>
                </c:pt>
                <c:pt idx="3">
                  <c:v>0.40024291229949827</c:v>
                </c:pt>
                <c:pt idx="4">
                  <c:v>0.53262062577776337</c:v>
                </c:pt>
                <c:pt idx="5">
                  <c:v>0.11344027053747185</c:v>
                </c:pt>
                <c:pt idx="6">
                  <c:v>1.2497981618130871E-2</c:v>
                </c:pt>
                <c:pt idx="7">
                  <c:v>2.6418796530662592E-2</c:v>
                </c:pt>
                <c:pt idx="8">
                  <c:v>0.23786384574647479</c:v>
                </c:pt>
                <c:pt idx="9">
                  <c:v>0.66381806677268951</c:v>
                </c:pt>
                <c:pt idx="10">
                  <c:v>0.37693466888065008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8-41FE-8BB7-3BE688540A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Punaisten rantapyyhkeiden määrä varastossa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Dashboard!$C$32:$M$32</c:f>
              <c:strCache>
                <c:ptCount val="11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</c:strCache>
            </c:strRef>
          </c:cat>
          <c:val>
            <c:numRef>
              <c:f>Dashboard!$C$33:$M$33</c:f>
              <c:numCache>
                <c:formatCode>0.00</c:formatCode>
                <c:ptCount val="11"/>
                <c:pt idx="0">
                  <c:v>35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37</c:v>
                </c:pt>
                <c:pt idx="6">
                  <c:v>34</c:v>
                </c:pt>
                <c:pt idx="7">
                  <c:v>20</c:v>
                </c:pt>
                <c:pt idx="8">
                  <c:v>12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6-4798-8E04-48AC0465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Dashboard!$B$50</c:f>
              <c:strCache>
                <c:ptCount val="1"/>
                <c:pt idx="0">
                  <c:v>Esimerkki indikaattori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Dashboard!$C$52:$M$52</c:f>
              <c:strCache>
                <c:ptCount val="11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</c:strCache>
            </c:strRef>
          </c:cat>
          <c:val>
            <c:numRef>
              <c:f>Dashboard!$C$53:$M$53</c:f>
              <c:numCache>
                <c:formatCode>0.00</c:formatCode>
                <c:ptCount val="11"/>
                <c:pt idx="0">
                  <c:v>30</c:v>
                </c:pt>
                <c:pt idx="1">
                  <c:v>19</c:v>
                </c:pt>
                <c:pt idx="2">
                  <c:v>31</c:v>
                </c:pt>
                <c:pt idx="3">
                  <c:v>27</c:v>
                </c:pt>
                <c:pt idx="4">
                  <c:v>18</c:v>
                </c:pt>
                <c:pt idx="5">
                  <c:v>13</c:v>
                </c:pt>
                <c:pt idx="6">
                  <c:v>24</c:v>
                </c:pt>
                <c:pt idx="7">
                  <c:v>33</c:v>
                </c:pt>
                <c:pt idx="8">
                  <c:v>24</c:v>
                </c:pt>
                <c:pt idx="9">
                  <c:v>15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D-4A95-A417-EEF3F601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Dashboard!$B$70</c:f>
              <c:strCache>
                <c:ptCount val="1"/>
                <c:pt idx="0">
                  <c:v>Rekisteröityneiden asiakkaiden määrä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Dashboard!$C$72:$M$72</c:f>
              <c:strCache>
                <c:ptCount val="11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</c:strCache>
            </c:strRef>
          </c:cat>
          <c:val>
            <c:numRef>
              <c:f>Dashboard!$C$73:$M$73</c:f>
              <c:numCache>
                <c:formatCode>0.00</c:formatCode>
                <c:ptCount val="11"/>
                <c:pt idx="0">
                  <c:v>182</c:v>
                </c:pt>
                <c:pt idx="1">
                  <c:v>186</c:v>
                </c:pt>
                <c:pt idx="2">
                  <c:v>188</c:v>
                </c:pt>
                <c:pt idx="3">
                  <c:v>196</c:v>
                </c:pt>
                <c:pt idx="4">
                  <c:v>201</c:v>
                </c:pt>
                <c:pt idx="5">
                  <c:v>210</c:v>
                </c:pt>
                <c:pt idx="6">
                  <c:v>211</c:v>
                </c:pt>
                <c:pt idx="7">
                  <c:v>213</c:v>
                </c:pt>
                <c:pt idx="8">
                  <c:v>220</c:v>
                </c:pt>
                <c:pt idx="9">
                  <c:v>225</c:v>
                </c:pt>
                <c:pt idx="10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E-4D10-9F30-187D7053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25808"/>
        <c:axId val="609912952"/>
      </c:lineChart>
      <c:catAx>
        <c:axId val="75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12952"/>
        <c:crosses val="autoZero"/>
        <c:auto val="1"/>
        <c:lblAlgn val="ctr"/>
        <c:lblOffset val="100"/>
        <c:noMultiLvlLbl val="0"/>
      </c:catAx>
      <c:valAx>
        <c:axId val="60991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2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125186</xdr:colOff>
      <xdr:row>3</xdr:row>
      <xdr:rowOff>54429</xdr:rowOff>
    </xdr:from>
    <xdr:to>
      <xdr:col>4</xdr:col>
      <xdr:colOff>598714</xdr:colOff>
      <xdr:row>4</xdr:row>
      <xdr:rowOff>35389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5F454-4335-836A-EFAC-7228952AD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415" y="609600"/>
          <a:ext cx="2373085" cy="351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652367</xdr:colOff>
          <xdr:row>0</xdr:row>
          <xdr:rowOff>157067</xdr:rowOff>
        </xdr:from>
        <xdr:to>
          <xdr:col>7</xdr:col>
          <xdr:colOff>293138</xdr:colOff>
          <xdr:row>4</xdr:row>
          <xdr:rowOff>162509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BD17262-60F8-8870-CF84-FFACFFDC0D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loitus!$C$4:$H$6" spid="_x0000_s2077"/>
                </a:ext>
              </a:extLst>
            </xdr:cNvPicPr>
          </xdr:nvPicPr>
          <xdr:blipFill>
            <a:blip xmlns:r="http://schemas.openxmlformats.org/officeDocument/2006/relationships" r:embed="rId1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2367" y="157067"/>
              <a:ext cx="4523791" cy="75189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52370</xdr:colOff>
      <xdr:row>13</xdr:row>
      <xdr:rowOff>169323</xdr:rowOff>
    </xdr:from>
    <xdr:to>
      <xdr:col>12</xdr:col>
      <xdr:colOff>614722</xdr:colOff>
      <xdr:row>28</xdr:row>
      <xdr:rowOff>113338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0847-00AD-4A92-81E9-F43DE0E82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52370</xdr:colOff>
      <xdr:row>33</xdr:row>
      <xdr:rowOff>169323</xdr:rowOff>
    </xdr:from>
    <xdr:to>
      <xdr:col>12</xdr:col>
      <xdr:colOff>614722</xdr:colOff>
      <xdr:row>48</xdr:row>
      <xdr:rowOff>113338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699F6-73D3-4D90-9976-5A1199297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52370</xdr:colOff>
      <xdr:row>53</xdr:row>
      <xdr:rowOff>169323</xdr:rowOff>
    </xdr:from>
    <xdr:to>
      <xdr:col>12</xdr:col>
      <xdr:colOff>614722</xdr:colOff>
      <xdr:row>68</xdr:row>
      <xdr:rowOff>113338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9E759-CE4B-4571-88A4-59756164B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52370</xdr:colOff>
      <xdr:row>73</xdr:row>
      <xdr:rowOff>169323</xdr:rowOff>
    </xdr:from>
    <xdr:to>
      <xdr:col>12</xdr:col>
      <xdr:colOff>614722</xdr:colOff>
      <xdr:row>88</xdr:row>
      <xdr:rowOff>113338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CCCE33-FC52-48C0-803F-4E5CE0DE6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5</xdr:col>
          <xdr:colOff>415144</xdr:colOff>
          <xdr:row>4</xdr:row>
          <xdr:rowOff>176150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68CE8C1-F3AA-4E29-AAFC-369D089550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loitus!$C$4:$H$6" spid="_x0000_s3106"/>
                </a:ext>
              </a:extLst>
            </xdr:cNvPicPr>
          </xdr:nvPicPr>
          <xdr:blipFill>
            <a:blip xmlns:r="http://schemas.openxmlformats.org/officeDocument/2006/relationships" r:embed="rId5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3144" y="188025"/>
              <a:ext cx="4512129" cy="74022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652367</xdr:colOff>
          <xdr:row>0</xdr:row>
          <xdr:rowOff>157067</xdr:rowOff>
        </xdr:from>
        <xdr:to>
          <xdr:col>4</xdr:col>
          <xdr:colOff>370049</xdr:colOff>
          <xdr:row>3</xdr:row>
          <xdr:rowOff>305681</xdr:rowOff>
        </xdr:to>
        <xdr:pic>
          <xdr:nvPicPr>
            <xdr:cNvPr id="5" name="Picture 4" descr="Logo&#10;">
              <a:extLst>
                <a:ext uri="{FF2B5EF4-FFF2-40B4-BE49-F238E27FC236}">
                  <a16:creationId xmlns:a16="http://schemas.microsoft.com/office/drawing/2014/main" id="{D512F51B-F7C2-4D55-80A1-52AFDE7466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loitus!$C$4:$H$6" spid="_x0000_s4121"/>
                </a:ext>
              </a:extLst>
            </xdr:cNvPicPr>
          </xdr:nvPicPr>
          <xdr:blipFill>
            <a:blip xmlns:r="http://schemas.openxmlformats.org/officeDocument/2006/relationships" r:embed="rId1">
              <a:lum bright="40000" contrast="-40000"/>
            </a:blip>
            <a:srcRect/>
            <a:stretch>
              <a:fillRect/>
            </a:stretch>
          </xdr:blipFill>
          <xdr:spPr bwMode="auto">
            <a:xfrm>
              <a:off x="652367" y="157067"/>
              <a:ext cx="4512129" cy="74022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veerase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4E1-0FFF-4837-AB4B-8AEA6D993C6A}">
  <sheetPr>
    <tabColor rgb="FFFFFF00"/>
    <pageSetUpPr fitToPage="1"/>
  </sheetPr>
  <dimension ref="B2:H13"/>
  <sheetViews>
    <sheetView tabSelected="1" workbookViewId="0">
      <selection activeCell="B1" sqref="B1"/>
    </sheetView>
  </sheetViews>
  <sheetFormatPr defaultRowHeight="14.6" x14ac:dyDescent="0.4"/>
  <cols>
    <col min="2" max="2" width="28.15234375" customWidth="1"/>
    <col min="3" max="3" width="17.61328125" customWidth="1"/>
  </cols>
  <sheetData>
    <row r="2" spans="2:8" ht="15.9" x14ac:dyDescent="0.4">
      <c r="B2" s="4" t="s">
        <v>40</v>
      </c>
      <c r="C2" s="34" t="s">
        <v>43</v>
      </c>
      <c r="D2" s="3" t="s">
        <v>38</v>
      </c>
      <c r="E2" s="31" t="s">
        <v>39</v>
      </c>
      <c r="F2" s="23"/>
      <c r="G2" s="23" t="s">
        <v>35</v>
      </c>
    </row>
    <row r="3" spans="2:8" x14ac:dyDescent="0.4">
      <c r="B3" s="4"/>
    </row>
    <row r="4" spans="2:8" ht="29.15" x14ac:dyDescent="0.4">
      <c r="B4" s="4" t="s">
        <v>41</v>
      </c>
      <c r="C4" s="35"/>
      <c r="D4" s="36"/>
      <c r="E4" s="36"/>
      <c r="F4" s="36"/>
      <c r="G4" s="36"/>
      <c r="H4" s="37"/>
    </row>
    <row r="5" spans="2:8" x14ac:dyDescent="0.4">
      <c r="B5" s="53" t="s">
        <v>44</v>
      </c>
      <c r="C5" s="38"/>
      <c r="D5" s="39"/>
      <c r="E5" s="39"/>
      <c r="F5" s="39"/>
      <c r="G5" s="39"/>
      <c r="H5" s="40"/>
    </row>
    <row r="6" spans="2:8" x14ac:dyDescent="0.4">
      <c r="B6" s="53"/>
      <c r="C6" s="41"/>
      <c r="D6" s="42"/>
      <c r="E6" s="42"/>
      <c r="F6" s="42"/>
      <c r="G6" s="42"/>
      <c r="H6" s="43"/>
    </row>
    <row r="7" spans="2:8" x14ac:dyDescent="0.4">
      <c r="B7" s="4"/>
    </row>
    <row r="8" spans="2:8" x14ac:dyDescent="0.4">
      <c r="B8" s="52" t="s">
        <v>42</v>
      </c>
      <c r="C8" s="52"/>
      <c r="D8" s="52"/>
      <c r="E8" s="52"/>
      <c r="F8" s="52"/>
      <c r="G8" s="52"/>
      <c r="H8" s="52"/>
    </row>
    <row r="9" spans="2:8" x14ac:dyDescent="0.4">
      <c r="B9" s="52"/>
      <c r="C9" s="52"/>
      <c r="D9" s="52"/>
      <c r="E9" s="52"/>
      <c r="F9" s="52"/>
      <c r="G9" s="52"/>
      <c r="H9" s="52"/>
    </row>
    <row r="10" spans="2:8" x14ac:dyDescent="0.4">
      <c r="B10" s="5"/>
    </row>
    <row r="11" spans="2:8" x14ac:dyDescent="0.4">
      <c r="B11" s="5"/>
    </row>
    <row r="12" spans="2:8" x14ac:dyDescent="0.4">
      <c r="B12" s="5"/>
    </row>
    <row r="13" spans="2:8" x14ac:dyDescent="0.4">
      <c r="B13" s="5"/>
    </row>
  </sheetData>
  <sheetProtection algorithmName="SHA-512" hashValue="ES98wpCmsXV0Lp8DbHYBf9TjhyUmmBu1+kVWnKNuUHRTUsBsvEQ4jyqdOtvoQXDEC0PRrHITrrhgHA2V9kAzhA==" saltValue="TgiaCpsF8A/SgbZn8hwXiw==" spinCount="100000" sheet="1"/>
  <mergeCells count="2">
    <mergeCell ref="B8:H9"/>
    <mergeCell ref="B5:B6"/>
  </mergeCells>
  <conditionalFormatting sqref="D2">
    <cfRule type="expression" dxfId="13" priority="16" stopIfTrue="1">
      <formula>$C$2="Talvi"</formula>
    </cfRule>
    <cfRule type="expression" dxfId="12" priority="17" stopIfTrue="1">
      <formula>$C$2="Syksy"</formula>
    </cfRule>
    <cfRule type="expression" dxfId="11" priority="18" stopIfTrue="1">
      <formula>$C$2="Kesä"</formula>
    </cfRule>
    <cfRule type="expression" dxfId="10" priority="21" stopIfTrue="1">
      <formula>$C$2="Kevät"</formula>
    </cfRule>
    <cfRule type="expression" priority="22" stopIfTrue="1">
      <formula>$C$2="Tyhjä"</formula>
    </cfRule>
  </conditionalFormatting>
  <conditionalFormatting sqref="E2">
    <cfRule type="expression" dxfId="9" priority="11">
      <formula>$C$2="Summer"</formula>
    </cfRule>
    <cfRule type="expression" dxfId="8" priority="12">
      <formula>$C$2="Winter"</formula>
    </cfRule>
    <cfRule type="expression" dxfId="7" priority="13">
      <formula>$C$2="Autumn"</formula>
    </cfRule>
    <cfRule type="expression" dxfId="6" priority="14">
      <formula>$C$2="Spring"</formula>
    </cfRule>
  </conditionalFormatting>
  <conditionalFormatting sqref="E2:G2">
    <cfRule type="notContainsBlanks" dxfId="5" priority="23">
      <formula>LEN(TRIM(E2))&gt;0</formula>
    </cfRule>
  </conditionalFormatting>
  <conditionalFormatting sqref="F2">
    <cfRule type="expression" dxfId="4" priority="7">
      <formula>$C$2="Autumn"</formula>
    </cfRule>
    <cfRule type="expression" dxfId="3" priority="8">
      <formula>$C$2="Winter"</formula>
    </cfRule>
    <cfRule type="expression" dxfId="2" priority="9">
      <formula>$C$2="Summer"</formula>
    </cfRule>
    <cfRule type="expression" dxfId="1" priority="10">
      <formula>$C$2="Spring"</formula>
    </cfRule>
  </conditionalFormatting>
  <conditionalFormatting sqref="B8">
    <cfRule type="notContainsBlanks" dxfId="0" priority="1">
      <formula>LEN(TRIM(B8))&gt;0</formula>
    </cfRule>
  </conditionalFormatting>
  <dataValidations count="1">
    <dataValidation type="list" allowBlank="1" showInputMessage="1" showErrorMessage="1" sqref="C2" xr:uid="{8E001634-5DE9-4094-B571-B53396EFD94F}">
      <formula1>"Tyhjä,Kevät,Kesä,Syksy,Talvi"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7A40-49C6-44C1-A3FB-CDEAC8310C85}">
  <sheetPr>
    <tabColor rgb="FFFF99FF"/>
    <pageSetUpPr fitToPage="1"/>
  </sheetPr>
  <dimension ref="B2:N26"/>
  <sheetViews>
    <sheetView zoomScale="85" zoomScaleNormal="85" workbookViewId="0">
      <selection activeCell="E35" sqref="E35"/>
    </sheetView>
  </sheetViews>
  <sheetFormatPr defaultRowHeight="14.6" x14ac:dyDescent="0.4"/>
  <cols>
    <col min="2" max="2" width="2.61328125" customWidth="1"/>
    <col min="3" max="3" width="10.07421875" bestFit="1" customWidth="1"/>
    <col min="5" max="5" width="10.07421875" bestFit="1" customWidth="1"/>
    <col min="6" max="6" width="18.4609375" customWidth="1"/>
  </cols>
  <sheetData>
    <row r="2" spans="2:14" x14ac:dyDescent="0.4">
      <c r="C2" s="7" t="str">
        <f>Aloitus!$C$2</f>
        <v>Kevät</v>
      </c>
    </row>
    <row r="3" spans="2:14" x14ac:dyDescent="0.4">
      <c r="B3" s="7"/>
    </row>
    <row r="5" spans="2:14" x14ac:dyDescent="0.4">
      <c r="B5" s="7"/>
      <c r="C5" s="7"/>
      <c r="D5" s="7"/>
      <c r="E5" s="7"/>
      <c r="F5" s="7"/>
    </row>
    <row r="6" spans="2:14" ht="6.75" customHeight="1" x14ac:dyDescent="0.4">
      <c r="B6" s="7"/>
      <c r="C6" s="7"/>
      <c r="D6" s="7"/>
      <c r="E6" s="7"/>
      <c r="F6" s="7"/>
    </row>
    <row r="7" spans="2:14" s="2" customFormat="1" ht="3" customHeight="1" x14ac:dyDescent="0.4">
      <c r="B7" s="14"/>
      <c r="C7" s="15" t="str">
        <f ca="1">TEXT(TODAY(), "Mmmm")</f>
        <v>October</v>
      </c>
      <c r="D7" s="15" t="str">
        <f ca="1">TEXT(TODAY(), "Yyyy")</f>
        <v>2025</v>
      </c>
      <c r="E7" s="15"/>
      <c r="F7" s="15"/>
    </row>
    <row r="8" spans="2:14" s="2" customFormat="1" ht="53.15" customHeight="1" x14ac:dyDescent="0.4">
      <c r="B8" s="14"/>
      <c r="C8" s="50" t="s">
        <v>45</v>
      </c>
      <c r="D8" s="50"/>
      <c r="E8" s="50"/>
      <c r="F8" s="44">
        <v>2025</v>
      </c>
    </row>
    <row r="9" spans="2:14" s="2" customFormat="1" ht="6.75" customHeight="1" x14ac:dyDescent="0.4">
      <c r="B9" s="14"/>
      <c r="C9" s="28"/>
      <c r="D9" s="28"/>
      <c r="E9" s="28"/>
      <c r="F9" s="26"/>
    </row>
    <row r="10" spans="2:14" ht="29.15" x14ac:dyDescent="0.4">
      <c r="B10" s="3" t="s">
        <v>1</v>
      </c>
      <c r="C10" s="3" t="s">
        <v>46</v>
      </c>
      <c r="D10" s="3"/>
      <c r="E10" s="3" t="s">
        <v>47</v>
      </c>
      <c r="F10" s="27" t="s">
        <v>48</v>
      </c>
      <c r="G10" s="1"/>
      <c r="H10" s="1"/>
      <c r="J10" s="1"/>
      <c r="K10" s="1"/>
      <c r="L10" s="1"/>
      <c r="M10" s="1"/>
      <c r="N10" s="1"/>
    </row>
    <row r="11" spans="2:14" x14ac:dyDescent="0.4">
      <c r="B11" s="12">
        <v>0</v>
      </c>
      <c r="C11" s="9" t="str">
        <f ca="1">TEXT(TODAY(), "Mmmm")</f>
        <v>October</v>
      </c>
      <c r="D11" s="9"/>
      <c r="E11" s="10">
        <f>F8</f>
        <v>2025</v>
      </c>
      <c r="F11" s="13">
        <f ca="1">E11-$D$7</f>
        <v>0</v>
      </c>
    </row>
    <row r="12" spans="2:14" x14ac:dyDescent="0.4">
      <c r="B12" s="12">
        <v>1</v>
      </c>
      <c r="C12" s="11" t="str">
        <f t="shared" ref="C12:C22" ca="1" si="0">TEXT(DATE(YEAR(TODAY()),MONTH(TODAY())+B12,DAY(TODAY())), "Mmmm")</f>
        <v>November</v>
      </c>
      <c r="D12" s="9"/>
      <c r="E12" s="10">
        <f>E11+1</f>
        <v>2026</v>
      </c>
      <c r="F12" s="13">
        <f t="shared" ref="F12:F26" ca="1" si="1">E12-$D$7</f>
        <v>1</v>
      </c>
    </row>
    <row r="13" spans="2:14" x14ac:dyDescent="0.4">
      <c r="B13" s="12">
        <v>2</v>
      </c>
      <c r="C13" s="11" t="str">
        <f t="shared" ca="1" si="0"/>
        <v>December</v>
      </c>
      <c r="D13" s="9"/>
      <c r="E13" s="10">
        <f t="shared" ref="E13:E25" si="2">E12+1</f>
        <v>2027</v>
      </c>
      <c r="F13" s="13">
        <f t="shared" ca="1" si="1"/>
        <v>2</v>
      </c>
    </row>
    <row r="14" spans="2:14" x14ac:dyDescent="0.4">
      <c r="B14" s="12">
        <v>3</v>
      </c>
      <c r="C14" s="11" t="str">
        <f t="shared" ca="1" si="0"/>
        <v>January</v>
      </c>
      <c r="D14" s="9"/>
      <c r="E14" s="10">
        <f t="shared" si="2"/>
        <v>2028</v>
      </c>
      <c r="F14" s="13">
        <f t="shared" ca="1" si="1"/>
        <v>3</v>
      </c>
    </row>
    <row r="15" spans="2:14" x14ac:dyDescent="0.4">
      <c r="B15" s="12">
        <v>4</v>
      </c>
      <c r="C15" s="11" t="str">
        <f t="shared" ca="1" si="0"/>
        <v>March</v>
      </c>
      <c r="D15" s="9"/>
      <c r="E15" s="10">
        <f t="shared" si="2"/>
        <v>2029</v>
      </c>
      <c r="F15" s="13">
        <f t="shared" ca="1" si="1"/>
        <v>4</v>
      </c>
    </row>
    <row r="16" spans="2:14" x14ac:dyDescent="0.4">
      <c r="B16" s="12">
        <v>5</v>
      </c>
      <c r="C16" s="11" t="str">
        <f t="shared" ca="1" si="0"/>
        <v>March</v>
      </c>
      <c r="D16" s="9"/>
      <c r="E16" s="10">
        <f t="shared" si="2"/>
        <v>2030</v>
      </c>
      <c r="F16" s="13">
        <f t="shared" ca="1" si="1"/>
        <v>5</v>
      </c>
    </row>
    <row r="17" spans="2:6" x14ac:dyDescent="0.4">
      <c r="B17" s="12">
        <v>6</v>
      </c>
      <c r="C17" s="11" t="str">
        <f t="shared" ca="1" si="0"/>
        <v>April</v>
      </c>
      <c r="D17" s="9"/>
      <c r="E17" s="10">
        <f t="shared" si="2"/>
        <v>2031</v>
      </c>
      <c r="F17" s="13">
        <f t="shared" ca="1" si="1"/>
        <v>6</v>
      </c>
    </row>
    <row r="18" spans="2:6" x14ac:dyDescent="0.4">
      <c r="B18" s="12">
        <v>7</v>
      </c>
      <c r="C18" s="11" t="str">
        <f t="shared" ca="1" si="0"/>
        <v>May</v>
      </c>
      <c r="D18" s="9"/>
      <c r="E18" s="10">
        <f t="shared" si="2"/>
        <v>2032</v>
      </c>
      <c r="F18" s="13">
        <f t="shared" ca="1" si="1"/>
        <v>7</v>
      </c>
    </row>
    <row r="19" spans="2:6" x14ac:dyDescent="0.4">
      <c r="B19" s="12">
        <v>8</v>
      </c>
      <c r="C19" s="11" t="str">
        <f t="shared" ca="1" si="0"/>
        <v>June</v>
      </c>
      <c r="D19" s="9"/>
      <c r="E19" s="10">
        <f t="shared" si="2"/>
        <v>2033</v>
      </c>
      <c r="F19" s="13">
        <f t="shared" ca="1" si="1"/>
        <v>8</v>
      </c>
    </row>
    <row r="20" spans="2:6" x14ac:dyDescent="0.4">
      <c r="B20" s="12">
        <v>9</v>
      </c>
      <c r="C20" s="11" t="str">
        <f t="shared" ca="1" si="0"/>
        <v>July</v>
      </c>
      <c r="D20" s="9"/>
      <c r="E20" s="10">
        <f t="shared" si="2"/>
        <v>2034</v>
      </c>
      <c r="F20" s="13">
        <f t="shared" ca="1" si="1"/>
        <v>9</v>
      </c>
    </row>
    <row r="21" spans="2:6" x14ac:dyDescent="0.4">
      <c r="B21" s="12">
        <v>10</v>
      </c>
      <c r="C21" s="11" t="str">
        <f t="shared" ca="1" si="0"/>
        <v>August</v>
      </c>
      <c r="D21" s="9"/>
      <c r="E21" s="10">
        <f t="shared" si="2"/>
        <v>2035</v>
      </c>
      <c r="F21" s="13">
        <f t="shared" ca="1" si="1"/>
        <v>10</v>
      </c>
    </row>
    <row r="22" spans="2:6" x14ac:dyDescent="0.4">
      <c r="B22" s="12">
        <v>11</v>
      </c>
      <c r="C22" s="11" t="str">
        <f t="shared" ca="1" si="0"/>
        <v>September</v>
      </c>
      <c r="D22" s="9"/>
      <c r="E22" s="10">
        <f t="shared" si="2"/>
        <v>2036</v>
      </c>
      <c r="F22" s="13">
        <f t="shared" ca="1" si="1"/>
        <v>11</v>
      </c>
    </row>
    <row r="23" spans="2:6" x14ac:dyDescent="0.4">
      <c r="E23" s="10">
        <f>E22+1</f>
        <v>2037</v>
      </c>
      <c r="F23" s="13">
        <f t="shared" ca="1" si="1"/>
        <v>12</v>
      </c>
    </row>
    <row r="24" spans="2:6" x14ac:dyDescent="0.4">
      <c r="E24" s="10">
        <f t="shared" si="2"/>
        <v>2038</v>
      </c>
      <c r="F24" s="13">
        <f t="shared" ca="1" si="1"/>
        <v>13</v>
      </c>
    </row>
    <row r="25" spans="2:6" x14ac:dyDescent="0.4">
      <c r="E25" s="10">
        <f t="shared" si="2"/>
        <v>2039</v>
      </c>
      <c r="F25" s="13">
        <f t="shared" ca="1" si="1"/>
        <v>14</v>
      </c>
    </row>
    <row r="26" spans="2:6" x14ac:dyDescent="0.4">
      <c r="E26" s="10">
        <f>E25+1</f>
        <v>2040</v>
      </c>
      <c r="F26" s="13">
        <f t="shared" ca="1" si="1"/>
        <v>15</v>
      </c>
    </row>
  </sheetData>
  <sheetProtection algorithmName="SHA-512" hashValue="cnyIJNr3GYsdgS8aF221F6Y7dtIrXxAb+e9I2BuhU56Oxjt4A7kq4c6uL8H1QXHKUFeNGKwNMNhKrchNM0F9+A==" saltValue="wei29rzLyEGZAaCqifcJCA==" spinCount="100000" sheet="1"/>
  <mergeCells count="1">
    <mergeCell ref="C8:E8"/>
  </mergeCells>
  <conditionalFormatting sqref="B10:F10">
    <cfRule type="expression" priority="10">
      <formula>$C$2="Blank"</formula>
    </cfRule>
    <cfRule type="expression" dxfId="73" priority="11">
      <formula>$C$2="Summer"</formula>
    </cfRule>
    <cfRule type="expression" dxfId="72" priority="12">
      <formula>$C$2="Winter"</formula>
    </cfRule>
    <cfRule type="expression" dxfId="71" priority="13">
      <formula>$C$2="Autumn"</formula>
    </cfRule>
    <cfRule type="expression" dxfId="70" priority="14">
      <formula>$C$2="Spring"</formula>
    </cfRule>
  </conditionalFormatting>
  <conditionalFormatting sqref="C11:C22">
    <cfRule type="cellIs" dxfId="69" priority="7" operator="equal">
      <formula>$C$7</formula>
    </cfRule>
  </conditionalFormatting>
  <conditionalFormatting sqref="E11:E26">
    <cfRule type="cellIs" dxfId="68" priority="6" operator="equal">
      <formula>$D$7</formula>
    </cfRule>
  </conditionalFormatting>
  <conditionalFormatting sqref="F8">
    <cfRule type="expression" priority="1">
      <formula>$C$2="Blank"</formula>
    </cfRule>
    <cfRule type="expression" dxfId="67" priority="2">
      <formula>$C$2="Autumn"</formula>
    </cfRule>
    <cfRule type="expression" dxfId="66" priority="3">
      <formula>$C$2="Winter"</formula>
    </cfRule>
    <cfRule type="expression" dxfId="65" priority="4">
      <formula>$C$2="Summer"</formula>
    </cfRule>
    <cfRule type="expression" dxfId="64" priority="5">
      <formula>$C$2="Spring"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CFB2-DF58-4A44-9A47-3391188E4CEC}">
  <sheetPr>
    <tabColor rgb="FF66FFFF"/>
    <pageSetUpPr fitToPage="1"/>
  </sheetPr>
  <dimension ref="B2:V91"/>
  <sheetViews>
    <sheetView zoomScale="55" zoomScaleNormal="55" workbookViewId="0">
      <selection activeCell="B37" sqref="B37"/>
    </sheetView>
  </sheetViews>
  <sheetFormatPr defaultRowHeight="14.6" x14ac:dyDescent="0.4"/>
  <cols>
    <col min="2" max="2" width="28.921875" customWidth="1"/>
    <col min="3" max="3" width="10.53515625" customWidth="1"/>
  </cols>
  <sheetData>
    <row r="2" spans="2:22" x14ac:dyDescent="0.4">
      <c r="C2" s="7" t="str">
        <f>Aloitus!$C$2</f>
        <v>Kevät</v>
      </c>
    </row>
    <row r="6" spans="2:22" ht="6.9" customHeight="1" x14ac:dyDescent="0.4">
      <c r="D6" s="8" t="str">
        <f>TEXT(($C$7&amp;" "&amp;$C$8),"MMm-YY")</f>
        <v>Jun-26</v>
      </c>
    </row>
    <row r="7" spans="2:22" ht="19.850000000000001" customHeight="1" x14ac:dyDescent="0.4">
      <c r="B7" s="21" t="s">
        <v>49</v>
      </c>
      <c r="C7" s="45" t="s">
        <v>37</v>
      </c>
    </row>
    <row r="8" spans="2:22" ht="19.850000000000001" customHeight="1" x14ac:dyDescent="0.4">
      <c r="B8" s="22" t="s">
        <v>50</v>
      </c>
      <c r="C8" s="46">
        <v>2026</v>
      </c>
    </row>
    <row r="10" spans="2:22" ht="15.9" x14ac:dyDescent="0.4">
      <c r="B10" s="32" t="str">
        <f>VLOOKUP(B13, Data!$A$8:$B$200, 2, FALSE)</f>
        <v>Virheellisten tuotteiden määrä koko inventaariosta (%)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2:22" ht="1" customHeight="1" x14ac:dyDescent="0.4">
      <c r="B11" s="30"/>
      <c r="C11" s="20"/>
    </row>
    <row r="12" spans="2:22" x14ac:dyDescent="0.4">
      <c r="B12" s="3" t="s">
        <v>2</v>
      </c>
      <c r="C12" s="3" t="str">
        <f>IF(ISBLANK($D$6),"",(TEXT(($D$6),"mmm-yy")))</f>
        <v>Jun-26</v>
      </c>
      <c r="D12" s="3" t="str">
        <f t="shared" ref="D12:M12" si="0">(TEXT(DATE(YEAR(C12),MONTH(C12)+1,DAY(C12)),"MMM-YY"))</f>
        <v>Jul-26</v>
      </c>
      <c r="E12" s="3" t="str">
        <f t="shared" si="0"/>
        <v>Aug-26</v>
      </c>
      <c r="F12" s="3" t="str">
        <f t="shared" si="0"/>
        <v>Sep-26</v>
      </c>
      <c r="G12" s="3" t="str">
        <f t="shared" si="0"/>
        <v>Oct-26</v>
      </c>
      <c r="H12" s="3" t="str">
        <f t="shared" si="0"/>
        <v>Nov-26</v>
      </c>
      <c r="I12" s="3" t="str">
        <f t="shared" si="0"/>
        <v>Dec-26</v>
      </c>
      <c r="J12" s="3" t="str">
        <f t="shared" si="0"/>
        <v>Jan-27</v>
      </c>
      <c r="K12" s="3" t="str">
        <f t="shared" si="0"/>
        <v>Feb-27</v>
      </c>
      <c r="L12" s="3" t="str">
        <f t="shared" si="0"/>
        <v>Mar-27</v>
      </c>
      <c r="M12" s="3" t="str">
        <f t="shared" si="0"/>
        <v>Apr-27</v>
      </c>
      <c r="P12" s="19" t="str">
        <f>IFERROR(IF(DATEVALUE(M12)&gt;=DATEVALUE($EF$5),"",(TEXT(DATE(YEAR(M12),MONTH(M12)+1,DAY(M12)),"MMM-YY"))),"")</f>
        <v/>
      </c>
      <c r="Q12" s="19" t="str">
        <f>IFERROR(IF(DATEVALUE(P12)&gt;=DATEVALUE($EF$5),"",(TEXT(DATE(YEAR(P12),MONTH(P12)+1,DAY(P12)),"MMM-YY"))),"")</f>
        <v/>
      </c>
    </row>
    <row r="13" spans="2:22" x14ac:dyDescent="0.4">
      <c r="B13" s="18" t="s">
        <v>10</v>
      </c>
      <c r="C13" s="17">
        <f ca="1">IF(ISBLANK($D$6),"",(IFERROR(INDEX(Data!$C$7:$EE$39,MATCH($B13,Data!$C$7:$C$39,0),MATCH(C12,Data!$C$7:$EE$7,0)),"")))</f>
        <v>0.98169429999649516</v>
      </c>
      <c r="D13" s="17">
        <f ca="1">IF(ISBLANK($D$6),"",(IFERROR(INDEX(Data!$C$7:$EE$39,MATCH($B13,Data!$C$7:$C$39,0),MATCH(D12,Data!$C$7:$EE$7,0)),"")))</f>
        <v>0.53794861783056636</v>
      </c>
      <c r="E13" s="17">
        <f ca="1">IF(ISBLANK($D$6),"",(IFERROR(INDEX(Data!$C$7:$EE$39,MATCH($B13,Data!$C$7:$C$39,0),MATCH(E12,Data!$C$7:$EE$7,0)),"")))</f>
        <v>0.4958653636737087</v>
      </c>
      <c r="F13" s="17">
        <f ca="1">IF(ISBLANK($D$6),"",(IFERROR(INDEX(Data!$C$7:$EE$39,MATCH($B13,Data!$C$7:$C$39,0),MATCH(F12,Data!$C$7:$EE$7,0)),"")))</f>
        <v>0.40024291229949827</v>
      </c>
      <c r="G13" s="17">
        <f ca="1">IF(ISBLANK($D$6),"",(IFERROR(INDEX(Data!$C$7:$EE$39,MATCH($B13,Data!$C$7:$C$39,0),MATCH(G12,Data!$C$7:$EE$7,0)),"")))</f>
        <v>0.53262062577776337</v>
      </c>
      <c r="H13" s="17">
        <f ca="1">IF(ISBLANK($D$6),"",(IFERROR(INDEX(Data!$C$7:$EE$39,MATCH($B13,Data!$C$7:$C$39,0),MATCH(H12,Data!$C$7:$EE$7,0)),"")))</f>
        <v>0.11344027053747185</v>
      </c>
      <c r="I13" s="17">
        <f ca="1">IF(ISBLANK($D$6),"",(IFERROR(INDEX(Data!$C$7:$EE$39,MATCH($B13,Data!$C$7:$C$39,0),MATCH(I12,Data!$C$7:$EE$7,0)),"")))</f>
        <v>1.2497981618130871E-2</v>
      </c>
      <c r="J13" s="17">
        <f ca="1">IF(ISBLANK($D$6),"",(IFERROR(INDEX(Data!$C$7:$EE$39,MATCH($B13,Data!$C$7:$C$39,0),MATCH(J12,Data!$C$7:$EE$7,0)),"")))</f>
        <v>2.6418796530662592E-2</v>
      </c>
      <c r="K13" s="17">
        <f ca="1">IF(ISBLANK($D$6),"",(IFERROR(INDEX(Data!$C$7:$EE$39,MATCH($B13,Data!$C$7:$C$39,0),MATCH(K12,Data!$C$7:$EE$7,0)),"")))</f>
        <v>0.23786384574647479</v>
      </c>
      <c r="L13" s="17">
        <f ca="1">IF(ISBLANK($D$6),"",(IFERROR(INDEX(Data!$C$7:$EE$39,MATCH($B13,Data!$C$7:$C$39,0),MATCH(L12,Data!$C$7:$EE$7,0)),"")))</f>
        <v>0.66381806677268951</v>
      </c>
      <c r="M13" s="17">
        <f ca="1">IF(ISBLANK($D$6),"",(IFERROR(INDEX(Data!$C$7:$EE$39,MATCH($B13,Data!$C$7:$C$39,0),MATCH(M12,Data!$C$7:$EE$7,0)),"")))</f>
        <v>0.37693466888065008</v>
      </c>
      <c r="P13" s="17" t="str">
        <f>(IFERROR(INDEX(Data!$C$7:$EE$39,MATCH(#REF!,Data!$C$7:$C$39,0),MATCH(P$87,Data!$C$7:$EE$7,0)),""))</f>
        <v/>
      </c>
      <c r="Q13" s="17" t="str">
        <f>(IFERROR(INDEX(Data!$C$7:$EE$39,MATCH(#REF!,Data!$C$7:$C$39,0),MATCH(Q$87,Data!$C$7:$EE$7,0)),""))</f>
        <v/>
      </c>
    </row>
    <row r="16" spans="2:22" x14ac:dyDescent="0.4">
      <c r="R16" s="16"/>
      <c r="S16" s="16"/>
      <c r="T16" s="16"/>
      <c r="U16" s="16"/>
      <c r="V16" s="16"/>
    </row>
    <row r="17" spans="2:22" x14ac:dyDescent="0.4">
      <c r="R17" s="16"/>
      <c r="S17" s="16"/>
      <c r="T17" s="16"/>
      <c r="U17" s="16"/>
      <c r="V17" s="16"/>
    </row>
    <row r="18" spans="2:22" x14ac:dyDescent="0.4">
      <c r="R18" s="16"/>
      <c r="S18" s="16"/>
      <c r="T18" s="16"/>
      <c r="U18" s="16"/>
      <c r="V18" s="16"/>
    </row>
    <row r="19" spans="2:22" x14ac:dyDescent="0.4">
      <c r="R19" s="16"/>
      <c r="S19" s="16"/>
      <c r="T19" s="16"/>
      <c r="U19" s="16"/>
      <c r="V19" s="16"/>
    </row>
    <row r="20" spans="2:22" x14ac:dyDescent="0.4">
      <c r="R20" s="16"/>
      <c r="S20" s="16"/>
      <c r="T20" s="16"/>
      <c r="U20" s="16"/>
      <c r="V20" s="16"/>
    </row>
    <row r="21" spans="2:22" x14ac:dyDescent="0.4">
      <c r="R21" s="16"/>
      <c r="S21" s="16"/>
      <c r="T21" s="16"/>
      <c r="U21" s="16"/>
      <c r="V21" s="16"/>
    </row>
    <row r="22" spans="2:22" x14ac:dyDescent="0.4">
      <c r="R22" s="16"/>
      <c r="S22" s="16"/>
      <c r="T22" s="16"/>
      <c r="U22" s="16"/>
      <c r="V22" s="16"/>
    </row>
    <row r="23" spans="2:22" x14ac:dyDescent="0.4">
      <c r="R23" s="16"/>
      <c r="S23" s="16"/>
      <c r="T23" s="16"/>
      <c r="U23" s="16"/>
      <c r="V23" s="16"/>
    </row>
    <row r="24" spans="2:22" x14ac:dyDescent="0.4">
      <c r="R24" s="16"/>
      <c r="S24" s="16"/>
      <c r="T24" s="16"/>
      <c r="U24" s="16"/>
      <c r="V24" s="16"/>
    </row>
    <row r="25" spans="2:22" x14ac:dyDescent="0.4">
      <c r="R25" s="16"/>
      <c r="S25" s="16"/>
      <c r="T25" s="16"/>
      <c r="U25" s="16"/>
      <c r="V25" s="16"/>
    </row>
    <row r="30" spans="2:22" ht="15.9" x14ac:dyDescent="0.4">
      <c r="B30" s="32" t="str">
        <f>VLOOKUP(B33, Data!$A$8:$B$200, 2, FALSE)</f>
        <v>Punaisten rantapyyhkeiden määrä varastossa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22" ht="1" customHeight="1" x14ac:dyDescent="0.4">
      <c r="B31" s="30"/>
      <c r="C31" s="20"/>
    </row>
    <row r="32" spans="2:22" x14ac:dyDescent="0.4">
      <c r="B32" s="3" t="s">
        <v>2</v>
      </c>
      <c r="C32" s="3" t="str">
        <f>IF(ISBLANK($D$6),"",(TEXT(($D$6),"mmm-yy")))</f>
        <v>Jun-26</v>
      </c>
      <c r="D32" s="3" t="str">
        <f t="shared" ref="D32:M32" si="1">(TEXT(DATE(YEAR(C32),MONTH(C32)+1,DAY(C32)),"MMM-YY"))</f>
        <v>Jul-26</v>
      </c>
      <c r="E32" s="3" t="str">
        <f t="shared" si="1"/>
        <v>Aug-26</v>
      </c>
      <c r="F32" s="3" t="str">
        <f t="shared" si="1"/>
        <v>Sep-26</v>
      </c>
      <c r="G32" s="3" t="str">
        <f t="shared" si="1"/>
        <v>Oct-26</v>
      </c>
      <c r="H32" s="3" t="str">
        <f t="shared" si="1"/>
        <v>Nov-26</v>
      </c>
      <c r="I32" s="3" t="str">
        <f t="shared" si="1"/>
        <v>Dec-26</v>
      </c>
      <c r="J32" s="3" t="str">
        <f t="shared" si="1"/>
        <v>Jan-27</v>
      </c>
      <c r="K32" s="3" t="str">
        <f t="shared" si="1"/>
        <v>Feb-27</v>
      </c>
      <c r="L32" s="3" t="str">
        <f t="shared" si="1"/>
        <v>Mar-27</v>
      </c>
      <c r="M32" s="3" t="str">
        <f t="shared" si="1"/>
        <v>Apr-27</v>
      </c>
      <c r="P32" s="19" t="str">
        <f>IFERROR(IF(DATEVALUE(M32)&gt;=DATEVALUE($EF$5),"",(TEXT(DATE(YEAR(M32),MONTH(M32)+1,DAY(M32)),"MMM-YY"))),"")</f>
        <v/>
      </c>
      <c r="Q32" s="19" t="str">
        <f>IFERROR(IF(DATEVALUE(P32)&gt;=DATEVALUE($EF$5),"",(TEXT(DATE(YEAR(P32),MONTH(P32)+1,DAY(P32)),"MMM-YY"))),"")</f>
        <v/>
      </c>
    </row>
    <row r="33" spans="2:22" x14ac:dyDescent="0.4">
      <c r="B33" s="18" t="s">
        <v>8</v>
      </c>
      <c r="C33" s="17">
        <f ca="1">IF(ISBLANK($D$6),"",(IFERROR(INDEX(Data!$C$7:$EE$39,MATCH($B33,Data!$C$7:$C$39,0),MATCH(C32,Data!$C$7:$EE$7,0)),"")))</f>
        <v>35</v>
      </c>
      <c r="D33" s="17">
        <f ca="1">IF(ISBLANK($D$6),"",(IFERROR(INDEX(Data!$C$7:$EE$39,MATCH($B33,Data!$C$7:$C$39,0),MATCH(D32,Data!$C$7:$EE$7,0)),"")))</f>
        <v>9</v>
      </c>
      <c r="E33" s="17">
        <f ca="1">IF(ISBLANK($D$6),"",(IFERROR(INDEX(Data!$C$7:$EE$39,MATCH($B33,Data!$C$7:$C$39,0),MATCH(E32,Data!$C$7:$EE$7,0)),"")))</f>
        <v>7</v>
      </c>
      <c r="F33" s="17">
        <f ca="1">IF(ISBLANK($D$6),"",(IFERROR(INDEX(Data!$C$7:$EE$39,MATCH($B33,Data!$C$7:$C$39,0),MATCH(F32,Data!$C$7:$EE$7,0)),"")))</f>
        <v>8</v>
      </c>
      <c r="G33" s="17">
        <f ca="1">IF(ISBLANK($D$6),"",(IFERROR(INDEX(Data!$C$7:$EE$39,MATCH($B33,Data!$C$7:$C$39,0),MATCH(G32,Data!$C$7:$EE$7,0)),"")))</f>
        <v>9</v>
      </c>
      <c r="H33" s="17">
        <f ca="1">IF(ISBLANK($D$6),"",(IFERROR(INDEX(Data!$C$7:$EE$39,MATCH($B33,Data!$C$7:$C$39,0),MATCH(H32,Data!$C$7:$EE$7,0)),"")))</f>
        <v>37</v>
      </c>
      <c r="I33" s="17">
        <f ca="1">IF(ISBLANK($D$6),"",(IFERROR(INDEX(Data!$C$7:$EE$39,MATCH($B33,Data!$C$7:$C$39,0),MATCH(I32,Data!$C$7:$EE$7,0)),"")))</f>
        <v>34</v>
      </c>
      <c r="J33" s="17">
        <f ca="1">IF(ISBLANK($D$6),"",(IFERROR(INDEX(Data!$C$7:$EE$39,MATCH($B33,Data!$C$7:$C$39,0),MATCH(J32,Data!$C$7:$EE$7,0)),"")))</f>
        <v>20</v>
      </c>
      <c r="K33" s="17">
        <f ca="1">IF(ISBLANK($D$6),"",(IFERROR(INDEX(Data!$C$7:$EE$39,MATCH($B33,Data!$C$7:$C$39,0),MATCH(K32,Data!$C$7:$EE$7,0)),"")))</f>
        <v>12</v>
      </c>
      <c r="L33" s="17">
        <f ca="1">IF(ISBLANK($D$6),"",(IFERROR(INDEX(Data!$C$7:$EE$39,MATCH($B33,Data!$C$7:$C$39,0),MATCH(L32,Data!$C$7:$EE$7,0)),"")))</f>
        <v>9</v>
      </c>
      <c r="M33" s="17">
        <f ca="1">IF(ISBLANK($D$6),"",(IFERROR(INDEX(Data!$C$7:$EE$39,MATCH($B33,Data!$C$7:$C$39,0),MATCH(M32,Data!$C$7:$EE$7,0)),"")))</f>
        <v>8</v>
      </c>
      <c r="P33" s="17" t="str">
        <f>(IFERROR(INDEX(Data!$C$7:$EE$39,MATCH(#REF!,Data!$C$7:$C$39,0),MATCH(P$87,Data!$C$7:$EE$7,0)),""))</f>
        <v/>
      </c>
      <c r="Q33" s="17" t="str">
        <f>(IFERROR(INDEX(Data!$C$7:$EE$39,MATCH(#REF!,Data!$C$7:$C$39,0),MATCH(Q$87,Data!$C$7:$EE$7,0)),""))</f>
        <v/>
      </c>
    </row>
    <row r="36" spans="2:22" x14ac:dyDescent="0.4">
      <c r="R36" s="16"/>
      <c r="S36" s="16"/>
      <c r="T36" s="16"/>
      <c r="U36" s="16"/>
      <c r="V36" s="16"/>
    </row>
    <row r="37" spans="2:22" x14ac:dyDescent="0.4">
      <c r="R37" s="16"/>
      <c r="S37" s="16"/>
      <c r="T37" s="16"/>
      <c r="U37" s="16"/>
      <c r="V37" s="16"/>
    </row>
    <row r="38" spans="2:22" x14ac:dyDescent="0.4">
      <c r="R38" s="16"/>
      <c r="S38" s="16"/>
      <c r="T38" s="16"/>
      <c r="U38" s="16"/>
      <c r="V38" s="16"/>
    </row>
    <row r="39" spans="2:22" x14ac:dyDescent="0.4">
      <c r="R39" s="16"/>
      <c r="S39" s="16"/>
      <c r="T39" s="16"/>
      <c r="U39" s="16"/>
      <c r="V39" s="16"/>
    </row>
    <row r="40" spans="2:22" x14ac:dyDescent="0.4">
      <c r="R40" s="16"/>
      <c r="S40" s="16"/>
      <c r="T40" s="16"/>
      <c r="U40" s="16"/>
      <c r="V40" s="16"/>
    </row>
    <row r="41" spans="2:22" x14ac:dyDescent="0.4">
      <c r="R41" s="16"/>
      <c r="S41" s="16"/>
      <c r="T41" s="16"/>
      <c r="U41" s="16"/>
      <c r="V41" s="16"/>
    </row>
    <row r="42" spans="2:22" x14ac:dyDescent="0.4">
      <c r="R42" s="16"/>
      <c r="S42" s="16"/>
      <c r="T42" s="16"/>
      <c r="U42" s="16"/>
      <c r="V42" s="16"/>
    </row>
    <row r="43" spans="2:22" x14ac:dyDescent="0.4">
      <c r="R43" s="16"/>
      <c r="S43" s="16"/>
      <c r="T43" s="16"/>
      <c r="U43" s="16"/>
      <c r="V43" s="16"/>
    </row>
    <row r="44" spans="2:22" x14ac:dyDescent="0.4">
      <c r="R44" s="16"/>
      <c r="S44" s="16"/>
      <c r="T44" s="16"/>
      <c r="U44" s="16"/>
      <c r="V44" s="16"/>
    </row>
    <row r="45" spans="2:22" x14ac:dyDescent="0.4">
      <c r="R45" s="16"/>
      <c r="S45" s="16"/>
      <c r="T45" s="16"/>
      <c r="U45" s="16"/>
      <c r="V45" s="16"/>
    </row>
    <row r="50" spans="2:22" ht="15.9" x14ac:dyDescent="0.4">
      <c r="B50" s="32" t="str">
        <f>VLOOKUP(B53, Data!$A$8:$B$200, 2, FALSE)</f>
        <v>Esimerkki indikaattori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2:22" ht="1" customHeight="1" x14ac:dyDescent="0.4">
      <c r="B51" s="30"/>
      <c r="C51" s="20"/>
    </row>
    <row r="52" spans="2:22" x14ac:dyDescent="0.4">
      <c r="B52" s="3" t="s">
        <v>2</v>
      </c>
      <c r="C52" s="3" t="str">
        <f>IF(ISBLANK($D$6),"",(TEXT(($D$6),"mmm-yy")))</f>
        <v>Jun-26</v>
      </c>
      <c r="D52" s="3" t="str">
        <f t="shared" ref="D52:M52" si="2">(TEXT(DATE(YEAR(C52),MONTH(C52)+1,DAY(C52)),"MMM-YY"))</f>
        <v>Jul-26</v>
      </c>
      <c r="E52" s="3" t="str">
        <f t="shared" si="2"/>
        <v>Aug-26</v>
      </c>
      <c r="F52" s="3" t="str">
        <f t="shared" si="2"/>
        <v>Sep-26</v>
      </c>
      <c r="G52" s="3" t="str">
        <f t="shared" si="2"/>
        <v>Oct-26</v>
      </c>
      <c r="H52" s="3" t="str">
        <f t="shared" si="2"/>
        <v>Nov-26</v>
      </c>
      <c r="I52" s="3" t="str">
        <f t="shared" si="2"/>
        <v>Dec-26</v>
      </c>
      <c r="J52" s="3" t="str">
        <f t="shared" si="2"/>
        <v>Jan-27</v>
      </c>
      <c r="K52" s="3" t="str">
        <f t="shared" si="2"/>
        <v>Feb-27</v>
      </c>
      <c r="L52" s="3" t="str">
        <f t="shared" si="2"/>
        <v>Mar-27</v>
      </c>
      <c r="M52" s="3" t="str">
        <f t="shared" si="2"/>
        <v>Apr-27</v>
      </c>
      <c r="P52" s="19" t="str">
        <f>IFERROR(IF(DATEVALUE(M52)&gt;=DATEVALUE($EF$5),"",(TEXT(DATE(YEAR(M52),MONTH(M52)+1,DAY(M52)),"MMM-YY"))),"")</f>
        <v/>
      </c>
      <c r="Q52" s="19" t="str">
        <f>IFERROR(IF(DATEVALUE(P52)&gt;=DATEVALUE($EF$5),"",(TEXT(DATE(YEAR(P52),MONTH(P52)+1,DAY(P52)),"MMM-YY"))),"")</f>
        <v/>
      </c>
    </row>
    <row r="53" spans="2:22" x14ac:dyDescent="0.4">
      <c r="B53" s="18" t="s">
        <v>27</v>
      </c>
      <c r="C53" s="17">
        <f ca="1">IF(ISBLANK($D$6),"",(IFERROR(INDEX(Data!$C$7:$EE$39,MATCH($B53,Data!$C$7:$C$39,0),MATCH(C52,Data!$C$7:$EE$7,0)),"")))</f>
        <v>30</v>
      </c>
      <c r="D53" s="17">
        <f ca="1">IF(ISBLANK($D$6),"",(IFERROR(INDEX(Data!$C$7:$EE$39,MATCH($B53,Data!$C$7:$C$39,0),MATCH(D52,Data!$C$7:$EE$7,0)),"")))</f>
        <v>19</v>
      </c>
      <c r="E53" s="17">
        <f ca="1">IF(ISBLANK($D$6),"",(IFERROR(INDEX(Data!$C$7:$EE$39,MATCH($B53,Data!$C$7:$C$39,0),MATCH(E52,Data!$C$7:$EE$7,0)),"")))</f>
        <v>31</v>
      </c>
      <c r="F53" s="17">
        <f ca="1">IF(ISBLANK($D$6),"",(IFERROR(INDEX(Data!$C$7:$EE$39,MATCH($B53,Data!$C$7:$C$39,0),MATCH(F52,Data!$C$7:$EE$7,0)),"")))</f>
        <v>27</v>
      </c>
      <c r="G53" s="17">
        <f ca="1">IF(ISBLANK($D$6),"",(IFERROR(INDEX(Data!$C$7:$EE$39,MATCH($B53,Data!$C$7:$C$39,0),MATCH(G52,Data!$C$7:$EE$7,0)),"")))</f>
        <v>18</v>
      </c>
      <c r="H53" s="17">
        <f ca="1">IF(ISBLANK($D$6),"",(IFERROR(INDEX(Data!$C$7:$EE$39,MATCH($B53,Data!$C$7:$C$39,0),MATCH(H52,Data!$C$7:$EE$7,0)),"")))</f>
        <v>13</v>
      </c>
      <c r="I53" s="17">
        <f ca="1">IF(ISBLANK($D$6),"",(IFERROR(INDEX(Data!$C$7:$EE$39,MATCH($B53,Data!$C$7:$C$39,0),MATCH(I52,Data!$C$7:$EE$7,0)),"")))</f>
        <v>24</v>
      </c>
      <c r="J53" s="17">
        <f ca="1">IF(ISBLANK($D$6),"",(IFERROR(INDEX(Data!$C$7:$EE$39,MATCH($B53,Data!$C$7:$C$39,0),MATCH(J52,Data!$C$7:$EE$7,0)),"")))</f>
        <v>33</v>
      </c>
      <c r="K53" s="17">
        <f ca="1">IF(ISBLANK($D$6),"",(IFERROR(INDEX(Data!$C$7:$EE$39,MATCH($B53,Data!$C$7:$C$39,0),MATCH(K52,Data!$C$7:$EE$7,0)),"")))</f>
        <v>24</v>
      </c>
      <c r="L53" s="17">
        <f ca="1">IF(ISBLANK($D$6),"",(IFERROR(INDEX(Data!$C$7:$EE$39,MATCH($B53,Data!$C$7:$C$39,0),MATCH(L52,Data!$C$7:$EE$7,0)),"")))</f>
        <v>15</v>
      </c>
      <c r="M53" s="17">
        <f ca="1">IF(ISBLANK($D$6),"",(IFERROR(INDEX(Data!$C$7:$EE$39,MATCH($B53,Data!$C$7:$C$39,0),MATCH(M52,Data!$C$7:$EE$7,0)),"")))</f>
        <v>4</v>
      </c>
      <c r="P53" s="17" t="str">
        <f>(IFERROR(INDEX(Data!$C$7:$EE$39,MATCH(#REF!,Data!$C$7:$C$39,0),MATCH(P$87,Data!$C$7:$EE$7,0)),""))</f>
        <v/>
      </c>
      <c r="Q53" s="17" t="str">
        <f>(IFERROR(INDEX(Data!$C$7:$EE$39,MATCH(#REF!,Data!$C$7:$C$39,0),MATCH(Q$87,Data!$C$7:$EE$7,0)),""))</f>
        <v/>
      </c>
    </row>
    <row r="56" spans="2:22" x14ac:dyDescent="0.4">
      <c r="R56" s="16"/>
      <c r="S56" s="16"/>
      <c r="T56" s="16"/>
      <c r="U56" s="16"/>
      <c r="V56" s="16"/>
    </row>
    <row r="57" spans="2:22" x14ac:dyDescent="0.4">
      <c r="R57" s="16"/>
      <c r="S57" s="16"/>
      <c r="T57" s="16"/>
      <c r="U57" s="16"/>
      <c r="V57" s="16"/>
    </row>
    <row r="58" spans="2:22" x14ac:dyDescent="0.4">
      <c r="R58" s="16"/>
      <c r="S58" s="16"/>
      <c r="T58" s="16"/>
      <c r="U58" s="16"/>
      <c r="V58" s="16"/>
    </row>
    <row r="59" spans="2:22" x14ac:dyDescent="0.4">
      <c r="R59" s="16"/>
      <c r="S59" s="16"/>
      <c r="T59" s="16"/>
      <c r="U59" s="16"/>
      <c r="V59" s="16"/>
    </row>
    <row r="60" spans="2:22" x14ac:dyDescent="0.4">
      <c r="R60" s="16"/>
      <c r="S60" s="16"/>
      <c r="T60" s="16"/>
      <c r="U60" s="16"/>
      <c r="V60" s="16"/>
    </row>
    <row r="61" spans="2:22" x14ac:dyDescent="0.4">
      <c r="R61" s="16"/>
      <c r="S61" s="16"/>
      <c r="T61" s="16"/>
      <c r="U61" s="16"/>
      <c r="V61" s="16"/>
    </row>
    <row r="62" spans="2:22" x14ac:dyDescent="0.4">
      <c r="R62" s="16"/>
      <c r="S62" s="16"/>
      <c r="T62" s="16"/>
      <c r="U62" s="16"/>
      <c r="V62" s="16"/>
    </row>
    <row r="63" spans="2:22" x14ac:dyDescent="0.4">
      <c r="R63" s="16"/>
      <c r="S63" s="16"/>
      <c r="T63" s="16"/>
      <c r="U63" s="16"/>
      <c r="V63" s="16"/>
    </row>
    <row r="64" spans="2:22" x14ac:dyDescent="0.4">
      <c r="R64" s="16"/>
      <c r="S64" s="16"/>
      <c r="T64" s="16"/>
      <c r="U64" s="16"/>
      <c r="V64" s="16"/>
    </row>
    <row r="65" spans="2:22" x14ac:dyDescent="0.4">
      <c r="R65" s="16"/>
      <c r="S65" s="16"/>
      <c r="T65" s="16"/>
      <c r="U65" s="16"/>
      <c r="V65" s="16"/>
    </row>
    <row r="70" spans="2:22" ht="15.9" x14ac:dyDescent="0.4">
      <c r="B70" s="32" t="str">
        <f>VLOOKUP(B73, Data!$A$8:$B$200, 2, FALSE)</f>
        <v>Rekisteröityneiden asiakkaiden määrä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2:22" ht="1" customHeight="1" x14ac:dyDescent="0.4">
      <c r="B71" s="30"/>
      <c r="C71" s="20"/>
    </row>
    <row r="72" spans="2:22" x14ac:dyDescent="0.4">
      <c r="B72" s="3" t="s">
        <v>2</v>
      </c>
      <c r="C72" s="3" t="str">
        <f>IF(ISBLANK($D$6),"",(TEXT(($D$6),"mmm-yy")))</f>
        <v>Jun-26</v>
      </c>
      <c r="D72" s="3" t="str">
        <f t="shared" ref="D72:M72" si="3">(TEXT(DATE(YEAR(C72),MONTH(C72)+1,DAY(C72)),"MMM-YY"))</f>
        <v>Jul-26</v>
      </c>
      <c r="E72" s="3" t="str">
        <f t="shared" si="3"/>
        <v>Aug-26</v>
      </c>
      <c r="F72" s="3" t="str">
        <f t="shared" si="3"/>
        <v>Sep-26</v>
      </c>
      <c r="G72" s="3" t="str">
        <f t="shared" si="3"/>
        <v>Oct-26</v>
      </c>
      <c r="H72" s="3" t="str">
        <f t="shared" si="3"/>
        <v>Nov-26</v>
      </c>
      <c r="I72" s="3" t="str">
        <f t="shared" si="3"/>
        <v>Dec-26</v>
      </c>
      <c r="J72" s="3" t="str">
        <f t="shared" si="3"/>
        <v>Jan-27</v>
      </c>
      <c r="K72" s="3" t="str">
        <f t="shared" si="3"/>
        <v>Feb-27</v>
      </c>
      <c r="L72" s="3" t="str">
        <f t="shared" si="3"/>
        <v>Mar-27</v>
      </c>
      <c r="M72" s="3" t="str">
        <f t="shared" si="3"/>
        <v>Apr-27</v>
      </c>
      <c r="P72" s="19" t="str">
        <f>IFERROR(IF(DATEVALUE(M72)&gt;=DATEVALUE($EF$5),"",(TEXT(DATE(YEAR(M72),MONTH(M72)+1,DAY(M72)),"MMM-YY"))),"")</f>
        <v/>
      </c>
      <c r="Q72" s="19" t="str">
        <f>IFERROR(IF(DATEVALUE(P72)&gt;=DATEVALUE($EF$5),"",(TEXT(DATE(YEAR(P72),MONTH(P72)+1,DAY(P72)),"MMM-YY"))),"")</f>
        <v/>
      </c>
    </row>
    <row r="73" spans="2:22" x14ac:dyDescent="0.4">
      <c r="B73" s="18" t="s">
        <v>3</v>
      </c>
      <c r="C73" s="17">
        <f ca="1">IF(ISBLANK($D$6),"",(IFERROR(INDEX(Data!$C$7:$EE$39,MATCH($B73,Data!$C$7:$C$39,0),MATCH(C72,Data!$C$7:$EE$7,0)),"")))</f>
        <v>182</v>
      </c>
      <c r="D73" s="17">
        <f ca="1">IF(ISBLANK($D$6),"",(IFERROR(INDEX(Data!$C$7:$EE$39,MATCH($B73,Data!$C$7:$C$39,0),MATCH(D72,Data!$C$7:$EE$7,0)),"")))</f>
        <v>186</v>
      </c>
      <c r="E73" s="17">
        <f ca="1">IF(ISBLANK($D$6),"",(IFERROR(INDEX(Data!$C$7:$EE$39,MATCH($B73,Data!$C$7:$C$39,0),MATCH(E72,Data!$C$7:$EE$7,0)),"")))</f>
        <v>188</v>
      </c>
      <c r="F73" s="17">
        <f ca="1">IF(ISBLANK($D$6),"",(IFERROR(INDEX(Data!$C$7:$EE$39,MATCH($B73,Data!$C$7:$C$39,0),MATCH(F72,Data!$C$7:$EE$7,0)),"")))</f>
        <v>196</v>
      </c>
      <c r="G73" s="17">
        <f ca="1">IF(ISBLANK($D$6),"",(IFERROR(INDEX(Data!$C$7:$EE$39,MATCH($B73,Data!$C$7:$C$39,0),MATCH(G72,Data!$C$7:$EE$7,0)),"")))</f>
        <v>201</v>
      </c>
      <c r="H73" s="17">
        <f ca="1">IF(ISBLANK($D$6),"",(IFERROR(INDEX(Data!$C$7:$EE$39,MATCH($B73,Data!$C$7:$C$39,0),MATCH(H72,Data!$C$7:$EE$7,0)),"")))</f>
        <v>210</v>
      </c>
      <c r="I73" s="17">
        <f ca="1">IF(ISBLANK($D$6),"",(IFERROR(INDEX(Data!$C$7:$EE$39,MATCH($B73,Data!$C$7:$C$39,0),MATCH(I72,Data!$C$7:$EE$7,0)),"")))</f>
        <v>211</v>
      </c>
      <c r="J73" s="17">
        <f ca="1">IF(ISBLANK($D$6),"",(IFERROR(INDEX(Data!$C$7:$EE$39,MATCH($B73,Data!$C$7:$C$39,0),MATCH(J72,Data!$C$7:$EE$7,0)),"")))</f>
        <v>213</v>
      </c>
      <c r="K73" s="17">
        <f ca="1">IF(ISBLANK($D$6),"",(IFERROR(INDEX(Data!$C$7:$EE$39,MATCH($B73,Data!$C$7:$C$39,0),MATCH(K72,Data!$C$7:$EE$7,0)),"")))</f>
        <v>220</v>
      </c>
      <c r="L73" s="17">
        <f ca="1">IF(ISBLANK($D$6),"",(IFERROR(INDEX(Data!$C$7:$EE$39,MATCH($B73,Data!$C$7:$C$39,0),MATCH(L72,Data!$C$7:$EE$7,0)),"")))</f>
        <v>225</v>
      </c>
      <c r="M73" s="17">
        <f ca="1">IF(ISBLANK($D$6),"",(IFERROR(INDEX(Data!$C$7:$EE$39,MATCH($B73,Data!$C$7:$C$39,0),MATCH(M72,Data!$C$7:$EE$7,0)),"")))</f>
        <v>235</v>
      </c>
      <c r="P73" s="17" t="str">
        <f>(IFERROR(INDEX(Data!$C$7:$EE$39,MATCH(#REF!,Data!$C$7:$C$39,0),MATCH(P$87,Data!$C$7:$EE$7,0)),""))</f>
        <v/>
      </c>
      <c r="Q73" s="17" t="str">
        <f>(IFERROR(INDEX(Data!$C$7:$EE$39,MATCH(#REF!,Data!$C$7:$C$39,0),MATCH(Q$87,Data!$C$7:$EE$7,0)),""))</f>
        <v/>
      </c>
    </row>
    <row r="76" spans="2:22" x14ac:dyDescent="0.4">
      <c r="R76" s="16"/>
      <c r="S76" s="16"/>
      <c r="T76" s="16"/>
      <c r="U76" s="16"/>
      <c r="V76" s="16"/>
    </row>
    <row r="77" spans="2:22" x14ac:dyDescent="0.4">
      <c r="R77" s="16"/>
      <c r="S77" s="16"/>
      <c r="T77" s="16"/>
      <c r="U77" s="16"/>
      <c r="V77" s="16"/>
    </row>
    <row r="78" spans="2:22" x14ac:dyDescent="0.4">
      <c r="R78" s="16"/>
      <c r="S78" s="16"/>
      <c r="T78" s="16"/>
      <c r="U78" s="16"/>
      <c r="V78" s="16"/>
    </row>
    <row r="79" spans="2:22" x14ac:dyDescent="0.4">
      <c r="R79" s="16"/>
      <c r="S79" s="16"/>
      <c r="T79" s="16"/>
      <c r="U79" s="16"/>
      <c r="V79" s="16"/>
    </row>
    <row r="80" spans="2:22" x14ac:dyDescent="0.4">
      <c r="R80" s="16"/>
      <c r="S80" s="16"/>
      <c r="T80" s="16"/>
      <c r="U80" s="16"/>
      <c r="V80" s="16"/>
    </row>
    <row r="81" spans="11:22" x14ac:dyDescent="0.4">
      <c r="R81" s="16"/>
      <c r="S81" s="16"/>
      <c r="T81" s="16"/>
      <c r="U81" s="16"/>
      <c r="V81" s="16"/>
    </row>
    <row r="82" spans="11:22" x14ac:dyDescent="0.4">
      <c r="R82" s="16"/>
      <c r="S82" s="16"/>
      <c r="T82" s="16"/>
      <c r="U82" s="16"/>
      <c r="V82" s="16"/>
    </row>
    <row r="83" spans="11:22" x14ac:dyDescent="0.4">
      <c r="R83" s="16"/>
      <c r="S83" s="16"/>
      <c r="T83" s="16"/>
      <c r="U83" s="16"/>
      <c r="V83" s="16"/>
    </row>
    <row r="84" spans="11:22" x14ac:dyDescent="0.4">
      <c r="R84" s="16"/>
      <c r="S84" s="16"/>
      <c r="T84" s="16"/>
      <c r="U84" s="16"/>
      <c r="V84" s="16"/>
    </row>
    <row r="85" spans="11:22" x14ac:dyDescent="0.4">
      <c r="R85" s="16"/>
      <c r="S85" s="16"/>
      <c r="T85" s="16"/>
      <c r="U85" s="16"/>
      <c r="V85" s="16"/>
    </row>
    <row r="91" spans="11:22" x14ac:dyDescent="0.4">
      <c r="K91" t="s">
        <v>0</v>
      </c>
    </row>
  </sheetData>
  <sheetProtection algorithmName="SHA-512" hashValue="OQ62D2W3HzHIDf2K+5l0C6CSFUwajuXxHU82wEX3K6z0a42sbJRmT1V2OhOaRaDeGDUyDbVJ3qLA/c+oe65OGg==" saltValue="2cQm6UuySLG3esRfZu5w1w==" spinCount="100000" sheet="1" objects="1" scenarios="1"/>
  <conditionalFormatting sqref="B10:M10">
    <cfRule type="expression" dxfId="63" priority="16">
      <formula>$C$2="Summer"</formula>
    </cfRule>
    <cfRule type="expression" dxfId="62" priority="17">
      <formula>$C$2="Winter"</formula>
    </cfRule>
    <cfRule type="expression" dxfId="61" priority="18">
      <formula>$C$2="Autumn"</formula>
    </cfRule>
    <cfRule type="expression" dxfId="60" priority="19">
      <formula>$C$2="Spring"</formula>
    </cfRule>
    <cfRule type="notContainsBlanks" dxfId="59" priority="20">
      <formula>LEN(TRIM(B10))&gt;0</formula>
    </cfRule>
  </conditionalFormatting>
  <conditionalFormatting sqref="B12:M12 B32:M32 B52:M52 B72:M72">
    <cfRule type="expression" priority="49">
      <formula>$C$2="Blank"</formula>
    </cfRule>
    <cfRule type="expression" dxfId="58" priority="92">
      <formula>$C$2="Spring"</formula>
    </cfRule>
    <cfRule type="expression" dxfId="57" priority="89">
      <formula>$C$2="Summer"</formula>
    </cfRule>
    <cfRule type="expression" dxfId="56" priority="90">
      <formula>$C$2="Winter"</formula>
    </cfRule>
    <cfRule type="expression" dxfId="55" priority="91">
      <formula>$C$2="Autumn"</formula>
    </cfRule>
  </conditionalFormatting>
  <conditionalFormatting sqref="B30:M30">
    <cfRule type="expression" dxfId="54" priority="11">
      <formula>$C$2="Summer"</formula>
    </cfRule>
    <cfRule type="expression" dxfId="53" priority="12">
      <formula>$C$2="Winter"</formula>
    </cfRule>
    <cfRule type="expression" dxfId="52" priority="13">
      <formula>$C$2="Autumn"</formula>
    </cfRule>
    <cfRule type="expression" dxfId="51" priority="14">
      <formula>$C$2="Spring"</formula>
    </cfRule>
    <cfRule type="notContainsBlanks" dxfId="50" priority="15">
      <formula>LEN(TRIM(B30))&gt;0</formula>
    </cfRule>
  </conditionalFormatting>
  <conditionalFormatting sqref="B50:M50">
    <cfRule type="expression" dxfId="49" priority="6">
      <formula>$C$2="Summer"</formula>
    </cfRule>
    <cfRule type="expression" dxfId="48" priority="7">
      <formula>$C$2="Winter"</formula>
    </cfRule>
    <cfRule type="expression" dxfId="47" priority="8">
      <formula>$C$2="Autumn"</formula>
    </cfRule>
    <cfRule type="expression" dxfId="46" priority="9">
      <formula>$C$2="Spring"</formula>
    </cfRule>
    <cfRule type="notContainsBlanks" dxfId="45" priority="10">
      <formula>LEN(TRIM(B50))&gt;0</formula>
    </cfRule>
  </conditionalFormatting>
  <conditionalFormatting sqref="B70:M70">
    <cfRule type="expression" dxfId="44" priority="2">
      <formula>$C$2="Winter"</formula>
    </cfRule>
    <cfRule type="expression" dxfId="43" priority="3">
      <formula>$C$2="Autumn"</formula>
    </cfRule>
    <cfRule type="expression" dxfId="42" priority="4">
      <formula>$C$2="Spring"</formula>
    </cfRule>
    <cfRule type="notContainsBlanks" dxfId="41" priority="5">
      <formula>LEN(TRIM(B70))&gt;0</formula>
    </cfRule>
    <cfRule type="expression" dxfId="40" priority="1">
      <formula>$C$2="Summer"</formula>
    </cfRule>
  </conditionalFormatting>
  <conditionalFormatting sqref="C7:C8">
    <cfRule type="expression" dxfId="39" priority="48">
      <formula>$C$2="Spring"</formula>
    </cfRule>
    <cfRule type="expression" dxfId="38" priority="47">
      <formula>$C$2="Summer"</formula>
    </cfRule>
    <cfRule type="expression" priority="44">
      <formula>$C$2="Blank"</formula>
    </cfRule>
    <cfRule type="expression" dxfId="37" priority="45">
      <formula>$C$2="Autumn"</formula>
    </cfRule>
    <cfRule type="expression" dxfId="36" priority="46">
      <formula>$C$2="Winter"</formula>
    </cfRule>
  </conditionalFormatting>
  <conditionalFormatting sqref="C11">
    <cfRule type="duplicateValues" dxfId="35" priority="86"/>
  </conditionalFormatting>
  <conditionalFormatting sqref="C31">
    <cfRule type="duplicateValues" dxfId="34" priority="43"/>
  </conditionalFormatting>
  <conditionalFormatting sqref="C51">
    <cfRule type="duplicateValues" dxfId="33" priority="42"/>
  </conditionalFormatting>
  <conditionalFormatting sqref="C71">
    <cfRule type="duplicateValues" dxfId="32" priority="41"/>
  </conditionalFormatting>
  <conditionalFormatting sqref="P12:Q13">
    <cfRule type="containsErrors" dxfId="31" priority="87">
      <formula>ISERROR(P12)</formula>
    </cfRule>
    <cfRule type="containsBlanks" dxfId="30" priority="88">
      <formula>LEN(TRIM(P12))=0</formula>
    </cfRule>
  </conditionalFormatting>
  <conditionalFormatting sqref="P32:Q33">
    <cfRule type="containsErrors" dxfId="29" priority="84">
      <formula>ISERROR(P32)</formula>
    </cfRule>
    <cfRule type="containsBlanks" dxfId="28" priority="85">
      <formula>LEN(TRIM(P32))=0</formula>
    </cfRule>
  </conditionalFormatting>
  <conditionalFormatting sqref="P52:Q53">
    <cfRule type="containsBlanks" dxfId="27" priority="81">
      <formula>LEN(TRIM(P52))=0</formula>
    </cfRule>
    <cfRule type="containsErrors" dxfId="26" priority="80">
      <formula>ISERROR(P52)</formula>
    </cfRule>
  </conditionalFormatting>
  <conditionalFormatting sqref="P72:Q73">
    <cfRule type="containsBlanks" dxfId="25" priority="77">
      <formula>LEN(TRIM(P72))=0</formula>
    </cfRule>
    <cfRule type="containsErrors" dxfId="24" priority="76">
      <formula>ISERROR(P72)</formula>
    </cfRule>
  </conditionalFormatting>
  <dataValidations count="1">
    <dataValidation type="list" allowBlank="1" showInputMessage="1" showErrorMessage="1" sqref="C10:C11 C30:C31 C50:C51 C70:C71" xr:uid="{2179E878-22B6-4EAE-B43C-AF69A57EAF2B}">
      <formula1>$D$6:$D$41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ED9BDD-633B-4DC6-9A41-1A8574FD0996}">
          <x14:formula1>
            <xm:f>Listat!$E$11:$E$21</xm:f>
          </x14:formula1>
          <xm:sqref>C8</xm:sqref>
        </x14:dataValidation>
        <x14:dataValidation type="list" allowBlank="1" showInputMessage="1" showErrorMessage="1" xr:uid="{F1A5CE54-D3D1-4A6B-B27D-EBFE0B549EC6}">
          <x14:formula1>
            <xm:f>Listat!$C$11:$C$22</xm:f>
          </x14:formula1>
          <xm:sqref>C7</xm:sqref>
        </x14:dataValidation>
        <x14:dataValidation type="list" allowBlank="1" showInputMessage="1" showErrorMessage="1" xr:uid="{394BF927-283C-4426-8B1D-FB0C47EBB2B9}">
          <x14:formula1>
            <xm:f>Data!$C$8:$C$200</xm:f>
          </x14:formula1>
          <xm:sqref>B13 B33 B53 B73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8169-491C-473C-A955-DC9B370E0249}">
  <sheetPr>
    <tabColor rgb="FFCC99FF"/>
    <pageSetUpPr fitToPage="1"/>
  </sheetPr>
  <dimension ref="A2:EH203"/>
  <sheetViews>
    <sheetView topLeftCell="B1" zoomScale="70" zoomScaleNormal="70" workbookViewId="0">
      <pane ySplit="7" topLeftCell="A8" activePane="bottomLeft" state="frozen"/>
      <selection activeCell="B2" sqref="B2"/>
      <selection pane="bottomLeft" activeCell="B7" sqref="B7"/>
    </sheetView>
  </sheetViews>
  <sheetFormatPr defaultRowHeight="14.6" x14ac:dyDescent="0.4"/>
  <cols>
    <col min="2" max="2" width="34.3828125" customWidth="1"/>
    <col min="3" max="3" width="16" customWidth="1"/>
    <col min="4" max="4" width="8.15234375" customWidth="1"/>
    <col min="5" max="5" width="8.53515625" customWidth="1"/>
    <col min="6" max="6" width="8" customWidth="1"/>
    <col min="7" max="7" width="7.69140625" customWidth="1"/>
    <col min="8" max="9" width="8.3828125" customWidth="1"/>
    <col min="10" max="10" width="8.23046875" customWidth="1"/>
    <col min="11" max="11" width="8.4609375" customWidth="1"/>
    <col min="12" max="12" width="8.53515625" customWidth="1"/>
    <col min="13" max="13" width="8" customWidth="1"/>
    <col min="14" max="14" width="8.3828125" customWidth="1"/>
    <col min="15" max="15" width="8.4609375" customWidth="1"/>
    <col min="16" max="16" width="8.15234375" customWidth="1"/>
    <col min="17" max="17" width="8.53515625" customWidth="1"/>
    <col min="18" max="18" width="8" customWidth="1"/>
    <col min="19" max="19" width="7.69140625" customWidth="1"/>
    <col min="20" max="21" width="8.3828125" customWidth="1"/>
    <col min="22" max="22" width="8.23046875" customWidth="1"/>
    <col min="23" max="23" width="8.4609375" customWidth="1"/>
    <col min="24" max="24" width="8.53515625" customWidth="1"/>
    <col min="25" max="25" width="8" customWidth="1"/>
    <col min="26" max="26" width="8.3828125" customWidth="1"/>
    <col min="27" max="27" width="8.4609375" customWidth="1"/>
    <col min="28" max="28" width="8.15234375" customWidth="1"/>
    <col min="29" max="29" width="8.53515625" customWidth="1"/>
    <col min="30" max="30" width="8" customWidth="1"/>
    <col min="31" max="31" width="7.69140625" customWidth="1"/>
    <col min="32" max="33" width="8.3828125" customWidth="1"/>
    <col min="34" max="34" width="8.23046875" customWidth="1"/>
    <col min="35" max="35" width="8.4609375" customWidth="1"/>
    <col min="36" max="36" width="8.53515625" customWidth="1"/>
    <col min="37" max="37" width="8" customWidth="1"/>
    <col min="38" max="38" width="8.3828125" customWidth="1"/>
    <col min="39" max="39" width="8.4609375" customWidth="1"/>
    <col min="40" max="40" width="8.15234375" customWidth="1"/>
    <col min="41" max="49" width="9.921875" customWidth="1"/>
    <col min="50" max="135" width="10.84375" customWidth="1"/>
  </cols>
  <sheetData>
    <row r="2" spans="1:138" ht="15.9" x14ac:dyDescent="0.45">
      <c r="C2" s="7" t="str">
        <f>Aloitus!$C$2</f>
        <v>Kevät</v>
      </c>
      <c r="H2" t="s">
        <v>66</v>
      </c>
    </row>
    <row r="3" spans="1:138" ht="15.9" x14ac:dyDescent="0.45">
      <c r="B3" s="7"/>
      <c r="H3" t="s">
        <v>67</v>
      </c>
    </row>
    <row r="4" spans="1:138" ht="44.25" customHeight="1" x14ac:dyDescent="0.4">
      <c r="H4" s="51" t="s">
        <v>68</v>
      </c>
      <c r="I4" s="51"/>
      <c r="J4" s="51"/>
      <c r="K4" s="51"/>
      <c r="L4" s="51"/>
      <c r="M4" s="51"/>
    </row>
    <row r="5" spans="1:138" ht="6.75" customHeight="1" x14ac:dyDescent="0.4">
      <c r="B5" s="7"/>
      <c r="C5" s="7"/>
      <c r="D5" s="7"/>
      <c r="E5" s="7"/>
      <c r="F5" s="7"/>
    </row>
    <row r="6" spans="1:138" s="2" customFormat="1" ht="4.8499999999999996" customHeight="1" x14ac:dyDescent="0.4">
      <c r="B6" s="14"/>
      <c r="C6" s="15" t="str">
        <f ca="1">TEXT(TODAY(), "Mmmm")</f>
        <v>October</v>
      </c>
      <c r="D6" s="15"/>
      <c r="E6" s="15" t="str">
        <f ca="1">TEXT(TODAY(), "Yyyy")</f>
        <v>2025</v>
      </c>
      <c r="F6" s="15"/>
    </row>
    <row r="7" spans="1:138" ht="23.15" customHeight="1" x14ac:dyDescent="0.4">
      <c r="B7" s="25" t="s">
        <v>70</v>
      </c>
      <c r="C7" s="3" t="s">
        <v>65</v>
      </c>
      <c r="D7" s="3" t="str">
        <f>TEXT(DATE(Listat!$E$11, MONTH(1), DAY(1)), "Mmm-YY")</f>
        <v>Jan-25</v>
      </c>
      <c r="E7" s="3" t="str">
        <f t="shared" ref="E7:AJ7" si="0">TEXT(DATE(YEAR(D7), MONTH(D7)+1, DAY(D7)), "Mmm-yy")</f>
        <v>Feb-25</v>
      </c>
      <c r="F7" s="3" t="str">
        <f t="shared" si="0"/>
        <v>Mar-25</v>
      </c>
      <c r="G7" s="3" t="str">
        <f t="shared" si="0"/>
        <v>Apr-25</v>
      </c>
      <c r="H7" s="3" t="str">
        <f t="shared" si="0"/>
        <v>May-25</v>
      </c>
      <c r="I7" s="3" t="str">
        <f t="shared" si="0"/>
        <v>Jun-25</v>
      </c>
      <c r="J7" s="3" t="str">
        <f t="shared" si="0"/>
        <v>Jul-25</v>
      </c>
      <c r="K7" s="3" t="str">
        <f t="shared" si="0"/>
        <v>Aug-25</v>
      </c>
      <c r="L7" s="3" t="str">
        <f t="shared" si="0"/>
        <v>Sep-25</v>
      </c>
      <c r="M7" s="3" t="str">
        <f t="shared" si="0"/>
        <v>Oct-25</v>
      </c>
      <c r="N7" s="3" t="str">
        <f t="shared" si="0"/>
        <v>Nov-25</v>
      </c>
      <c r="O7" s="3" t="str">
        <f t="shared" si="0"/>
        <v>Dec-25</v>
      </c>
      <c r="P7" s="3" t="str">
        <f t="shared" si="0"/>
        <v>Jan-26</v>
      </c>
      <c r="Q7" s="3" t="str">
        <f t="shared" si="0"/>
        <v>Feb-26</v>
      </c>
      <c r="R7" s="3" t="str">
        <f t="shared" si="0"/>
        <v>Mar-26</v>
      </c>
      <c r="S7" s="3" t="str">
        <f t="shared" si="0"/>
        <v>Apr-26</v>
      </c>
      <c r="T7" s="3" t="str">
        <f t="shared" si="0"/>
        <v>May-26</v>
      </c>
      <c r="U7" s="3" t="str">
        <f t="shared" si="0"/>
        <v>Jun-26</v>
      </c>
      <c r="V7" s="3" t="str">
        <f t="shared" si="0"/>
        <v>Jul-26</v>
      </c>
      <c r="W7" s="3" t="str">
        <f t="shared" si="0"/>
        <v>Aug-26</v>
      </c>
      <c r="X7" s="3" t="str">
        <f t="shared" si="0"/>
        <v>Sep-26</v>
      </c>
      <c r="Y7" s="3" t="str">
        <f t="shared" si="0"/>
        <v>Oct-26</v>
      </c>
      <c r="Z7" s="3" t="str">
        <f t="shared" si="0"/>
        <v>Nov-26</v>
      </c>
      <c r="AA7" s="3" t="str">
        <f t="shared" si="0"/>
        <v>Dec-26</v>
      </c>
      <c r="AB7" s="3" t="str">
        <f t="shared" si="0"/>
        <v>Jan-27</v>
      </c>
      <c r="AC7" s="3" t="str">
        <f t="shared" si="0"/>
        <v>Feb-27</v>
      </c>
      <c r="AD7" s="3" t="str">
        <f t="shared" si="0"/>
        <v>Mar-27</v>
      </c>
      <c r="AE7" s="3" t="str">
        <f t="shared" si="0"/>
        <v>Apr-27</v>
      </c>
      <c r="AF7" s="3" t="str">
        <f t="shared" si="0"/>
        <v>May-27</v>
      </c>
      <c r="AG7" s="3" t="str">
        <f t="shared" si="0"/>
        <v>Jun-27</v>
      </c>
      <c r="AH7" s="3" t="str">
        <f t="shared" si="0"/>
        <v>Jul-27</v>
      </c>
      <c r="AI7" s="3" t="str">
        <f t="shared" si="0"/>
        <v>Aug-27</v>
      </c>
      <c r="AJ7" s="3" t="str">
        <f t="shared" si="0"/>
        <v>Sep-27</v>
      </c>
      <c r="AK7" s="3" t="str">
        <f t="shared" ref="AK7:BP7" si="1">TEXT(DATE(YEAR(AJ7), MONTH(AJ7)+1, DAY(AJ7)), "Mmm-yy")</f>
        <v>Oct-27</v>
      </c>
      <c r="AL7" s="3" t="str">
        <f t="shared" si="1"/>
        <v>Nov-27</v>
      </c>
      <c r="AM7" s="3" t="str">
        <f t="shared" si="1"/>
        <v>Dec-27</v>
      </c>
      <c r="AN7" s="3" t="str">
        <f t="shared" si="1"/>
        <v>Jan-28</v>
      </c>
      <c r="AO7" s="3" t="str">
        <f t="shared" si="1"/>
        <v>Feb-28</v>
      </c>
      <c r="AP7" s="3" t="str">
        <f t="shared" si="1"/>
        <v>Mar-28</v>
      </c>
      <c r="AQ7" s="3" t="str">
        <f t="shared" si="1"/>
        <v>Apr-28</v>
      </c>
      <c r="AR7" s="3" t="str">
        <f t="shared" si="1"/>
        <v>May-28</v>
      </c>
      <c r="AS7" s="3" t="str">
        <f t="shared" si="1"/>
        <v>Jun-28</v>
      </c>
      <c r="AT7" s="3" t="str">
        <f t="shared" si="1"/>
        <v>Jul-28</v>
      </c>
      <c r="AU7" s="3" t="str">
        <f t="shared" si="1"/>
        <v>Aug-28</v>
      </c>
      <c r="AV7" s="3" t="str">
        <f t="shared" si="1"/>
        <v>Sep-28</v>
      </c>
      <c r="AW7" s="3" t="str">
        <f t="shared" si="1"/>
        <v>Oct-28</v>
      </c>
      <c r="AX7" s="3" t="str">
        <f t="shared" si="1"/>
        <v>Nov-28</v>
      </c>
      <c r="AY7" s="3" t="str">
        <f t="shared" si="1"/>
        <v>Dec-28</v>
      </c>
      <c r="AZ7" s="3" t="str">
        <f t="shared" si="1"/>
        <v>Jan-29</v>
      </c>
      <c r="BA7" s="3" t="str">
        <f t="shared" si="1"/>
        <v>Feb-29</v>
      </c>
      <c r="BB7" s="3" t="str">
        <f t="shared" si="1"/>
        <v>Mar-29</v>
      </c>
      <c r="BC7" s="3" t="str">
        <f t="shared" si="1"/>
        <v>Apr-29</v>
      </c>
      <c r="BD7" s="3" t="str">
        <f t="shared" si="1"/>
        <v>May-29</v>
      </c>
      <c r="BE7" s="3" t="str">
        <f t="shared" si="1"/>
        <v>Jun-29</v>
      </c>
      <c r="BF7" s="3" t="str">
        <f t="shared" si="1"/>
        <v>Jul-29</v>
      </c>
      <c r="BG7" s="3" t="str">
        <f t="shared" si="1"/>
        <v>Aug-29</v>
      </c>
      <c r="BH7" s="3" t="str">
        <f t="shared" si="1"/>
        <v>Sep-29</v>
      </c>
      <c r="BI7" s="3" t="str">
        <f t="shared" si="1"/>
        <v>Oct-29</v>
      </c>
      <c r="BJ7" s="3" t="str">
        <f t="shared" si="1"/>
        <v>Nov-29</v>
      </c>
      <c r="BK7" s="3" t="str">
        <f t="shared" si="1"/>
        <v>Dec-29</v>
      </c>
      <c r="BL7" s="3" t="str">
        <f t="shared" si="1"/>
        <v>Jan-30</v>
      </c>
      <c r="BM7" s="3" t="str">
        <f t="shared" si="1"/>
        <v>Feb-30</v>
      </c>
      <c r="BN7" s="3" t="str">
        <f t="shared" si="1"/>
        <v>Mar-30</v>
      </c>
      <c r="BO7" s="3" t="str">
        <f t="shared" si="1"/>
        <v>Apr-30</v>
      </c>
      <c r="BP7" s="3" t="str">
        <f t="shared" si="1"/>
        <v>May-30</v>
      </c>
      <c r="BQ7" s="3" t="str">
        <f t="shared" ref="BQ7:CV7" si="2">TEXT(DATE(YEAR(BP7), MONTH(BP7)+1, DAY(BP7)), "Mmm-yy")</f>
        <v>Jun-30</v>
      </c>
      <c r="BR7" s="3" t="str">
        <f t="shared" si="2"/>
        <v>Jul-30</v>
      </c>
      <c r="BS7" s="3" t="str">
        <f t="shared" si="2"/>
        <v>Aug-30</v>
      </c>
      <c r="BT7" s="3" t="str">
        <f t="shared" si="2"/>
        <v>Sep-30</v>
      </c>
      <c r="BU7" s="3" t="str">
        <f t="shared" si="2"/>
        <v>Oct-30</v>
      </c>
      <c r="BV7" s="3" t="str">
        <f t="shared" si="2"/>
        <v>Nov-30</v>
      </c>
      <c r="BW7" s="3" t="str">
        <f t="shared" si="2"/>
        <v>Dec-30</v>
      </c>
      <c r="BX7" s="3" t="str">
        <f t="shared" si="2"/>
        <v>Jan-31</v>
      </c>
      <c r="BY7" s="3" t="str">
        <f t="shared" si="2"/>
        <v>Feb-31</v>
      </c>
      <c r="BZ7" s="3" t="str">
        <f t="shared" si="2"/>
        <v>Mar-31</v>
      </c>
      <c r="CA7" s="3" t="str">
        <f t="shared" si="2"/>
        <v>Apr-31</v>
      </c>
      <c r="CB7" s="3" t="str">
        <f t="shared" si="2"/>
        <v>May-31</v>
      </c>
      <c r="CC7" s="3" t="str">
        <f t="shared" si="2"/>
        <v>Jun-31</v>
      </c>
      <c r="CD7" s="3" t="str">
        <f t="shared" si="2"/>
        <v>Jul-31</v>
      </c>
      <c r="CE7" s="3" t="str">
        <f t="shared" si="2"/>
        <v>Aug-31</v>
      </c>
      <c r="CF7" s="3" t="str">
        <f t="shared" si="2"/>
        <v>Sep-31</v>
      </c>
      <c r="CG7" s="3" t="str">
        <f t="shared" si="2"/>
        <v>Oct-31</v>
      </c>
      <c r="CH7" s="3" t="str">
        <f t="shared" si="2"/>
        <v>Nov-31</v>
      </c>
      <c r="CI7" s="3" t="str">
        <f t="shared" si="2"/>
        <v>Dec-31</v>
      </c>
      <c r="CJ7" s="3" t="str">
        <f t="shared" si="2"/>
        <v>Jan-32</v>
      </c>
      <c r="CK7" s="3" t="str">
        <f t="shared" si="2"/>
        <v>Feb-32</v>
      </c>
      <c r="CL7" s="3" t="str">
        <f t="shared" si="2"/>
        <v>Mar-32</v>
      </c>
      <c r="CM7" s="3" t="str">
        <f t="shared" si="2"/>
        <v>Apr-32</v>
      </c>
      <c r="CN7" s="3" t="str">
        <f t="shared" si="2"/>
        <v>May-32</v>
      </c>
      <c r="CO7" s="3" t="str">
        <f t="shared" si="2"/>
        <v>Jun-32</v>
      </c>
      <c r="CP7" s="3" t="str">
        <f t="shared" si="2"/>
        <v>Jul-32</v>
      </c>
      <c r="CQ7" s="3" t="str">
        <f t="shared" si="2"/>
        <v>Aug-32</v>
      </c>
      <c r="CR7" s="3" t="str">
        <f t="shared" si="2"/>
        <v>Sep-32</v>
      </c>
      <c r="CS7" s="3" t="str">
        <f t="shared" si="2"/>
        <v>Oct-32</v>
      </c>
      <c r="CT7" s="3" t="str">
        <f t="shared" si="2"/>
        <v>Nov-32</v>
      </c>
      <c r="CU7" s="3" t="str">
        <f t="shared" si="2"/>
        <v>Dec-32</v>
      </c>
      <c r="CV7" s="3" t="str">
        <f t="shared" si="2"/>
        <v>Jan-33</v>
      </c>
      <c r="CW7" s="3" t="str">
        <f t="shared" ref="CW7:EE7" si="3">TEXT(DATE(YEAR(CV7), MONTH(CV7)+1, DAY(CV7)), "Mmm-yy")</f>
        <v>Feb-33</v>
      </c>
      <c r="CX7" s="3" t="str">
        <f t="shared" si="3"/>
        <v>Mar-33</v>
      </c>
      <c r="CY7" s="3" t="str">
        <f t="shared" si="3"/>
        <v>Apr-33</v>
      </c>
      <c r="CZ7" s="3" t="str">
        <f t="shared" si="3"/>
        <v>May-33</v>
      </c>
      <c r="DA7" s="3" t="str">
        <f t="shared" si="3"/>
        <v>Jun-33</v>
      </c>
      <c r="DB7" s="3" t="str">
        <f t="shared" si="3"/>
        <v>Jul-33</v>
      </c>
      <c r="DC7" s="3" t="str">
        <f t="shared" si="3"/>
        <v>Aug-33</v>
      </c>
      <c r="DD7" s="3" t="str">
        <f t="shared" si="3"/>
        <v>Sep-33</v>
      </c>
      <c r="DE7" s="3" t="str">
        <f t="shared" si="3"/>
        <v>Oct-33</v>
      </c>
      <c r="DF7" s="3" t="str">
        <f t="shared" si="3"/>
        <v>Nov-33</v>
      </c>
      <c r="DG7" s="3" t="str">
        <f t="shared" si="3"/>
        <v>Dec-33</v>
      </c>
      <c r="DH7" s="3" t="str">
        <f t="shared" si="3"/>
        <v>Jan-34</v>
      </c>
      <c r="DI7" s="3" t="str">
        <f t="shared" si="3"/>
        <v>Feb-34</v>
      </c>
      <c r="DJ7" s="3" t="str">
        <f t="shared" si="3"/>
        <v>Mar-34</v>
      </c>
      <c r="DK7" s="3" t="str">
        <f t="shared" si="3"/>
        <v>Apr-34</v>
      </c>
      <c r="DL7" s="3" t="str">
        <f t="shared" si="3"/>
        <v>May-34</v>
      </c>
      <c r="DM7" s="3" t="str">
        <f t="shared" si="3"/>
        <v>Jun-34</v>
      </c>
      <c r="DN7" s="3" t="str">
        <f t="shared" si="3"/>
        <v>Jul-34</v>
      </c>
      <c r="DO7" s="3" t="str">
        <f t="shared" si="3"/>
        <v>Aug-34</v>
      </c>
      <c r="DP7" s="3" t="str">
        <f t="shared" si="3"/>
        <v>Sep-34</v>
      </c>
      <c r="DQ7" s="3" t="str">
        <f t="shared" si="3"/>
        <v>Oct-34</v>
      </c>
      <c r="DR7" s="3" t="str">
        <f t="shared" si="3"/>
        <v>Nov-34</v>
      </c>
      <c r="DS7" s="3" t="str">
        <f t="shared" si="3"/>
        <v>Dec-34</v>
      </c>
      <c r="DT7" s="3" t="str">
        <f t="shared" si="3"/>
        <v>Jan-35</v>
      </c>
      <c r="DU7" s="3" t="str">
        <f t="shared" si="3"/>
        <v>Feb-35</v>
      </c>
      <c r="DV7" s="3" t="str">
        <f t="shared" si="3"/>
        <v>Mar-35</v>
      </c>
      <c r="DW7" s="3" t="str">
        <f t="shared" si="3"/>
        <v>Apr-35</v>
      </c>
      <c r="DX7" s="3" t="str">
        <f t="shared" si="3"/>
        <v>May-35</v>
      </c>
      <c r="DY7" s="3" t="str">
        <f t="shared" si="3"/>
        <v>Jun-35</v>
      </c>
      <c r="DZ7" s="3" t="str">
        <f t="shared" si="3"/>
        <v>Jul-35</v>
      </c>
      <c r="EA7" s="3" t="str">
        <f t="shared" si="3"/>
        <v>Aug-35</v>
      </c>
      <c r="EB7" s="3" t="str">
        <f t="shared" si="3"/>
        <v>Sep-35</v>
      </c>
      <c r="EC7" s="3" t="str">
        <f t="shared" si="3"/>
        <v>Oct-35</v>
      </c>
      <c r="ED7" s="3" t="str">
        <f t="shared" si="3"/>
        <v>Nov-35</v>
      </c>
      <c r="EE7" s="3" t="str">
        <f t="shared" si="3"/>
        <v>Dec-35</v>
      </c>
      <c r="EF7" s="24"/>
      <c r="EG7" s="24"/>
      <c r="EH7" s="24"/>
    </row>
    <row r="8" spans="1:138" x14ac:dyDescent="0.4">
      <c r="A8" s="29" t="str">
        <f>IF(ISBLANK(C8), "", C8)</f>
        <v>KPI ID 1</v>
      </c>
      <c r="B8" s="47" t="s">
        <v>51</v>
      </c>
      <c r="C8" s="48" t="s">
        <v>3</v>
      </c>
      <c r="D8" s="49">
        <f ca="1">RANDBETWEEN(80, 100)</f>
        <v>87</v>
      </c>
      <c r="E8" s="49">
        <f ca="1">D8+RANDBETWEEN(1, 10)</f>
        <v>96</v>
      </c>
      <c r="F8" s="49">
        <f t="shared" ref="F8:BQ8" ca="1" si="4">E8+RANDBETWEEN(1, 10)</f>
        <v>105</v>
      </c>
      <c r="G8" s="49">
        <f t="shared" ca="1" si="4"/>
        <v>115</v>
      </c>
      <c r="H8" s="49">
        <f t="shared" ca="1" si="4"/>
        <v>123</v>
      </c>
      <c r="I8" s="49">
        <f t="shared" ca="1" si="4"/>
        <v>127</v>
      </c>
      <c r="J8" s="49">
        <f t="shared" ca="1" si="4"/>
        <v>130</v>
      </c>
      <c r="K8" s="49">
        <f t="shared" ca="1" si="4"/>
        <v>136</v>
      </c>
      <c r="L8" s="49">
        <f t="shared" ca="1" si="4"/>
        <v>145</v>
      </c>
      <c r="M8" s="49">
        <f t="shared" ca="1" si="4"/>
        <v>146</v>
      </c>
      <c r="N8" s="49">
        <f t="shared" ca="1" si="4"/>
        <v>151</v>
      </c>
      <c r="O8" s="49">
        <f t="shared" ca="1" si="4"/>
        <v>152</v>
      </c>
      <c r="P8" s="49">
        <f t="shared" ca="1" si="4"/>
        <v>153</v>
      </c>
      <c r="Q8" s="49">
        <f t="shared" ca="1" si="4"/>
        <v>161</v>
      </c>
      <c r="R8" s="49">
        <f t="shared" ca="1" si="4"/>
        <v>171</v>
      </c>
      <c r="S8" s="49">
        <f t="shared" ca="1" si="4"/>
        <v>176</v>
      </c>
      <c r="T8" s="49">
        <f t="shared" ca="1" si="4"/>
        <v>181</v>
      </c>
      <c r="U8" s="49">
        <f t="shared" ca="1" si="4"/>
        <v>182</v>
      </c>
      <c r="V8" s="49">
        <f t="shared" ca="1" si="4"/>
        <v>186</v>
      </c>
      <c r="W8" s="49">
        <f t="shared" ca="1" si="4"/>
        <v>188</v>
      </c>
      <c r="X8" s="49">
        <f t="shared" ca="1" si="4"/>
        <v>196</v>
      </c>
      <c r="Y8" s="49">
        <f t="shared" ca="1" si="4"/>
        <v>201</v>
      </c>
      <c r="Z8" s="49">
        <f t="shared" ca="1" si="4"/>
        <v>210</v>
      </c>
      <c r="AA8" s="49">
        <f t="shared" ca="1" si="4"/>
        <v>211</v>
      </c>
      <c r="AB8" s="49">
        <f t="shared" ca="1" si="4"/>
        <v>213</v>
      </c>
      <c r="AC8" s="49">
        <f t="shared" ca="1" si="4"/>
        <v>220</v>
      </c>
      <c r="AD8" s="49">
        <f t="shared" ca="1" si="4"/>
        <v>225</v>
      </c>
      <c r="AE8" s="49">
        <f t="shared" ca="1" si="4"/>
        <v>235</v>
      </c>
      <c r="AF8" s="49">
        <f t="shared" ca="1" si="4"/>
        <v>239</v>
      </c>
      <c r="AG8" s="49">
        <f t="shared" ca="1" si="4"/>
        <v>241</v>
      </c>
      <c r="AH8" s="49">
        <f t="shared" ca="1" si="4"/>
        <v>251</v>
      </c>
      <c r="AI8" s="49">
        <f t="shared" ca="1" si="4"/>
        <v>260</v>
      </c>
      <c r="AJ8" s="49">
        <f t="shared" ca="1" si="4"/>
        <v>270</v>
      </c>
      <c r="AK8" s="49">
        <f t="shared" ca="1" si="4"/>
        <v>273</v>
      </c>
      <c r="AL8" s="49">
        <f t="shared" ca="1" si="4"/>
        <v>275</v>
      </c>
      <c r="AM8" s="49">
        <f t="shared" ca="1" si="4"/>
        <v>285</v>
      </c>
      <c r="AN8" s="49">
        <f t="shared" ca="1" si="4"/>
        <v>295</v>
      </c>
      <c r="AO8" s="49">
        <f t="shared" ca="1" si="4"/>
        <v>302</v>
      </c>
      <c r="AP8" s="49">
        <f t="shared" ca="1" si="4"/>
        <v>303</v>
      </c>
      <c r="AQ8" s="49">
        <f t="shared" ca="1" si="4"/>
        <v>305</v>
      </c>
      <c r="AR8" s="49">
        <f t="shared" ca="1" si="4"/>
        <v>308</v>
      </c>
      <c r="AS8" s="49">
        <f t="shared" ca="1" si="4"/>
        <v>315</v>
      </c>
      <c r="AT8" s="49">
        <f t="shared" ca="1" si="4"/>
        <v>319</v>
      </c>
      <c r="AU8" s="49">
        <f t="shared" ca="1" si="4"/>
        <v>329</v>
      </c>
      <c r="AV8" s="49">
        <f t="shared" ca="1" si="4"/>
        <v>338</v>
      </c>
      <c r="AW8" s="49">
        <f t="shared" ca="1" si="4"/>
        <v>340</v>
      </c>
      <c r="AX8" s="49">
        <f t="shared" ca="1" si="4"/>
        <v>343</v>
      </c>
      <c r="AY8" s="49">
        <f t="shared" ca="1" si="4"/>
        <v>348</v>
      </c>
      <c r="AZ8" s="49">
        <f t="shared" ca="1" si="4"/>
        <v>354</v>
      </c>
      <c r="BA8" s="49">
        <f t="shared" ca="1" si="4"/>
        <v>361</v>
      </c>
      <c r="BB8" s="49">
        <f t="shared" ca="1" si="4"/>
        <v>371</v>
      </c>
      <c r="BC8" s="49">
        <f t="shared" ca="1" si="4"/>
        <v>374</v>
      </c>
      <c r="BD8" s="49">
        <f t="shared" ca="1" si="4"/>
        <v>381</v>
      </c>
      <c r="BE8" s="49">
        <f t="shared" ca="1" si="4"/>
        <v>385</v>
      </c>
      <c r="BF8" s="49">
        <f t="shared" ca="1" si="4"/>
        <v>392</v>
      </c>
      <c r="BG8" s="49">
        <f t="shared" ca="1" si="4"/>
        <v>394</v>
      </c>
      <c r="BH8" s="49">
        <f t="shared" ca="1" si="4"/>
        <v>399</v>
      </c>
      <c r="BI8" s="49">
        <f t="shared" ca="1" si="4"/>
        <v>402</v>
      </c>
      <c r="BJ8" s="49">
        <f t="shared" ca="1" si="4"/>
        <v>407</v>
      </c>
      <c r="BK8" s="49">
        <f t="shared" ca="1" si="4"/>
        <v>413</v>
      </c>
      <c r="BL8" s="49">
        <f t="shared" ca="1" si="4"/>
        <v>421</v>
      </c>
      <c r="BM8" s="49">
        <f t="shared" ca="1" si="4"/>
        <v>425</v>
      </c>
      <c r="BN8" s="49">
        <f t="shared" ca="1" si="4"/>
        <v>435</v>
      </c>
      <c r="BO8" s="49">
        <f t="shared" ca="1" si="4"/>
        <v>437</v>
      </c>
      <c r="BP8" s="49">
        <f t="shared" ca="1" si="4"/>
        <v>446</v>
      </c>
      <c r="BQ8" s="49">
        <f t="shared" ca="1" si="4"/>
        <v>453</v>
      </c>
      <c r="BR8" s="49">
        <f t="shared" ref="BR8:EC8" ca="1" si="5">BQ8+RANDBETWEEN(1, 10)</f>
        <v>462</v>
      </c>
      <c r="BS8" s="49">
        <f t="shared" ca="1" si="5"/>
        <v>465</v>
      </c>
      <c r="BT8" s="49">
        <f t="shared" ca="1" si="5"/>
        <v>470</v>
      </c>
      <c r="BU8" s="49">
        <f t="shared" ca="1" si="5"/>
        <v>474</v>
      </c>
      <c r="BV8" s="49">
        <f t="shared" ca="1" si="5"/>
        <v>484</v>
      </c>
      <c r="BW8" s="49">
        <f t="shared" ca="1" si="5"/>
        <v>491</v>
      </c>
      <c r="BX8" s="49">
        <f t="shared" ca="1" si="5"/>
        <v>499</v>
      </c>
      <c r="BY8" s="49">
        <f t="shared" ca="1" si="5"/>
        <v>500</v>
      </c>
      <c r="BZ8" s="49">
        <f t="shared" ca="1" si="5"/>
        <v>509</v>
      </c>
      <c r="CA8" s="49">
        <f t="shared" ca="1" si="5"/>
        <v>514</v>
      </c>
      <c r="CB8" s="49">
        <f t="shared" ca="1" si="5"/>
        <v>522</v>
      </c>
      <c r="CC8" s="49">
        <f t="shared" ca="1" si="5"/>
        <v>523</v>
      </c>
      <c r="CD8" s="49">
        <f t="shared" ca="1" si="5"/>
        <v>532</v>
      </c>
      <c r="CE8" s="49">
        <f t="shared" ca="1" si="5"/>
        <v>541</v>
      </c>
      <c r="CF8" s="49">
        <f t="shared" ca="1" si="5"/>
        <v>547</v>
      </c>
      <c r="CG8" s="49">
        <f t="shared" ca="1" si="5"/>
        <v>548</v>
      </c>
      <c r="CH8" s="49">
        <f t="shared" ca="1" si="5"/>
        <v>549</v>
      </c>
      <c r="CI8" s="49">
        <f t="shared" ca="1" si="5"/>
        <v>551</v>
      </c>
      <c r="CJ8" s="49">
        <f t="shared" ca="1" si="5"/>
        <v>554</v>
      </c>
      <c r="CK8" s="49">
        <f t="shared" ca="1" si="5"/>
        <v>555</v>
      </c>
      <c r="CL8" s="49">
        <f t="shared" ca="1" si="5"/>
        <v>559</v>
      </c>
      <c r="CM8" s="49">
        <f t="shared" ca="1" si="5"/>
        <v>568</v>
      </c>
      <c r="CN8" s="49">
        <f t="shared" ca="1" si="5"/>
        <v>575</v>
      </c>
      <c r="CO8" s="49">
        <f t="shared" ca="1" si="5"/>
        <v>582</v>
      </c>
      <c r="CP8" s="49">
        <f t="shared" ca="1" si="5"/>
        <v>591</v>
      </c>
      <c r="CQ8" s="49">
        <f t="shared" ca="1" si="5"/>
        <v>599</v>
      </c>
      <c r="CR8" s="49">
        <f t="shared" ca="1" si="5"/>
        <v>604</v>
      </c>
      <c r="CS8" s="49">
        <f t="shared" ca="1" si="5"/>
        <v>611</v>
      </c>
      <c r="CT8" s="49">
        <f t="shared" ca="1" si="5"/>
        <v>616</v>
      </c>
      <c r="CU8" s="49">
        <f t="shared" ca="1" si="5"/>
        <v>622</v>
      </c>
      <c r="CV8" s="49">
        <f t="shared" ca="1" si="5"/>
        <v>625</v>
      </c>
      <c r="CW8" s="49">
        <f t="shared" ca="1" si="5"/>
        <v>632</v>
      </c>
      <c r="CX8" s="49">
        <f t="shared" ca="1" si="5"/>
        <v>637</v>
      </c>
      <c r="CY8" s="49">
        <f t="shared" ca="1" si="5"/>
        <v>643</v>
      </c>
      <c r="CZ8" s="49">
        <f t="shared" ca="1" si="5"/>
        <v>645</v>
      </c>
      <c r="DA8" s="49">
        <f t="shared" ca="1" si="5"/>
        <v>649</v>
      </c>
      <c r="DB8" s="49">
        <f t="shared" ca="1" si="5"/>
        <v>652</v>
      </c>
      <c r="DC8" s="49">
        <f t="shared" ca="1" si="5"/>
        <v>654</v>
      </c>
      <c r="DD8" s="49">
        <f t="shared" ca="1" si="5"/>
        <v>661</v>
      </c>
      <c r="DE8" s="49">
        <f t="shared" ca="1" si="5"/>
        <v>664</v>
      </c>
      <c r="DF8" s="49">
        <f t="shared" ca="1" si="5"/>
        <v>671</v>
      </c>
      <c r="DG8" s="49">
        <f t="shared" ca="1" si="5"/>
        <v>678</v>
      </c>
      <c r="DH8" s="49">
        <f t="shared" ca="1" si="5"/>
        <v>687</v>
      </c>
      <c r="DI8" s="49">
        <f t="shared" ca="1" si="5"/>
        <v>688</v>
      </c>
      <c r="DJ8" s="49">
        <f t="shared" ca="1" si="5"/>
        <v>697</v>
      </c>
      <c r="DK8" s="49">
        <f t="shared" ca="1" si="5"/>
        <v>705</v>
      </c>
      <c r="DL8" s="49">
        <f t="shared" ca="1" si="5"/>
        <v>714</v>
      </c>
      <c r="DM8" s="49">
        <f t="shared" ca="1" si="5"/>
        <v>718</v>
      </c>
      <c r="DN8" s="49">
        <f t="shared" ca="1" si="5"/>
        <v>728</v>
      </c>
      <c r="DO8" s="49">
        <f t="shared" ca="1" si="5"/>
        <v>735</v>
      </c>
      <c r="DP8" s="49">
        <f t="shared" ca="1" si="5"/>
        <v>743</v>
      </c>
      <c r="DQ8" s="49">
        <f t="shared" ca="1" si="5"/>
        <v>751</v>
      </c>
      <c r="DR8" s="49">
        <f t="shared" ca="1" si="5"/>
        <v>753</v>
      </c>
      <c r="DS8" s="49">
        <f t="shared" ca="1" si="5"/>
        <v>763</v>
      </c>
      <c r="DT8" s="49">
        <f t="shared" ca="1" si="5"/>
        <v>767</v>
      </c>
      <c r="DU8" s="49">
        <f t="shared" ca="1" si="5"/>
        <v>777</v>
      </c>
      <c r="DV8" s="49">
        <f t="shared" ca="1" si="5"/>
        <v>779</v>
      </c>
      <c r="DW8" s="49">
        <f t="shared" ca="1" si="5"/>
        <v>785</v>
      </c>
      <c r="DX8" s="49">
        <f t="shared" ca="1" si="5"/>
        <v>794</v>
      </c>
      <c r="DY8" s="49">
        <f t="shared" ca="1" si="5"/>
        <v>804</v>
      </c>
      <c r="DZ8" s="49">
        <f t="shared" ca="1" si="5"/>
        <v>812</v>
      </c>
      <c r="EA8" s="49">
        <f t="shared" ca="1" si="5"/>
        <v>819</v>
      </c>
      <c r="EB8" s="49">
        <f t="shared" ca="1" si="5"/>
        <v>828</v>
      </c>
      <c r="EC8" s="49">
        <f t="shared" ca="1" si="5"/>
        <v>833</v>
      </c>
      <c r="ED8" s="49">
        <f t="shared" ref="ED8:EE8" ca="1" si="6">EC8+RANDBETWEEN(1, 10)</f>
        <v>837</v>
      </c>
      <c r="EE8" s="49">
        <f t="shared" ca="1" si="6"/>
        <v>841</v>
      </c>
    </row>
    <row r="9" spans="1:138" ht="29.15" x14ac:dyDescent="0.4">
      <c r="A9" s="29" t="str">
        <f t="shared" ref="A9:A72" si="7">IF(ISBLANK(C9), "", C9)</f>
        <v>KPI ID 1 %</v>
      </c>
      <c r="B9" s="47" t="s">
        <v>52</v>
      </c>
      <c r="C9" s="48" t="s">
        <v>4</v>
      </c>
      <c r="D9" s="49">
        <f ca="1">D8/D8*100</f>
        <v>100</v>
      </c>
      <c r="E9" s="49">
        <f ca="1">(E8-D8)/D8*100</f>
        <v>10.344827586206897</v>
      </c>
      <c r="F9" s="49">
        <f t="shared" ref="F9:BQ9" ca="1" si="8">(F8-E8)/E8*100</f>
        <v>9.375</v>
      </c>
      <c r="G9" s="49">
        <f t="shared" ca="1" si="8"/>
        <v>9.5238095238095237</v>
      </c>
      <c r="H9" s="49">
        <f t="shared" ca="1" si="8"/>
        <v>6.9565217391304346</v>
      </c>
      <c r="I9" s="49">
        <f t="shared" ca="1" si="8"/>
        <v>3.2520325203252036</v>
      </c>
      <c r="J9" s="49">
        <f t="shared" ca="1" si="8"/>
        <v>2.3622047244094486</v>
      </c>
      <c r="K9" s="49">
        <f t="shared" ca="1" si="8"/>
        <v>4.6153846153846159</v>
      </c>
      <c r="L9" s="49">
        <f t="shared" ca="1" si="8"/>
        <v>6.6176470588235299</v>
      </c>
      <c r="M9" s="49">
        <f t="shared" ca="1" si="8"/>
        <v>0.68965517241379315</v>
      </c>
      <c r="N9" s="49">
        <f t="shared" ca="1" si="8"/>
        <v>3.4246575342465753</v>
      </c>
      <c r="O9" s="49">
        <f t="shared" ca="1" si="8"/>
        <v>0.66225165562913912</v>
      </c>
      <c r="P9" s="49">
        <f t="shared" ca="1" si="8"/>
        <v>0.6578947368421052</v>
      </c>
      <c r="Q9" s="49">
        <f t="shared" ca="1" si="8"/>
        <v>5.2287581699346406</v>
      </c>
      <c r="R9" s="49">
        <f t="shared" ca="1" si="8"/>
        <v>6.2111801242236027</v>
      </c>
      <c r="S9" s="49">
        <f t="shared" ca="1" si="8"/>
        <v>2.9239766081871341</v>
      </c>
      <c r="T9" s="49">
        <f t="shared" ca="1" si="8"/>
        <v>2.8409090909090908</v>
      </c>
      <c r="U9" s="49">
        <f t="shared" ca="1" si="8"/>
        <v>0.55248618784530379</v>
      </c>
      <c r="V9" s="49">
        <f t="shared" ca="1" si="8"/>
        <v>2.197802197802198</v>
      </c>
      <c r="W9" s="49">
        <f t="shared" ca="1" si="8"/>
        <v>1.0752688172043012</v>
      </c>
      <c r="X9" s="49">
        <f t="shared" ca="1" si="8"/>
        <v>4.2553191489361701</v>
      </c>
      <c r="Y9" s="49">
        <f t="shared" ca="1" si="8"/>
        <v>2.5510204081632653</v>
      </c>
      <c r="Z9" s="49">
        <f t="shared" ca="1" si="8"/>
        <v>4.4776119402985071</v>
      </c>
      <c r="AA9" s="49">
        <f t="shared" ca="1" si="8"/>
        <v>0.47619047619047622</v>
      </c>
      <c r="AB9" s="49">
        <f t="shared" ca="1" si="8"/>
        <v>0.94786729857819907</v>
      </c>
      <c r="AC9" s="49">
        <f t="shared" ca="1" si="8"/>
        <v>3.286384976525822</v>
      </c>
      <c r="AD9" s="49">
        <f t="shared" ca="1" si="8"/>
        <v>2.2727272727272729</v>
      </c>
      <c r="AE9" s="49">
        <f t="shared" ca="1" si="8"/>
        <v>4.4444444444444446</v>
      </c>
      <c r="AF9" s="49">
        <f t="shared" ca="1" si="8"/>
        <v>1.7021276595744681</v>
      </c>
      <c r="AG9" s="49">
        <f t="shared" ca="1" si="8"/>
        <v>0.83682008368200833</v>
      </c>
      <c r="AH9" s="49">
        <f t="shared" ca="1" si="8"/>
        <v>4.1493775933609953</v>
      </c>
      <c r="AI9" s="49">
        <f t="shared" ca="1" si="8"/>
        <v>3.5856573705179287</v>
      </c>
      <c r="AJ9" s="49">
        <f t="shared" ca="1" si="8"/>
        <v>3.8461538461538463</v>
      </c>
      <c r="AK9" s="49">
        <f t="shared" ca="1" si="8"/>
        <v>1.1111111111111112</v>
      </c>
      <c r="AL9" s="49">
        <f t="shared" ca="1" si="8"/>
        <v>0.73260073260073255</v>
      </c>
      <c r="AM9" s="49">
        <f t="shared" ca="1" si="8"/>
        <v>3.6363636363636362</v>
      </c>
      <c r="AN9" s="49">
        <f t="shared" ca="1" si="8"/>
        <v>3.5087719298245612</v>
      </c>
      <c r="AO9" s="49">
        <f t="shared" ca="1" si="8"/>
        <v>2.3728813559322033</v>
      </c>
      <c r="AP9" s="49">
        <f t="shared" ca="1" si="8"/>
        <v>0.33112582781456956</v>
      </c>
      <c r="AQ9" s="49">
        <f t="shared" ca="1" si="8"/>
        <v>0.66006600660066006</v>
      </c>
      <c r="AR9" s="49">
        <f t="shared" ca="1" si="8"/>
        <v>0.98360655737704927</v>
      </c>
      <c r="AS9" s="49">
        <f t="shared" ca="1" si="8"/>
        <v>2.2727272727272729</v>
      </c>
      <c r="AT9" s="49">
        <f t="shared" ca="1" si="8"/>
        <v>1.2698412698412698</v>
      </c>
      <c r="AU9" s="49">
        <f t="shared" ca="1" si="8"/>
        <v>3.1347962382445136</v>
      </c>
      <c r="AV9" s="49">
        <f t="shared" ca="1" si="8"/>
        <v>2.735562310030395</v>
      </c>
      <c r="AW9" s="49">
        <f t="shared" ca="1" si="8"/>
        <v>0.59171597633136097</v>
      </c>
      <c r="AX9" s="49">
        <f t="shared" ca="1" si="8"/>
        <v>0.88235294117647056</v>
      </c>
      <c r="AY9" s="49">
        <f t="shared" ca="1" si="8"/>
        <v>1.4577259475218658</v>
      </c>
      <c r="AZ9" s="49">
        <f t="shared" ca="1" si="8"/>
        <v>1.7241379310344827</v>
      </c>
      <c r="BA9" s="49">
        <f t="shared" ca="1" si="8"/>
        <v>1.977401129943503</v>
      </c>
      <c r="BB9" s="49">
        <f t="shared" ca="1" si="8"/>
        <v>2.7700831024930745</v>
      </c>
      <c r="BC9" s="49">
        <f t="shared" ca="1" si="8"/>
        <v>0.80862533692722371</v>
      </c>
      <c r="BD9" s="49">
        <f t="shared" ca="1" si="8"/>
        <v>1.8716577540106951</v>
      </c>
      <c r="BE9" s="49">
        <f t="shared" ca="1" si="8"/>
        <v>1.0498687664041995</v>
      </c>
      <c r="BF9" s="49">
        <f t="shared" ca="1" si="8"/>
        <v>1.8181818181818181</v>
      </c>
      <c r="BG9" s="49">
        <f t="shared" ca="1" si="8"/>
        <v>0.51020408163265307</v>
      </c>
      <c r="BH9" s="49">
        <f t="shared" ca="1" si="8"/>
        <v>1.2690355329949239</v>
      </c>
      <c r="BI9" s="49">
        <f t="shared" ca="1" si="8"/>
        <v>0.75187969924812026</v>
      </c>
      <c r="BJ9" s="49">
        <f t="shared" ca="1" si="8"/>
        <v>1.2437810945273633</v>
      </c>
      <c r="BK9" s="49">
        <f t="shared" ca="1" si="8"/>
        <v>1.4742014742014742</v>
      </c>
      <c r="BL9" s="49">
        <f t="shared" ca="1" si="8"/>
        <v>1.937046004842615</v>
      </c>
      <c r="BM9" s="49">
        <f t="shared" ca="1" si="8"/>
        <v>0.95011876484560576</v>
      </c>
      <c r="BN9" s="49">
        <f t="shared" ca="1" si="8"/>
        <v>2.3529411764705883</v>
      </c>
      <c r="BO9" s="49">
        <f t="shared" ca="1" si="8"/>
        <v>0.45977011494252873</v>
      </c>
      <c r="BP9" s="49">
        <f t="shared" ca="1" si="8"/>
        <v>2.0594965675057209</v>
      </c>
      <c r="BQ9" s="49">
        <f t="shared" ca="1" si="8"/>
        <v>1.5695067264573992</v>
      </c>
      <c r="BR9" s="49">
        <f t="shared" ref="BR9:EC9" ca="1" si="9">(BR8-BQ8)/BQ8*100</f>
        <v>1.9867549668874174</v>
      </c>
      <c r="BS9" s="49">
        <f t="shared" ca="1" si="9"/>
        <v>0.64935064935064934</v>
      </c>
      <c r="BT9" s="49">
        <f t="shared" ca="1" si="9"/>
        <v>1.0752688172043012</v>
      </c>
      <c r="BU9" s="49">
        <f t="shared" ca="1" si="9"/>
        <v>0.85106382978723405</v>
      </c>
      <c r="BV9" s="49">
        <f t="shared" ca="1" si="9"/>
        <v>2.109704641350211</v>
      </c>
      <c r="BW9" s="49">
        <f t="shared" ca="1" si="9"/>
        <v>1.4462809917355373</v>
      </c>
      <c r="BX9" s="49">
        <f t="shared" ca="1" si="9"/>
        <v>1.6293279022403258</v>
      </c>
      <c r="BY9" s="49">
        <f t="shared" ca="1" si="9"/>
        <v>0.20040080160320639</v>
      </c>
      <c r="BZ9" s="49">
        <f t="shared" ca="1" si="9"/>
        <v>1.7999999999999998</v>
      </c>
      <c r="CA9" s="49">
        <f t="shared" ca="1" si="9"/>
        <v>0.98231827111984282</v>
      </c>
      <c r="CB9" s="49">
        <f t="shared" ca="1" si="9"/>
        <v>1.556420233463035</v>
      </c>
      <c r="CC9" s="49">
        <f t="shared" ca="1" si="9"/>
        <v>0.19157088122605362</v>
      </c>
      <c r="CD9" s="49">
        <f t="shared" ca="1" si="9"/>
        <v>1.7208413001912046</v>
      </c>
      <c r="CE9" s="49">
        <f t="shared" ca="1" si="9"/>
        <v>1.6917293233082706</v>
      </c>
      <c r="CF9" s="49">
        <f t="shared" ca="1" si="9"/>
        <v>1.1090573012939002</v>
      </c>
      <c r="CG9" s="49">
        <f t="shared" ca="1" si="9"/>
        <v>0.18281535648994515</v>
      </c>
      <c r="CH9" s="49">
        <f t="shared" ca="1" si="9"/>
        <v>0.18248175182481752</v>
      </c>
      <c r="CI9" s="49">
        <f t="shared" ca="1" si="9"/>
        <v>0.36429872495446264</v>
      </c>
      <c r="CJ9" s="49">
        <f t="shared" ca="1" si="9"/>
        <v>0.54446460980036293</v>
      </c>
      <c r="CK9" s="49">
        <f t="shared" ca="1" si="9"/>
        <v>0.18050541516245489</v>
      </c>
      <c r="CL9" s="49">
        <f t="shared" ca="1" si="9"/>
        <v>0.72072072072072069</v>
      </c>
      <c r="CM9" s="49">
        <f t="shared" ca="1" si="9"/>
        <v>1.6100178890876566</v>
      </c>
      <c r="CN9" s="49">
        <f t="shared" ca="1" si="9"/>
        <v>1.232394366197183</v>
      </c>
      <c r="CO9" s="49">
        <f t="shared" ca="1" si="9"/>
        <v>1.2173913043478262</v>
      </c>
      <c r="CP9" s="49">
        <f t="shared" ca="1" si="9"/>
        <v>1.5463917525773196</v>
      </c>
      <c r="CQ9" s="49">
        <f t="shared" ca="1" si="9"/>
        <v>1.3536379018612521</v>
      </c>
      <c r="CR9" s="49">
        <f t="shared" ca="1" si="9"/>
        <v>0.8347245409015025</v>
      </c>
      <c r="CS9" s="49">
        <f t="shared" ca="1" si="9"/>
        <v>1.1589403973509933</v>
      </c>
      <c r="CT9" s="49">
        <f t="shared" ca="1" si="9"/>
        <v>0.81833060556464821</v>
      </c>
      <c r="CU9" s="49">
        <f t="shared" ca="1" si="9"/>
        <v>0.97402597402597402</v>
      </c>
      <c r="CV9" s="49">
        <f t="shared" ca="1" si="9"/>
        <v>0.48231511254019299</v>
      </c>
      <c r="CW9" s="49">
        <f t="shared" ca="1" si="9"/>
        <v>1.1199999999999999</v>
      </c>
      <c r="CX9" s="49">
        <f t="shared" ca="1" si="9"/>
        <v>0.79113924050632911</v>
      </c>
      <c r="CY9" s="49">
        <f t="shared" ca="1" si="9"/>
        <v>0.9419152276295133</v>
      </c>
      <c r="CZ9" s="49">
        <f t="shared" ca="1" si="9"/>
        <v>0.31104199066874028</v>
      </c>
      <c r="DA9" s="49">
        <f t="shared" ca="1" si="9"/>
        <v>0.62015503875968991</v>
      </c>
      <c r="DB9" s="49">
        <f t="shared" ca="1" si="9"/>
        <v>0.46224961479198773</v>
      </c>
      <c r="DC9" s="49">
        <f t="shared" ca="1" si="9"/>
        <v>0.30674846625766872</v>
      </c>
      <c r="DD9" s="49">
        <f t="shared" ca="1" si="9"/>
        <v>1.0703363914373087</v>
      </c>
      <c r="DE9" s="49">
        <f t="shared" ca="1" si="9"/>
        <v>0.45385779122541603</v>
      </c>
      <c r="DF9" s="49">
        <f t="shared" ca="1" si="9"/>
        <v>1.0542168674698795</v>
      </c>
      <c r="DG9" s="49">
        <f t="shared" ca="1" si="9"/>
        <v>1.0432190760059614</v>
      </c>
      <c r="DH9" s="49">
        <f t="shared" ca="1" si="9"/>
        <v>1.3274336283185841</v>
      </c>
      <c r="DI9" s="49">
        <f t="shared" ca="1" si="9"/>
        <v>0.14556040756914121</v>
      </c>
      <c r="DJ9" s="49">
        <f t="shared" ca="1" si="9"/>
        <v>1.308139534883721</v>
      </c>
      <c r="DK9" s="49">
        <f t="shared" ca="1" si="9"/>
        <v>1.1477761836441895</v>
      </c>
      <c r="DL9" s="49">
        <f t="shared" ca="1" si="9"/>
        <v>1.2765957446808509</v>
      </c>
      <c r="DM9" s="49">
        <f t="shared" ca="1" si="9"/>
        <v>0.56022408963585435</v>
      </c>
      <c r="DN9" s="49">
        <f t="shared" ca="1" si="9"/>
        <v>1.392757660167131</v>
      </c>
      <c r="DO9" s="49">
        <f t="shared" ca="1" si="9"/>
        <v>0.96153846153846156</v>
      </c>
      <c r="DP9" s="49">
        <f t="shared" ca="1" si="9"/>
        <v>1.0884353741496597</v>
      </c>
      <c r="DQ9" s="49">
        <f t="shared" ca="1" si="9"/>
        <v>1.0767160161507403</v>
      </c>
      <c r="DR9" s="49">
        <f t="shared" ca="1" si="9"/>
        <v>0.26631158455392812</v>
      </c>
      <c r="DS9" s="49">
        <f t="shared" ca="1" si="9"/>
        <v>1.3280212483399734</v>
      </c>
      <c r="DT9" s="49">
        <f t="shared" ca="1" si="9"/>
        <v>0.52424639580602883</v>
      </c>
      <c r="DU9" s="49">
        <f t="shared" ca="1" si="9"/>
        <v>1.3037809647979139</v>
      </c>
      <c r="DV9" s="49">
        <f t="shared" ca="1" si="9"/>
        <v>0.2574002574002574</v>
      </c>
      <c r="DW9" s="49">
        <f t="shared" ca="1" si="9"/>
        <v>0.77021822849807453</v>
      </c>
      <c r="DX9" s="49">
        <f t="shared" ca="1" si="9"/>
        <v>1.1464968152866242</v>
      </c>
      <c r="DY9" s="49">
        <f t="shared" ca="1" si="9"/>
        <v>1.2594458438287155</v>
      </c>
      <c r="DZ9" s="49">
        <f t="shared" ca="1" si="9"/>
        <v>0.99502487562189057</v>
      </c>
      <c r="EA9" s="49">
        <f t="shared" ca="1" si="9"/>
        <v>0.86206896551724133</v>
      </c>
      <c r="EB9" s="49">
        <f t="shared" ca="1" si="9"/>
        <v>1.098901098901099</v>
      </c>
      <c r="EC9" s="49">
        <f t="shared" ca="1" si="9"/>
        <v>0.60386473429951693</v>
      </c>
      <c r="ED9" s="49">
        <f t="shared" ref="ED9:EE9" ca="1" si="10">(ED8-EC8)/EC8*100</f>
        <v>0.48019207683073228</v>
      </c>
      <c r="EE9" s="49">
        <f t="shared" ca="1" si="10"/>
        <v>0.47789725209080047</v>
      </c>
    </row>
    <row r="10" spans="1:138" ht="29.15" x14ac:dyDescent="0.4">
      <c r="A10" s="29" t="str">
        <f t="shared" si="7"/>
        <v>KPI ID 3</v>
      </c>
      <c r="B10" s="47" t="s">
        <v>53</v>
      </c>
      <c r="C10" s="48" t="s">
        <v>5</v>
      </c>
      <c r="D10" s="49">
        <f ca="1">RANDBETWEEN(1, 15)</f>
        <v>12</v>
      </c>
      <c r="E10" s="49">
        <f t="shared" ref="E10:BP10" ca="1" si="11">RANDBETWEEN(1, 15)</f>
        <v>5</v>
      </c>
      <c r="F10" s="49">
        <f t="shared" ca="1" si="11"/>
        <v>13</v>
      </c>
      <c r="G10" s="49">
        <f t="shared" ca="1" si="11"/>
        <v>13</v>
      </c>
      <c r="H10" s="49">
        <f t="shared" ca="1" si="11"/>
        <v>5</v>
      </c>
      <c r="I10" s="49">
        <f t="shared" ca="1" si="11"/>
        <v>11</v>
      </c>
      <c r="J10" s="49">
        <f t="shared" ca="1" si="11"/>
        <v>13</v>
      </c>
      <c r="K10" s="49">
        <f t="shared" ca="1" si="11"/>
        <v>9</v>
      </c>
      <c r="L10" s="49">
        <f t="shared" ca="1" si="11"/>
        <v>13</v>
      </c>
      <c r="M10" s="49">
        <f t="shared" ca="1" si="11"/>
        <v>4</v>
      </c>
      <c r="N10" s="49">
        <f t="shared" ca="1" si="11"/>
        <v>4</v>
      </c>
      <c r="O10" s="49">
        <f t="shared" ca="1" si="11"/>
        <v>1</v>
      </c>
      <c r="P10" s="49">
        <f t="shared" ca="1" si="11"/>
        <v>7</v>
      </c>
      <c r="Q10" s="49">
        <f t="shared" ca="1" si="11"/>
        <v>1</v>
      </c>
      <c r="R10" s="49">
        <f t="shared" ca="1" si="11"/>
        <v>6</v>
      </c>
      <c r="S10" s="49">
        <f t="shared" ca="1" si="11"/>
        <v>2</v>
      </c>
      <c r="T10" s="49">
        <f t="shared" ca="1" si="11"/>
        <v>3</v>
      </c>
      <c r="U10" s="49">
        <f t="shared" ca="1" si="11"/>
        <v>10</v>
      </c>
      <c r="V10" s="49">
        <f t="shared" ca="1" si="11"/>
        <v>11</v>
      </c>
      <c r="W10" s="49">
        <f t="shared" ca="1" si="11"/>
        <v>10</v>
      </c>
      <c r="X10" s="49">
        <f t="shared" ca="1" si="11"/>
        <v>7</v>
      </c>
      <c r="Y10" s="49">
        <f t="shared" ca="1" si="11"/>
        <v>5</v>
      </c>
      <c r="Z10" s="49">
        <f t="shared" ca="1" si="11"/>
        <v>11</v>
      </c>
      <c r="AA10" s="49">
        <f t="shared" ca="1" si="11"/>
        <v>2</v>
      </c>
      <c r="AB10" s="49">
        <f t="shared" ca="1" si="11"/>
        <v>13</v>
      </c>
      <c r="AC10" s="49">
        <f t="shared" ca="1" si="11"/>
        <v>7</v>
      </c>
      <c r="AD10" s="49">
        <f t="shared" ca="1" si="11"/>
        <v>11</v>
      </c>
      <c r="AE10" s="49">
        <f t="shared" ca="1" si="11"/>
        <v>15</v>
      </c>
      <c r="AF10" s="49">
        <f t="shared" ca="1" si="11"/>
        <v>3</v>
      </c>
      <c r="AG10" s="49">
        <f t="shared" ca="1" si="11"/>
        <v>9</v>
      </c>
      <c r="AH10" s="49">
        <f t="shared" ca="1" si="11"/>
        <v>13</v>
      </c>
      <c r="AI10" s="49">
        <f t="shared" ca="1" si="11"/>
        <v>12</v>
      </c>
      <c r="AJ10" s="49">
        <f t="shared" ca="1" si="11"/>
        <v>12</v>
      </c>
      <c r="AK10" s="49">
        <f t="shared" ca="1" si="11"/>
        <v>7</v>
      </c>
      <c r="AL10" s="49">
        <f t="shared" ca="1" si="11"/>
        <v>1</v>
      </c>
      <c r="AM10" s="49">
        <f t="shared" ca="1" si="11"/>
        <v>12</v>
      </c>
      <c r="AN10" s="49">
        <f t="shared" ca="1" si="11"/>
        <v>12</v>
      </c>
      <c r="AO10" s="49">
        <f t="shared" ca="1" si="11"/>
        <v>9</v>
      </c>
      <c r="AP10" s="49">
        <f t="shared" ca="1" si="11"/>
        <v>1</v>
      </c>
      <c r="AQ10" s="49">
        <f t="shared" ca="1" si="11"/>
        <v>1</v>
      </c>
      <c r="AR10" s="49">
        <f t="shared" ca="1" si="11"/>
        <v>5</v>
      </c>
      <c r="AS10" s="49">
        <f t="shared" ca="1" si="11"/>
        <v>13</v>
      </c>
      <c r="AT10" s="49">
        <f t="shared" ca="1" si="11"/>
        <v>12</v>
      </c>
      <c r="AU10" s="49">
        <f t="shared" ca="1" si="11"/>
        <v>7</v>
      </c>
      <c r="AV10" s="49">
        <f t="shared" ca="1" si="11"/>
        <v>14</v>
      </c>
      <c r="AW10" s="49">
        <f t="shared" ca="1" si="11"/>
        <v>15</v>
      </c>
      <c r="AX10" s="49">
        <f t="shared" ca="1" si="11"/>
        <v>13</v>
      </c>
      <c r="AY10" s="49">
        <f t="shared" ca="1" si="11"/>
        <v>13</v>
      </c>
      <c r="AZ10" s="49">
        <f t="shared" ca="1" si="11"/>
        <v>6</v>
      </c>
      <c r="BA10" s="49">
        <f t="shared" ca="1" si="11"/>
        <v>1</v>
      </c>
      <c r="BB10" s="49">
        <f t="shared" ca="1" si="11"/>
        <v>11</v>
      </c>
      <c r="BC10" s="49">
        <f t="shared" ca="1" si="11"/>
        <v>8</v>
      </c>
      <c r="BD10" s="49">
        <f t="shared" ca="1" si="11"/>
        <v>7</v>
      </c>
      <c r="BE10" s="49">
        <f t="shared" ca="1" si="11"/>
        <v>7</v>
      </c>
      <c r="BF10" s="49">
        <f t="shared" ca="1" si="11"/>
        <v>3</v>
      </c>
      <c r="BG10" s="49">
        <f t="shared" ca="1" si="11"/>
        <v>15</v>
      </c>
      <c r="BH10" s="49">
        <f t="shared" ca="1" si="11"/>
        <v>13</v>
      </c>
      <c r="BI10" s="49">
        <f t="shared" ca="1" si="11"/>
        <v>6</v>
      </c>
      <c r="BJ10" s="49">
        <f t="shared" ca="1" si="11"/>
        <v>11</v>
      </c>
      <c r="BK10" s="49">
        <f t="shared" ca="1" si="11"/>
        <v>3</v>
      </c>
      <c r="BL10" s="49">
        <f t="shared" ca="1" si="11"/>
        <v>10</v>
      </c>
      <c r="BM10" s="49">
        <f t="shared" ca="1" si="11"/>
        <v>12</v>
      </c>
      <c r="BN10" s="49">
        <f t="shared" ca="1" si="11"/>
        <v>8</v>
      </c>
      <c r="BO10" s="49">
        <f t="shared" ca="1" si="11"/>
        <v>4</v>
      </c>
      <c r="BP10" s="49">
        <f t="shared" ca="1" si="11"/>
        <v>5</v>
      </c>
      <c r="BQ10" s="49">
        <f t="shared" ref="BQ10:EB10" ca="1" si="12">RANDBETWEEN(1, 15)</f>
        <v>14</v>
      </c>
      <c r="BR10" s="49">
        <f t="shared" ca="1" si="12"/>
        <v>5</v>
      </c>
      <c r="BS10" s="49">
        <f t="shared" ca="1" si="12"/>
        <v>9</v>
      </c>
      <c r="BT10" s="49">
        <f t="shared" ca="1" si="12"/>
        <v>14</v>
      </c>
      <c r="BU10" s="49">
        <f t="shared" ca="1" si="12"/>
        <v>3</v>
      </c>
      <c r="BV10" s="49">
        <f t="shared" ca="1" si="12"/>
        <v>11</v>
      </c>
      <c r="BW10" s="49">
        <f t="shared" ca="1" si="12"/>
        <v>11</v>
      </c>
      <c r="BX10" s="49">
        <f t="shared" ca="1" si="12"/>
        <v>11</v>
      </c>
      <c r="BY10" s="49">
        <f t="shared" ca="1" si="12"/>
        <v>5</v>
      </c>
      <c r="BZ10" s="49">
        <f t="shared" ca="1" si="12"/>
        <v>1</v>
      </c>
      <c r="CA10" s="49">
        <f t="shared" ca="1" si="12"/>
        <v>1</v>
      </c>
      <c r="CB10" s="49">
        <f t="shared" ca="1" si="12"/>
        <v>6</v>
      </c>
      <c r="CC10" s="49">
        <f t="shared" ca="1" si="12"/>
        <v>4</v>
      </c>
      <c r="CD10" s="49">
        <f t="shared" ca="1" si="12"/>
        <v>2</v>
      </c>
      <c r="CE10" s="49">
        <f t="shared" ca="1" si="12"/>
        <v>3</v>
      </c>
      <c r="CF10" s="49">
        <f t="shared" ca="1" si="12"/>
        <v>10</v>
      </c>
      <c r="CG10" s="49">
        <f t="shared" ca="1" si="12"/>
        <v>9</v>
      </c>
      <c r="CH10" s="49">
        <f t="shared" ca="1" si="12"/>
        <v>13</v>
      </c>
      <c r="CI10" s="49">
        <f t="shared" ca="1" si="12"/>
        <v>2</v>
      </c>
      <c r="CJ10" s="49">
        <f t="shared" ca="1" si="12"/>
        <v>4</v>
      </c>
      <c r="CK10" s="49">
        <f t="shared" ca="1" si="12"/>
        <v>7</v>
      </c>
      <c r="CL10" s="49">
        <f t="shared" ca="1" si="12"/>
        <v>6</v>
      </c>
      <c r="CM10" s="49">
        <f t="shared" ca="1" si="12"/>
        <v>2</v>
      </c>
      <c r="CN10" s="49">
        <f t="shared" ca="1" si="12"/>
        <v>12</v>
      </c>
      <c r="CO10" s="49">
        <f t="shared" ca="1" si="12"/>
        <v>6</v>
      </c>
      <c r="CP10" s="49">
        <f t="shared" ca="1" si="12"/>
        <v>1</v>
      </c>
      <c r="CQ10" s="49">
        <f t="shared" ca="1" si="12"/>
        <v>7</v>
      </c>
      <c r="CR10" s="49">
        <f t="shared" ca="1" si="12"/>
        <v>14</v>
      </c>
      <c r="CS10" s="49">
        <f t="shared" ca="1" si="12"/>
        <v>8</v>
      </c>
      <c r="CT10" s="49">
        <f t="shared" ca="1" si="12"/>
        <v>14</v>
      </c>
      <c r="CU10" s="49">
        <f t="shared" ca="1" si="12"/>
        <v>8</v>
      </c>
      <c r="CV10" s="49">
        <f t="shared" ca="1" si="12"/>
        <v>4</v>
      </c>
      <c r="CW10" s="49">
        <f t="shared" ca="1" si="12"/>
        <v>2</v>
      </c>
      <c r="CX10" s="49">
        <f t="shared" ca="1" si="12"/>
        <v>11</v>
      </c>
      <c r="CY10" s="49">
        <f t="shared" ca="1" si="12"/>
        <v>7</v>
      </c>
      <c r="CZ10" s="49">
        <f t="shared" ca="1" si="12"/>
        <v>13</v>
      </c>
      <c r="DA10" s="49">
        <f t="shared" ca="1" si="12"/>
        <v>4</v>
      </c>
      <c r="DB10" s="49">
        <f t="shared" ca="1" si="12"/>
        <v>14</v>
      </c>
      <c r="DC10" s="49">
        <f t="shared" ca="1" si="12"/>
        <v>2</v>
      </c>
      <c r="DD10" s="49">
        <f t="shared" ca="1" si="12"/>
        <v>1</v>
      </c>
      <c r="DE10" s="49">
        <f t="shared" ca="1" si="12"/>
        <v>4</v>
      </c>
      <c r="DF10" s="49">
        <f t="shared" ca="1" si="12"/>
        <v>2</v>
      </c>
      <c r="DG10" s="49">
        <f t="shared" ca="1" si="12"/>
        <v>6</v>
      </c>
      <c r="DH10" s="49">
        <f t="shared" ca="1" si="12"/>
        <v>9</v>
      </c>
      <c r="DI10" s="49">
        <f t="shared" ca="1" si="12"/>
        <v>4</v>
      </c>
      <c r="DJ10" s="49">
        <f t="shared" ca="1" si="12"/>
        <v>14</v>
      </c>
      <c r="DK10" s="49">
        <f t="shared" ca="1" si="12"/>
        <v>15</v>
      </c>
      <c r="DL10" s="49">
        <f t="shared" ca="1" si="12"/>
        <v>10</v>
      </c>
      <c r="DM10" s="49">
        <f t="shared" ca="1" si="12"/>
        <v>9</v>
      </c>
      <c r="DN10" s="49">
        <f t="shared" ca="1" si="12"/>
        <v>2</v>
      </c>
      <c r="DO10" s="49">
        <f t="shared" ca="1" si="12"/>
        <v>5</v>
      </c>
      <c r="DP10" s="49">
        <f t="shared" ca="1" si="12"/>
        <v>15</v>
      </c>
      <c r="DQ10" s="49">
        <f t="shared" ca="1" si="12"/>
        <v>15</v>
      </c>
      <c r="DR10" s="49">
        <f t="shared" ca="1" si="12"/>
        <v>14</v>
      </c>
      <c r="DS10" s="49">
        <f t="shared" ca="1" si="12"/>
        <v>13</v>
      </c>
      <c r="DT10" s="49">
        <f t="shared" ca="1" si="12"/>
        <v>2</v>
      </c>
      <c r="DU10" s="49">
        <f t="shared" ca="1" si="12"/>
        <v>3</v>
      </c>
      <c r="DV10" s="49">
        <f t="shared" ca="1" si="12"/>
        <v>4</v>
      </c>
      <c r="DW10" s="49">
        <f t="shared" ca="1" si="12"/>
        <v>12</v>
      </c>
      <c r="DX10" s="49">
        <f t="shared" ca="1" si="12"/>
        <v>9</v>
      </c>
      <c r="DY10" s="49">
        <f t="shared" ca="1" si="12"/>
        <v>15</v>
      </c>
      <c r="DZ10" s="49">
        <f t="shared" ca="1" si="12"/>
        <v>7</v>
      </c>
      <c r="EA10" s="49">
        <f t="shared" ca="1" si="12"/>
        <v>12</v>
      </c>
      <c r="EB10" s="49">
        <f t="shared" ca="1" si="12"/>
        <v>7</v>
      </c>
      <c r="EC10" s="49">
        <f t="shared" ref="EC10:EE10" ca="1" si="13">RANDBETWEEN(1, 15)</f>
        <v>13</v>
      </c>
      <c r="ED10" s="49">
        <f t="shared" ca="1" si="13"/>
        <v>15</v>
      </c>
      <c r="EE10" s="49">
        <f t="shared" ca="1" si="13"/>
        <v>14</v>
      </c>
    </row>
    <row r="11" spans="1:138" ht="29.15" x14ac:dyDescent="0.4">
      <c r="A11" s="29" t="str">
        <f t="shared" si="7"/>
        <v>KPI ID 4 %</v>
      </c>
      <c r="B11" s="47" t="s">
        <v>54</v>
      </c>
      <c r="C11" s="48" t="s">
        <v>6</v>
      </c>
      <c r="D11" s="49">
        <f t="shared" ref="D11:AI11" ca="1" si="14">RAND()</f>
        <v>0.53829888228244149</v>
      </c>
      <c r="E11" s="49">
        <f t="shared" ca="1" si="14"/>
        <v>1.8176374569737419E-2</v>
      </c>
      <c r="F11" s="49">
        <f t="shared" ca="1" si="14"/>
        <v>0.24591893808910148</v>
      </c>
      <c r="G11" s="49">
        <f t="shared" ca="1" si="14"/>
        <v>0.54479013661827547</v>
      </c>
      <c r="H11" s="49">
        <f t="shared" ca="1" si="14"/>
        <v>0.68591405058530475</v>
      </c>
      <c r="I11" s="49">
        <f t="shared" ca="1" si="14"/>
        <v>0.14759101031608057</v>
      </c>
      <c r="J11" s="49">
        <f t="shared" ca="1" si="14"/>
        <v>4.2629189378507348E-2</v>
      </c>
      <c r="K11" s="49">
        <f t="shared" ca="1" si="14"/>
        <v>0.74638065737246706</v>
      </c>
      <c r="L11" s="49">
        <f t="shared" ca="1" si="14"/>
        <v>0.38337511199178909</v>
      </c>
      <c r="M11" s="49">
        <f t="shared" ca="1" si="14"/>
        <v>0.93523321912460133</v>
      </c>
      <c r="N11" s="49">
        <f t="shared" ca="1" si="14"/>
        <v>0.8694640029145877</v>
      </c>
      <c r="O11" s="49">
        <f t="shared" ca="1" si="14"/>
        <v>9.4920947001864042E-2</v>
      </c>
      <c r="P11" s="49">
        <f t="shared" ca="1" si="14"/>
        <v>0.59827825668445989</v>
      </c>
      <c r="Q11" s="49">
        <f t="shared" ca="1" si="14"/>
        <v>0.76722523392957298</v>
      </c>
      <c r="R11" s="49">
        <f t="shared" ca="1" si="14"/>
        <v>0.54304576556398276</v>
      </c>
      <c r="S11" s="49">
        <f t="shared" ca="1" si="14"/>
        <v>0.27876855953057089</v>
      </c>
      <c r="T11" s="49">
        <f t="shared" ca="1" si="14"/>
        <v>0.25032497226596517</v>
      </c>
      <c r="U11" s="49">
        <f t="shared" ca="1" si="14"/>
        <v>0.15282391258690575</v>
      </c>
      <c r="V11" s="49">
        <f t="shared" ca="1" si="14"/>
        <v>0.38945128455024658</v>
      </c>
      <c r="W11" s="49">
        <f t="shared" ca="1" si="14"/>
        <v>2.2675385002947523E-2</v>
      </c>
      <c r="X11" s="49">
        <f t="shared" ca="1" si="14"/>
        <v>0.93803010400889186</v>
      </c>
      <c r="Y11" s="49">
        <f t="shared" ca="1" si="14"/>
        <v>0.38049086957592093</v>
      </c>
      <c r="Z11" s="49">
        <f t="shared" ca="1" si="14"/>
        <v>0.41383944164631881</v>
      </c>
      <c r="AA11" s="49">
        <f t="shared" ca="1" si="14"/>
        <v>0.7102592131809301</v>
      </c>
      <c r="AB11" s="49">
        <f t="shared" ca="1" si="14"/>
        <v>0.84595497111844664</v>
      </c>
      <c r="AC11" s="49">
        <f t="shared" ca="1" si="14"/>
        <v>0.58457648042060806</v>
      </c>
      <c r="AD11" s="49">
        <f t="shared" ca="1" si="14"/>
        <v>0.40896957505027776</v>
      </c>
      <c r="AE11" s="49">
        <f t="shared" ca="1" si="14"/>
        <v>0.97876444113800143</v>
      </c>
      <c r="AF11" s="49">
        <f t="shared" ca="1" si="14"/>
        <v>0.81192948722035518</v>
      </c>
      <c r="AG11" s="49">
        <f t="shared" ca="1" si="14"/>
        <v>0.94265767411803469</v>
      </c>
      <c r="AH11" s="49">
        <f t="shared" ca="1" si="14"/>
        <v>0.10526134368946327</v>
      </c>
      <c r="AI11" s="49">
        <f t="shared" ca="1" si="14"/>
        <v>0.71732577139645393</v>
      </c>
      <c r="AJ11" s="49">
        <f t="shared" ref="AJ11:BO11" ca="1" si="15">RAND()</f>
        <v>0.45368178377093926</v>
      </c>
      <c r="AK11" s="49">
        <f t="shared" ca="1" si="15"/>
        <v>0.89740059830552932</v>
      </c>
      <c r="AL11" s="49">
        <f t="shared" ca="1" si="15"/>
        <v>0.95112913831715051</v>
      </c>
      <c r="AM11" s="49">
        <f t="shared" ca="1" si="15"/>
        <v>0.85532850789891635</v>
      </c>
      <c r="AN11" s="49">
        <f t="shared" ca="1" si="15"/>
        <v>0.94762597729639475</v>
      </c>
      <c r="AO11" s="49">
        <f t="shared" ca="1" si="15"/>
        <v>0.65667008062779986</v>
      </c>
      <c r="AP11" s="49">
        <f t="shared" ca="1" si="15"/>
        <v>0.97796804830099981</v>
      </c>
      <c r="AQ11" s="49">
        <f t="shared" ca="1" si="15"/>
        <v>0.66670383297586056</v>
      </c>
      <c r="AR11" s="49">
        <f t="shared" ca="1" si="15"/>
        <v>0.87442405855066374</v>
      </c>
      <c r="AS11" s="49">
        <f t="shared" ca="1" si="15"/>
        <v>5.8531742221071825E-3</v>
      </c>
      <c r="AT11" s="49">
        <f t="shared" ca="1" si="15"/>
        <v>0.8972971522833626</v>
      </c>
      <c r="AU11" s="49">
        <f t="shared" ca="1" si="15"/>
        <v>0.49164941448272892</v>
      </c>
      <c r="AV11" s="49">
        <f t="shared" ca="1" si="15"/>
        <v>3.1378711532259573E-2</v>
      </c>
      <c r="AW11" s="49">
        <f t="shared" ca="1" si="15"/>
        <v>0.51594793151541218</v>
      </c>
      <c r="AX11" s="49">
        <f t="shared" ca="1" si="15"/>
        <v>1.5102114938000843E-2</v>
      </c>
      <c r="AY11" s="49">
        <f t="shared" ca="1" si="15"/>
        <v>0.88670634357904188</v>
      </c>
      <c r="AZ11" s="49">
        <f t="shared" ca="1" si="15"/>
        <v>0.2018827645204625</v>
      </c>
      <c r="BA11" s="49">
        <f t="shared" ca="1" si="15"/>
        <v>0.64544996413558842</v>
      </c>
      <c r="BB11" s="49">
        <f t="shared" ca="1" si="15"/>
        <v>0.64878429241027258</v>
      </c>
      <c r="BC11" s="49">
        <f t="shared" ca="1" si="15"/>
        <v>0.93108887723575606</v>
      </c>
      <c r="BD11" s="49">
        <f t="shared" ca="1" si="15"/>
        <v>0.44647801581847768</v>
      </c>
      <c r="BE11" s="49">
        <f t="shared" ca="1" si="15"/>
        <v>0.53312244660918406</v>
      </c>
      <c r="BF11" s="49">
        <f t="shared" ca="1" si="15"/>
        <v>0.81617067501444063</v>
      </c>
      <c r="BG11" s="49">
        <f t="shared" ca="1" si="15"/>
        <v>0.90474584535528413</v>
      </c>
      <c r="BH11" s="49">
        <f t="shared" ca="1" si="15"/>
        <v>0.17803522587677167</v>
      </c>
      <c r="BI11" s="49">
        <f t="shared" ca="1" si="15"/>
        <v>0.48999628117074134</v>
      </c>
      <c r="BJ11" s="49">
        <f t="shared" ca="1" si="15"/>
        <v>6.8065195574757986E-2</v>
      </c>
      <c r="BK11" s="49">
        <f t="shared" ca="1" si="15"/>
        <v>0.96747228536848762</v>
      </c>
      <c r="BL11" s="49">
        <f t="shared" ca="1" si="15"/>
        <v>0.80510166039910713</v>
      </c>
      <c r="BM11" s="49">
        <f t="shared" ca="1" si="15"/>
        <v>0.96527164943743782</v>
      </c>
      <c r="BN11" s="49">
        <f t="shared" ca="1" si="15"/>
        <v>8.0414798571779911E-2</v>
      </c>
      <c r="BO11" s="49">
        <f t="shared" ca="1" si="15"/>
        <v>0.61171117038509715</v>
      </c>
      <c r="BP11" s="49">
        <f t="shared" ref="BP11:CU11" ca="1" si="16">RAND()</f>
        <v>0.32681843543291922</v>
      </c>
      <c r="BQ11" s="49">
        <f t="shared" ca="1" si="16"/>
        <v>0.95340057113259002</v>
      </c>
      <c r="BR11" s="49">
        <f t="shared" ca="1" si="16"/>
        <v>0.93315042752517674</v>
      </c>
      <c r="BS11" s="49">
        <f t="shared" ca="1" si="16"/>
        <v>0.26978502430953377</v>
      </c>
      <c r="BT11" s="49">
        <f t="shared" ca="1" si="16"/>
        <v>0.53905346327226666</v>
      </c>
      <c r="BU11" s="49">
        <f t="shared" ca="1" si="16"/>
        <v>0.25070724791542043</v>
      </c>
      <c r="BV11" s="49">
        <f t="shared" ca="1" si="16"/>
        <v>0.48380240696189913</v>
      </c>
      <c r="BW11" s="49">
        <f t="shared" ca="1" si="16"/>
        <v>0.84679855803097503</v>
      </c>
      <c r="BX11" s="49">
        <f t="shared" ca="1" si="16"/>
        <v>0.85941797682803556</v>
      </c>
      <c r="BY11" s="49">
        <f t="shared" ca="1" si="16"/>
        <v>6.7764841633314865E-2</v>
      </c>
      <c r="BZ11" s="49">
        <f t="shared" ca="1" si="16"/>
        <v>0.6816210990720265</v>
      </c>
      <c r="CA11" s="49">
        <f t="shared" ca="1" si="16"/>
        <v>0.85240554272546243</v>
      </c>
      <c r="CB11" s="49">
        <f t="shared" ca="1" si="16"/>
        <v>0.26673020543495374</v>
      </c>
      <c r="CC11" s="49">
        <f t="shared" ca="1" si="16"/>
        <v>4.9783423287234396E-2</v>
      </c>
      <c r="CD11" s="49">
        <f t="shared" ca="1" si="16"/>
        <v>7.0768488834876075E-2</v>
      </c>
      <c r="CE11" s="49">
        <f t="shared" ca="1" si="16"/>
        <v>0.63235086494117354</v>
      </c>
      <c r="CF11" s="49">
        <f t="shared" ca="1" si="16"/>
        <v>0.67044397412939949</v>
      </c>
      <c r="CG11" s="49">
        <f t="shared" ca="1" si="16"/>
        <v>0.40575432178817228</v>
      </c>
      <c r="CH11" s="49">
        <f t="shared" ca="1" si="16"/>
        <v>0.85258164467107567</v>
      </c>
      <c r="CI11" s="49">
        <f t="shared" ca="1" si="16"/>
        <v>0.32171100824997167</v>
      </c>
      <c r="CJ11" s="49">
        <f t="shared" ca="1" si="16"/>
        <v>0.90817903705864211</v>
      </c>
      <c r="CK11" s="49">
        <f t="shared" ca="1" si="16"/>
        <v>0.56256544796612951</v>
      </c>
      <c r="CL11" s="49">
        <f t="shared" ca="1" si="16"/>
        <v>0.49192316744678011</v>
      </c>
      <c r="CM11" s="49">
        <f t="shared" ca="1" si="16"/>
        <v>0.66654804018257019</v>
      </c>
      <c r="CN11" s="49">
        <f t="shared" ca="1" si="16"/>
        <v>0.76532352228679457</v>
      </c>
      <c r="CO11" s="49">
        <f t="shared" ca="1" si="16"/>
        <v>0.281934220701059</v>
      </c>
      <c r="CP11" s="49">
        <f t="shared" ca="1" si="16"/>
        <v>0.54141152700181894</v>
      </c>
      <c r="CQ11" s="49">
        <f t="shared" ca="1" si="16"/>
        <v>0.11431028203383864</v>
      </c>
      <c r="CR11" s="49">
        <f t="shared" ca="1" si="16"/>
        <v>0.19045048621044069</v>
      </c>
      <c r="CS11" s="49">
        <f t="shared" ca="1" si="16"/>
        <v>0.77481843135043504</v>
      </c>
      <c r="CT11" s="49">
        <f t="shared" ca="1" si="16"/>
        <v>0.66275665535555439</v>
      </c>
      <c r="CU11" s="49">
        <f t="shared" ca="1" si="16"/>
        <v>0.92275179425575404</v>
      </c>
      <c r="CV11" s="49">
        <f t="shared" ref="CV11:EE11" ca="1" si="17">RAND()</f>
        <v>0.54441081113453615</v>
      </c>
      <c r="CW11" s="49">
        <f t="shared" ca="1" si="17"/>
        <v>5.4707906960699493E-2</v>
      </c>
      <c r="CX11" s="49">
        <f t="shared" ca="1" si="17"/>
        <v>0.35568617770347655</v>
      </c>
      <c r="CY11" s="49">
        <f t="shared" ca="1" si="17"/>
        <v>0.58964326478826379</v>
      </c>
      <c r="CZ11" s="49">
        <f t="shared" ca="1" si="17"/>
        <v>0.68251474376580301</v>
      </c>
      <c r="DA11" s="49">
        <f t="shared" ca="1" si="17"/>
        <v>0.69692318945592135</v>
      </c>
      <c r="DB11" s="49">
        <f t="shared" ca="1" si="17"/>
        <v>0.64390131821085894</v>
      </c>
      <c r="DC11" s="49">
        <f t="shared" ca="1" si="17"/>
        <v>0.25258007015611894</v>
      </c>
      <c r="DD11" s="49">
        <f t="shared" ca="1" si="17"/>
        <v>0.82274439010293332</v>
      </c>
      <c r="DE11" s="49">
        <f t="shared" ca="1" si="17"/>
        <v>0.34832172299162234</v>
      </c>
      <c r="DF11" s="49">
        <f t="shared" ca="1" si="17"/>
        <v>0.52256978742666182</v>
      </c>
      <c r="DG11" s="49">
        <f t="shared" ca="1" si="17"/>
        <v>0.80135043874868284</v>
      </c>
      <c r="DH11" s="49">
        <f t="shared" ca="1" si="17"/>
        <v>0.84757091279408059</v>
      </c>
      <c r="DI11" s="49">
        <f t="shared" ca="1" si="17"/>
        <v>0.20100088444454456</v>
      </c>
      <c r="DJ11" s="49">
        <f t="shared" ca="1" si="17"/>
        <v>0.11754062486970662</v>
      </c>
      <c r="DK11" s="49">
        <f t="shared" ca="1" si="17"/>
        <v>0.16775950005495643</v>
      </c>
      <c r="DL11" s="49">
        <f t="shared" ca="1" si="17"/>
        <v>7.3863414939669636E-2</v>
      </c>
      <c r="DM11" s="49">
        <f t="shared" ca="1" si="17"/>
        <v>1.5547902438813765E-2</v>
      </c>
      <c r="DN11" s="49">
        <f t="shared" ca="1" si="17"/>
        <v>0.39411149446741689</v>
      </c>
      <c r="DO11" s="49">
        <f t="shared" ca="1" si="17"/>
        <v>0.33970333583850809</v>
      </c>
      <c r="DP11" s="49">
        <f t="shared" ca="1" si="17"/>
        <v>0.28689682957806684</v>
      </c>
      <c r="DQ11" s="49">
        <f t="shared" ca="1" si="17"/>
        <v>5.9257824109462121E-2</v>
      </c>
      <c r="DR11" s="49">
        <f t="shared" ca="1" si="17"/>
        <v>0.12125441891880029</v>
      </c>
      <c r="DS11" s="49">
        <f t="shared" ca="1" si="17"/>
        <v>0.38291764199800782</v>
      </c>
      <c r="DT11" s="49">
        <f t="shared" ca="1" si="17"/>
        <v>0.86549821703254504</v>
      </c>
      <c r="DU11" s="49">
        <f t="shared" ca="1" si="17"/>
        <v>0.34352560894957573</v>
      </c>
      <c r="DV11" s="49">
        <f t="shared" ca="1" si="17"/>
        <v>0.94451115943017072</v>
      </c>
      <c r="DW11" s="49">
        <f t="shared" ca="1" si="17"/>
        <v>0.62649916317646726</v>
      </c>
      <c r="DX11" s="49">
        <f t="shared" ca="1" si="17"/>
        <v>0.61229142690225569</v>
      </c>
      <c r="DY11" s="49">
        <f t="shared" ca="1" si="17"/>
        <v>0.46369605486619692</v>
      </c>
      <c r="DZ11" s="49">
        <f t="shared" ca="1" si="17"/>
        <v>0.48178032888666855</v>
      </c>
      <c r="EA11" s="49">
        <f t="shared" ca="1" si="17"/>
        <v>0.1513988292350209</v>
      </c>
      <c r="EB11" s="49">
        <f t="shared" ca="1" si="17"/>
        <v>0.13884342340900413</v>
      </c>
      <c r="EC11" s="49">
        <f t="shared" ca="1" si="17"/>
        <v>0.98271920094350007</v>
      </c>
      <c r="ED11" s="49">
        <f t="shared" ca="1" si="17"/>
        <v>0.18076118098543015</v>
      </c>
      <c r="EE11" s="49">
        <f t="shared" ca="1" si="17"/>
        <v>3.9203288873071118E-2</v>
      </c>
    </row>
    <row r="12" spans="1:138" x14ac:dyDescent="0.4">
      <c r="A12" s="29" t="str">
        <f t="shared" si="7"/>
        <v>KPI ID 5</v>
      </c>
      <c r="B12" s="47" t="s">
        <v>55</v>
      </c>
      <c r="C12" s="48" t="s">
        <v>7</v>
      </c>
      <c r="D12" s="49">
        <f ca="1">RANDBETWEEN(1, 40)</f>
        <v>5</v>
      </c>
      <c r="E12" s="49">
        <f t="shared" ref="E12:BP14" ca="1" si="18">RANDBETWEEN(1, 40)</f>
        <v>12</v>
      </c>
      <c r="F12" s="49">
        <f t="shared" ca="1" si="18"/>
        <v>29</v>
      </c>
      <c r="G12" s="49">
        <f t="shared" ca="1" si="18"/>
        <v>28</v>
      </c>
      <c r="H12" s="49">
        <f t="shared" ca="1" si="18"/>
        <v>7</v>
      </c>
      <c r="I12" s="49">
        <f t="shared" ca="1" si="18"/>
        <v>36</v>
      </c>
      <c r="J12" s="49">
        <f t="shared" ca="1" si="18"/>
        <v>38</v>
      </c>
      <c r="K12" s="49">
        <f t="shared" ca="1" si="18"/>
        <v>19</v>
      </c>
      <c r="L12" s="49">
        <f t="shared" ca="1" si="18"/>
        <v>20</v>
      </c>
      <c r="M12" s="49">
        <f t="shared" ca="1" si="18"/>
        <v>26</v>
      </c>
      <c r="N12" s="49">
        <f t="shared" ca="1" si="18"/>
        <v>37</v>
      </c>
      <c r="O12" s="49">
        <f t="shared" ca="1" si="18"/>
        <v>34</v>
      </c>
      <c r="P12" s="49">
        <f t="shared" ca="1" si="18"/>
        <v>9</v>
      </c>
      <c r="Q12" s="49">
        <f t="shared" ca="1" si="18"/>
        <v>2</v>
      </c>
      <c r="R12" s="49">
        <f t="shared" ca="1" si="18"/>
        <v>5</v>
      </c>
      <c r="S12" s="49">
        <f t="shared" ca="1" si="18"/>
        <v>37</v>
      </c>
      <c r="T12" s="49">
        <f t="shared" ca="1" si="18"/>
        <v>9</v>
      </c>
      <c r="U12" s="49">
        <f t="shared" ca="1" si="18"/>
        <v>17</v>
      </c>
      <c r="V12" s="49">
        <f t="shared" ca="1" si="18"/>
        <v>12</v>
      </c>
      <c r="W12" s="49">
        <f t="shared" ca="1" si="18"/>
        <v>8</v>
      </c>
      <c r="X12" s="49">
        <f t="shared" ca="1" si="18"/>
        <v>27</v>
      </c>
      <c r="Y12" s="49">
        <f t="shared" ca="1" si="18"/>
        <v>37</v>
      </c>
      <c r="Z12" s="49">
        <f t="shared" ca="1" si="18"/>
        <v>16</v>
      </c>
      <c r="AA12" s="49">
        <f t="shared" ca="1" si="18"/>
        <v>21</v>
      </c>
      <c r="AB12" s="49">
        <f t="shared" ca="1" si="18"/>
        <v>2</v>
      </c>
      <c r="AC12" s="49">
        <f t="shared" ca="1" si="18"/>
        <v>24</v>
      </c>
      <c r="AD12" s="49">
        <f t="shared" ca="1" si="18"/>
        <v>33</v>
      </c>
      <c r="AE12" s="49">
        <f t="shared" ca="1" si="18"/>
        <v>38</v>
      </c>
      <c r="AF12" s="49">
        <f t="shared" ca="1" si="18"/>
        <v>22</v>
      </c>
      <c r="AG12" s="49">
        <f t="shared" ca="1" si="18"/>
        <v>7</v>
      </c>
      <c r="AH12" s="49">
        <f t="shared" ca="1" si="18"/>
        <v>26</v>
      </c>
      <c r="AI12" s="49">
        <f t="shared" ca="1" si="18"/>
        <v>34</v>
      </c>
      <c r="AJ12" s="49">
        <f t="shared" ca="1" si="18"/>
        <v>19</v>
      </c>
      <c r="AK12" s="49">
        <f t="shared" ca="1" si="18"/>
        <v>31</v>
      </c>
      <c r="AL12" s="49">
        <f t="shared" ca="1" si="18"/>
        <v>35</v>
      </c>
      <c r="AM12" s="49">
        <f t="shared" ca="1" si="18"/>
        <v>34</v>
      </c>
      <c r="AN12" s="49">
        <f t="shared" ca="1" si="18"/>
        <v>32</v>
      </c>
      <c r="AO12" s="49">
        <f t="shared" ca="1" si="18"/>
        <v>22</v>
      </c>
      <c r="AP12" s="49">
        <f t="shared" ca="1" si="18"/>
        <v>18</v>
      </c>
      <c r="AQ12" s="49">
        <f t="shared" ca="1" si="18"/>
        <v>22</v>
      </c>
      <c r="AR12" s="49">
        <f t="shared" ca="1" si="18"/>
        <v>2</v>
      </c>
      <c r="AS12" s="49">
        <f t="shared" ca="1" si="18"/>
        <v>38</v>
      </c>
      <c r="AT12" s="49">
        <f t="shared" ca="1" si="18"/>
        <v>27</v>
      </c>
      <c r="AU12" s="49">
        <f t="shared" ca="1" si="18"/>
        <v>32</v>
      </c>
      <c r="AV12" s="49">
        <f t="shared" ca="1" si="18"/>
        <v>33</v>
      </c>
      <c r="AW12" s="49">
        <f t="shared" ca="1" si="18"/>
        <v>36</v>
      </c>
      <c r="AX12" s="49">
        <f t="shared" ca="1" si="18"/>
        <v>32</v>
      </c>
      <c r="AY12" s="49">
        <f t="shared" ca="1" si="18"/>
        <v>27</v>
      </c>
      <c r="AZ12" s="49">
        <f t="shared" ca="1" si="18"/>
        <v>16</v>
      </c>
      <c r="BA12" s="49">
        <f t="shared" ca="1" si="18"/>
        <v>12</v>
      </c>
      <c r="BB12" s="49">
        <f t="shared" ca="1" si="18"/>
        <v>20</v>
      </c>
      <c r="BC12" s="49">
        <f t="shared" ca="1" si="18"/>
        <v>18</v>
      </c>
      <c r="BD12" s="49">
        <f t="shared" ca="1" si="18"/>
        <v>3</v>
      </c>
      <c r="BE12" s="49">
        <f t="shared" ca="1" si="18"/>
        <v>27</v>
      </c>
      <c r="BF12" s="49">
        <f t="shared" ca="1" si="18"/>
        <v>37</v>
      </c>
      <c r="BG12" s="49">
        <f t="shared" ca="1" si="18"/>
        <v>24</v>
      </c>
      <c r="BH12" s="49">
        <f t="shared" ca="1" si="18"/>
        <v>7</v>
      </c>
      <c r="BI12" s="49">
        <f t="shared" ca="1" si="18"/>
        <v>38</v>
      </c>
      <c r="BJ12" s="49">
        <f t="shared" ca="1" si="18"/>
        <v>29</v>
      </c>
      <c r="BK12" s="49">
        <f t="shared" ca="1" si="18"/>
        <v>36</v>
      </c>
      <c r="BL12" s="49">
        <f t="shared" ca="1" si="18"/>
        <v>39</v>
      </c>
      <c r="BM12" s="49">
        <f t="shared" ca="1" si="18"/>
        <v>4</v>
      </c>
      <c r="BN12" s="49">
        <f t="shared" ca="1" si="18"/>
        <v>29</v>
      </c>
      <c r="BO12" s="49">
        <f t="shared" ca="1" si="18"/>
        <v>1</v>
      </c>
      <c r="BP12" s="49">
        <f t="shared" ca="1" si="18"/>
        <v>4</v>
      </c>
      <c r="BQ12" s="49">
        <f t="shared" ref="BQ12:EB14" ca="1" si="19">RANDBETWEEN(1, 40)</f>
        <v>2</v>
      </c>
      <c r="BR12" s="49">
        <f t="shared" ca="1" si="19"/>
        <v>4</v>
      </c>
      <c r="BS12" s="49">
        <f t="shared" ca="1" si="19"/>
        <v>23</v>
      </c>
      <c r="BT12" s="49">
        <f t="shared" ca="1" si="19"/>
        <v>23</v>
      </c>
      <c r="BU12" s="49">
        <f t="shared" ca="1" si="19"/>
        <v>16</v>
      </c>
      <c r="BV12" s="49">
        <f t="shared" ca="1" si="19"/>
        <v>7</v>
      </c>
      <c r="BW12" s="49">
        <f t="shared" ca="1" si="19"/>
        <v>40</v>
      </c>
      <c r="BX12" s="49">
        <f t="shared" ca="1" si="19"/>
        <v>31</v>
      </c>
      <c r="BY12" s="49">
        <f t="shared" ca="1" si="19"/>
        <v>9</v>
      </c>
      <c r="BZ12" s="49">
        <f t="shared" ca="1" si="19"/>
        <v>2</v>
      </c>
      <c r="CA12" s="49">
        <f t="shared" ca="1" si="19"/>
        <v>1</v>
      </c>
      <c r="CB12" s="49">
        <f t="shared" ca="1" si="19"/>
        <v>2</v>
      </c>
      <c r="CC12" s="49">
        <f t="shared" ca="1" si="19"/>
        <v>33</v>
      </c>
      <c r="CD12" s="49">
        <f t="shared" ca="1" si="19"/>
        <v>35</v>
      </c>
      <c r="CE12" s="49">
        <f t="shared" ca="1" si="19"/>
        <v>2</v>
      </c>
      <c r="CF12" s="49">
        <f t="shared" ca="1" si="19"/>
        <v>20</v>
      </c>
      <c r="CG12" s="49">
        <f t="shared" ca="1" si="19"/>
        <v>8</v>
      </c>
      <c r="CH12" s="49">
        <f t="shared" ca="1" si="19"/>
        <v>29</v>
      </c>
      <c r="CI12" s="49">
        <f t="shared" ca="1" si="19"/>
        <v>2</v>
      </c>
      <c r="CJ12" s="49">
        <f t="shared" ca="1" si="19"/>
        <v>23</v>
      </c>
      <c r="CK12" s="49">
        <f t="shared" ca="1" si="19"/>
        <v>38</v>
      </c>
      <c r="CL12" s="49">
        <f t="shared" ca="1" si="19"/>
        <v>32</v>
      </c>
      <c r="CM12" s="49">
        <f t="shared" ca="1" si="19"/>
        <v>13</v>
      </c>
      <c r="CN12" s="49">
        <f t="shared" ca="1" si="19"/>
        <v>5</v>
      </c>
      <c r="CO12" s="49">
        <f t="shared" ca="1" si="19"/>
        <v>39</v>
      </c>
      <c r="CP12" s="49">
        <f t="shared" ca="1" si="19"/>
        <v>4</v>
      </c>
      <c r="CQ12" s="49">
        <f t="shared" ca="1" si="19"/>
        <v>5</v>
      </c>
      <c r="CR12" s="49">
        <f t="shared" ca="1" si="19"/>
        <v>34</v>
      </c>
      <c r="CS12" s="49">
        <f t="shared" ca="1" si="19"/>
        <v>9</v>
      </c>
      <c r="CT12" s="49">
        <f t="shared" ca="1" si="19"/>
        <v>16</v>
      </c>
      <c r="CU12" s="49">
        <f t="shared" ca="1" si="19"/>
        <v>17</v>
      </c>
      <c r="CV12" s="49">
        <f t="shared" ca="1" si="19"/>
        <v>8</v>
      </c>
      <c r="CW12" s="49">
        <f t="shared" ca="1" si="19"/>
        <v>19</v>
      </c>
      <c r="CX12" s="49">
        <f t="shared" ca="1" si="19"/>
        <v>9</v>
      </c>
      <c r="CY12" s="49">
        <f t="shared" ca="1" si="19"/>
        <v>2</v>
      </c>
      <c r="CZ12" s="49">
        <f t="shared" ca="1" si="19"/>
        <v>27</v>
      </c>
      <c r="DA12" s="49">
        <f t="shared" ca="1" si="19"/>
        <v>36</v>
      </c>
      <c r="DB12" s="49">
        <f t="shared" ca="1" si="19"/>
        <v>21</v>
      </c>
      <c r="DC12" s="49">
        <f t="shared" ca="1" si="19"/>
        <v>10</v>
      </c>
      <c r="DD12" s="49">
        <f t="shared" ca="1" si="19"/>
        <v>40</v>
      </c>
      <c r="DE12" s="49">
        <f t="shared" ca="1" si="19"/>
        <v>16</v>
      </c>
      <c r="DF12" s="49">
        <f t="shared" ca="1" si="19"/>
        <v>18</v>
      </c>
      <c r="DG12" s="49">
        <f t="shared" ca="1" si="19"/>
        <v>3</v>
      </c>
      <c r="DH12" s="49">
        <f t="shared" ca="1" si="19"/>
        <v>1</v>
      </c>
      <c r="DI12" s="49">
        <f t="shared" ca="1" si="19"/>
        <v>31</v>
      </c>
      <c r="DJ12" s="49">
        <f t="shared" ca="1" si="19"/>
        <v>24</v>
      </c>
      <c r="DK12" s="49">
        <f t="shared" ca="1" si="19"/>
        <v>19</v>
      </c>
      <c r="DL12" s="49">
        <f t="shared" ca="1" si="19"/>
        <v>33</v>
      </c>
      <c r="DM12" s="49">
        <f t="shared" ca="1" si="19"/>
        <v>15</v>
      </c>
      <c r="DN12" s="49">
        <f t="shared" ca="1" si="19"/>
        <v>3</v>
      </c>
      <c r="DO12" s="49">
        <f t="shared" ca="1" si="19"/>
        <v>9</v>
      </c>
      <c r="DP12" s="49">
        <f t="shared" ca="1" si="19"/>
        <v>8</v>
      </c>
      <c r="DQ12" s="49">
        <f t="shared" ca="1" si="19"/>
        <v>1</v>
      </c>
      <c r="DR12" s="49">
        <f t="shared" ca="1" si="19"/>
        <v>5</v>
      </c>
      <c r="DS12" s="49">
        <f t="shared" ca="1" si="19"/>
        <v>36</v>
      </c>
      <c r="DT12" s="49">
        <f t="shared" ca="1" si="19"/>
        <v>35</v>
      </c>
      <c r="DU12" s="49">
        <f t="shared" ca="1" si="19"/>
        <v>31</v>
      </c>
      <c r="DV12" s="49">
        <f t="shared" ca="1" si="19"/>
        <v>12</v>
      </c>
      <c r="DW12" s="49">
        <f t="shared" ca="1" si="19"/>
        <v>3</v>
      </c>
      <c r="DX12" s="49">
        <f t="shared" ca="1" si="19"/>
        <v>29</v>
      </c>
      <c r="DY12" s="49">
        <f t="shared" ca="1" si="19"/>
        <v>26</v>
      </c>
      <c r="DZ12" s="49">
        <f t="shared" ca="1" si="19"/>
        <v>7</v>
      </c>
      <c r="EA12" s="49">
        <f t="shared" ca="1" si="19"/>
        <v>8</v>
      </c>
      <c r="EB12" s="49">
        <f t="shared" ca="1" si="19"/>
        <v>16</v>
      </c>
      <c r="EC12" s="49">
        <f t="shared" ref="EC12:EE14" ca="1" si="20">RANDBETWEEN(1, 40)</f>
        <v>23</v>
      </c>
      <c r="ED12" s="49">
        <f t="shared" ca="1" si="20"/>
        <v>17</v>
      </c>
      <c r="EE12" s="49">
        <f t="shared" ca="1" si="20"/>
        <v>28</v>
      </c>
    </row>
    <row r="13" spans="1:138" ht="29.15" x14ac:dyDescent="0.4">
      <c r="A13" s="29" t="str">
        <f t="shared" si="7"/>
        <v>KPI ID 6</v>
      </c>
      <c r="B13" s="47" t="s">
        <v>56</v>
      </c>
      <c r="C13" s="48" t="s">
        <v>8</v>
      </c>
      <c r="D13" s="49">
        <f ca="1">RANDBETWEEN(1, 40)</f>
        <v>3</v>
      </c>
      <c r="E13" s="49">
        <f t="shared" ca="1" si="18"/>
        <v>36</v>
      </c>
      <c r="F13" s="49">
        <f t="shared" ca="1" si="18"/>
        <v>22</v>
      </c>
      <c r="G13" s="49">
        <f t="shared" ca="1" si="18"/>
        <v>39</v>
      </c>
      <c r="H13" s="49">
        <f t="shared" ca="1" si="18"/>
        <v>31</v>
      </c>
      <c r="I13" s="49">
        <f t="shared" ca="1" si="18"/>
        <v>27</v>
      </c>
      <c r="J13" s="49">
        <f t="shared" ca="1" si="18"/>
        <v>7</v>
      </c>
      <c r="K13" s="49">
        <f t="shared" ca="1" si="18"/>
        <v>29</v>
      </c>
      <c r="L13" s="49">
        <f t="shared" ca="1" si="18"/>
        <v>33</v>
      </c>
      <c r="M13" s="49">
        <f t="shared" ca="1" si="18"/>
        <v>3</v>
      </c>
      <c r="N13" s="49">
        <f t="shared" ca="1" si="18"/>
        <v>30</v>
      </c>
      <c r="O13" s="49">
        <f t="shared" ca="1" si="18"/>
        <v>6</v>
      </c>
      <c r="P13" s="49">
        <f t="shared" ca="1" si="18"/>
        <v>38</v>
      </c>
      <c r="Q13" s="49">
        <f t="shared" ca="1" si="18"/>
        <v>17</v>
      </c>
      <c r="R13" s="49">
        <f t="shared" ca="1" si="18"/>
        <v>9</v>
      </c>
      <c r="S13" s="49">
        <f t="shared" ca="1" si="18"/>
        <v>5</v>
      </c>
      <c r="T13" s="49">
        <f t="shared" ca="1" si="18"/>
        <v>1</v>
      </c>
      <c r="U13" s="49">
        <f t="shared" ca="1" si="18"/>
        <v>35</v>
      </c>
      <c r="V13" s="49">
        <f t="shared" ca="1" si="18"/>
        <v>9</v>
      </c>
      <c r="W13" s="49">
        <f t="shared" ca="1" si="18"/>
        <v>7</v>
      </c>
      <c r="X13" s="49">
        <f t="shared" ca="1" si="18"/>
        <v>8</v>
      </c>
      <c r="Y13" s="49">
        <f t="shared" ca="1" si="18"/>
        <v>9</v>
      </c>
      <c r="Z13" s="49">
        <f t="shared" ca="1" si="18"/>
        <v>37</v>
      </c>
      <c r="AA13" s="49">
        <f t="shared" ca="1" si="18"/>
        <v>34</v>
      </c>
      <c r="AB13" s="49">
        <f t="shared" ca="1" si="18"/>
        <v>20</v>
      </c>
      <c r="AC13" s="49">
        <f t="shared" ca="1" si="18"/>
        <v>12</v>
      </c>
      <c r="AD13" s="49">
        <f t="shared" ca="1" si="18"/>
        <v>9</v>
      </c>
      <c r="AE13" s="49">
        <f t="shared" ca="1" si="18"/>
        <v>8</v>
      </c>
      <c r="AF13" s="49">
        <f t="shared" ca="1" si="18"/>
        <v>14</v>
      </c>
      <c r="AG13" s="49">
        <f t="shared" ca="1" si="18"/>
        <v>27</v>
      </c>
      <c r="AH13" s="49">
        <f t="shared" ca="1" si="18"/>
        <v>34</v>
      </c>
      <c r="AI13" s="49">
        <f t="shared" ca="1" si="18"/>
        <v>18</v>
      </c>
      <c r="AJ13" s="49">
        <f t="shared" ca="1" si="18"/>
        <v>28</v>
      </c>
      <c r="AK13" s="49">
        <f t="shared" ca="1" si="18"/>
        <v>18</v>
      </c>
      <c r="AL13" s="49">
        <f t="shared" ca="1" si="18"/>
        <v>35</v>
      </c>
      <c r="AM13" s="49">
        <f t="shared" ca="1" si="18"/>
        <v>21</v>
      </c>
      <c r="AN13" s="49">
        <f t="shared" ca="1" si="18"/>
        <v>17</v>
      </c>
      <c r="AO13" s="49">
        <f t="shared" ca="1" si="18"/>
        <v>31</v>
      </c>
      <c r="AP13" s="49">
        <f t="shared" ca="1" si="18"/>
        <v>29</v>
      </c>
      <c r="AQ13" s="49">
        <f t="shared" ca="1" si="18"/>
        <v>14</v>
      </c>
      <c r="AR13" s="49">
        <f t="shared" ca="1" si="18"/>
        <v>9</v>
      </c>
      <c r="AS13" s="49">
        <f t="shared" ca="1" si="18"/>
        <v>31</v>
      </c>
      <c r="AT13" s="49">
        <f t="shared" ca="1" si="18"/>
        <v>31</v>
      </c>
      <c r="AU13" s="49">
        <f t="shared" ca="1" si="18"/>
        <v>16</v>
      </c>
      <c r="AV13" s="49">
        <f t="shared" ca="1" si="18"/>
        <v>6</v>
      </c>
      <c r="AW13" s="49">
        <f t="shared" ca="1" si="18"/>
        <v>29</v>
      </c>
      <c r="AX13" s="49">
        <f t="shared" ca="1" si="18"/>
        <v>21</v>
      </c>
      <c r="AY13" s="49">
        <f t="shared" ca="1" si="18"/>
        <v>31</v>
      </c>
      <c r="AZ13" s="49">
        <f t="shared" ca="1" si="18"/>
        <v>24</v>
      </c>
      <c r="BA13" s="49">
        <f t="shared" ca="1" si="18"/>
        <v>24</v>
      </c>
      <c r="BB13" s="49">
        <f t="shared" ca="1" si="18"/>
        <v>16</v>
      </c>
      <c r="BC13" s="49">
        <f t="shared" ca="1" si="18"/>
        <v>5</v>
      </c>
      <c r="BD13" s="49">
        <f t="shared" ca="1" si="18"/>
        <v>22</v>
      </c>
      <c r="BE13" s="49">
        <f t="shared" ca="1" si="18"/>
        <v>37</v>
      </c>
      <c r="BF13" s="49">
        <f t="shared" ca="1" si="18"/>
        <v>23</v>
      </c>
      <c r="BG13" s="49">
        <f t="shared" ca="1" si="18"/>
        <v>27</v>
      </c>
      <c r="BH13" s="49">
        <f t="shared" ca="1" si="18"/>
        <v>22</v>
      </c>
      <c r="BI13" s="49">
        <f t="shared" ca="1" si="18"/>
        <v>38</v>
      </c>
      <c r="BJ13" s="49">
        <f t="shared" ca="1" si="18"/>
        <v>29</v>
      </c>
      <c r="BK13" s="49">
        <f t="shared" ca="1" si="18"/>
        <v>2</v>
      </c>
      <c r="BL13" s="49">
        <f t="shared" ca="1" si="18"/>
        <v>40</v>
      </c>
      <c r="BM13" s="49">
        <f t="shared" ca="1" si="18"/>
        <v>23</v>
      </c>
      <c r="BN13" s="49">
        <f t="shared" ca="1" si="18"/>
        <v>17</v>
      </c>
      <c r="BO13" s="49">
        <f t="shared" ca="1" si="18"/>
        <v>40</v>
      </c>
      <c r="BP13" s="49">
        <f t="shared" ca="1" si="18"/>
        <v>17</v>
      </c>
      <c r="BQ13" s="49">
        <f t="shared" ca="1" si="19"/>
        <v>21</v>
      </c>
      <c r="BR13" s="49">
        <f t="shared" ca="1" si="19"/>
        <v>4</v>
      </c>
      <c r="BS13" s="49">
        <f t="shared" ca="1" si="19"/>
        <v>26</v>
      </c>
      <c r="BT13" s="49">
        <f t="shared" ca="1" si="19"/>
        <v>25</v>
      </c>
      <c r="BU13" s="49">
        <f t="shared" ca="1" si="19"/>
        <v>7</v>
      </c>
      <c r="BV13" s="49">
        <f t="shared" ca="1" si="19"/>
        <v>11</v>
      </c>
      <c r="BW13" s="49">
        <f t="shared" ca="1" si="19"/>
        <v>15</v>
      </c>
      <c r="BX13" s="49">
        <f t="shared" ca="1" si="19"/>
        <v>7</v>
      </c>
      <c r="BY13" s="49">
        <f t="shared" ca="1" si="19"/>
        <v>12</v>
      </c>
      <c r="BZ13" s="49">
        <f t="shared" ca="1" si="19"/>
        <v>15</v>
      </c>
      <c r="CA13" s="49">
        <f t="shared" ca="1" si="19"/>
        <v>29</v>
      </c>
      <c r="CB13" s="49">
        <f t="shared" ca="1" si="19"/>
        <v>29</v>
      </c>
      <c r="CC13" s="49">
        <f t="shared" ca="1" si="19"/>
        <v>36</v>
      </c>
      <c r="CD13" s="49">
        <f t="shared" ca="1" si="19"/>
        <v>26</v>
      </c>
      <c r="CE13" s="49">
        <f t="shared" ca="1" si="19"/>
        <v>35</v>
      </c>
      <c r="CF13" s="49">
        <f t="shared" ca="1" si="19"/>
        <v>13</v>
      </c>
      <c r="CG13" s="49">
        <f t="shared" ca="1" si="19"/>
        <v>36</v>
      </c>
      <c r="CH13" s="49">
        <f t="shared" ca="1" si="19"/>
        <v>10</v>
      </c>
      <c r="CI13" s="49">
        <f t="shared" ca="1" si="19"/>
        <v>40</v>
      </c>
      <c r="CJ13" s="49">
        <f t="shared" ca="1" si="19"/>
        <v>30</v>
      </c>
      <c r="CK13" s="49">
        <f t="shared" ca="1" si="19"/>
        <v>33</v>
      </c>
      <c r="CL13" s="49">
        <f t="shared" ca="1" si="19"/>
        <v>6</v>
      </c>
      <c r="CM13" s="49">
        <f t="shared" ca="1" si="19"/>
        <v>29</v>
      </c>
      <c r="CN13" s="49">
        <f t="shared" ca="1" si="19"/>
        <v>23</v>
      </c>
      <c r="CO13" s="49">
        <f t="shared" ca="1" si="19"/>
        <v>16</v>
      </c>
      <c r="CP13" s="49">
        <f t="shared" ca="1" si="19"/>
        <v>12</v>
      </c>
      <c r="CQ13" s="49">
        <f t="shared" ca="1" si="19"/>
        <v>13</v>
      </c>
      <c r="CR13" s="49">
        <f t="shared" ca="1" si="19"/>
        <v>6</v>
      </c>
      <c r="CS13" s="49">
        <f t="shared" ca="1" si="19"/>
        <v>1</v>
      </c>
      <c r="CT13" s="49">
        <f t="shared" ca="1" si="19"/>
        <v>29</v>
      </c>
      <c r="CU13" s="49">
        <f t="shared" ca="1" si="19"/>
        <v>17</v>
      </c>
      <c r="CV13" s="49">
        <f t="shared" ca="1" si="19"/>
        <v>18</v>
      </c>
      <c r="CW13" s="49">
        <f t="shared" ca="1" si="19"/>
        <v>3</v>
      </c>
      <c r="CX13" s="49">
        <f t="shared" ca="1" si="19"/>
        <v>2</v>
      </c>
      <c r="CY13" s="49">
        <f t="shared" ca="1" si="19"/>
        <v>5</v>
      </c>
      <c r="CZ13" s="49">
        <f t="shared" ca="1" si="19"/>
        <v>20</v>
      </c>
      <c r="DA13" s="49">
        <f t="shared" ca="1" si="19"/>
        <v>26</v>
      </c>
      <c r="DB13" s="49">
        <f t="shared" ca="1" si="19"/>
        <v>33</v>
      </c>
      <c r="DC13" s="49">
        <f t="shared" ca="1" si="19"/>
        <v>5</v>
      </c>
      <c r="DD13" s="49">
        <f t="shared" ca="1" si="19"/>
        <v>37</v>
      </c>
      <c r="DE13" s="49">
        <f t="shared" ca="1" si="19"/>
        <v>34</v>
      </c>
      <c r="DF13" s="49">
        <f t="shared" ca="1" si="19"/>
        <v>4</v>
      </c>
      <c r="DG13" s="49">
        <f t="shared" ca="1" si="19"/>
        <v>22</v>
      </c>
      <c r="DH13" s="49">
        <f t="shared" ca="1" si="19"/>
        <v>22</v>
      </c>
      <c r="DI13" s="49">
        <f t="shared" ca="1" si="19"/>
        <v>34</v>
      </c>
      <c r="DJ13" s="49">
        <f t="shared" ca="1" si="19"/>
        <v>15</v>
      </c>
      <c r="DK13" s="49">
        <f t="shared" ca="1" si="19"/>
        <v>33</v>
      </c>
      <c r="DL13" s="49">
        <f t="shared" ca="1" si="19"/>
        <v>22</v>
      </c>
      <c r="DM13" s="49">
        <f t="shared" ca="1" si="19"/>
        <v>30</v>
      </c>
      <c r="DN13" s="49">
        <f t="shared" ca="1" si="19"/>
        <v>7</v>
      </c>
      <c r="DO13" s="49">
        <f t="shared" ca="1" si="19"/>
        <v>20</v>
      </c>
      <c r="DP13" s="49">
        <f t="shared" ca="1" si="19"/>
        <v>2</v>
      </c>
      <c r="DQ13" s="49">
        <f t="shared" ca="1" si="19"/>
        <v>20</v>
      </c>
      <c r="DR13" s="49">
        <f t="shared" ca="1" si="19"/>
        <v>17</v>
      </c>
      <c r="DS13" s="49">
        <f t="shared" ca="1" si="19"/>
        <v>8</v>
      </c>
      <c r="DT13" s="49">
        <f t="shared" ca="1" si="19"/>
        <v>30</v>
      </c>
      <c r="DU13" s="49">
        <f t="shared" ca="1" si="19"/>
        <v>14</v>
      </c>
      <c r="DV13" s="49">
        <f t="shared" ca="1" si="19"/>
        <v>34</v>
      </c>
      <c r="DW13" s="49">
        <f t="shared" ca="1" si="19"/>
        <v>19</v>
      </c>
      <c r="DX13" s="49">
        <f t="shared" ca="1" si="19"/>
        <v>35</v>
      </c>
      <c r="DY13" s="49">
        <f t="shared" ca="1" si="19"/>
        <v>17</v>
      </c>
      <c r="DZ13" s="49">
        <f t="shared" ca="1" si="19"/>
        <v>24</v>
      </c>
      <c r="EA13" s="49">
        <f t="shared" ca="1" si="19"/>
        <v>14</v>
      </c>
      <c r="EB13" s="49">
        <f t="shared" ca="1" si="19"/>
        <v>36</v>
      </c>
      <c r="EC13" s="49">
        <f t="shared" ca="1" si="20"/>
        <v>3</v>
      </c>
      <c r="ED13" s="49">
        <f t="shared" ca="1" si="20"/>
        <v>26</v>
      </c>
      <c r="EE13" s="49">
        <f t="shared" ca="1" si="20"/>
        <v>37</v>
      </c>
    </row>
    <row r="14" spans="1:138" ht="29.15" x14ac:dyDescent="0.4">
      <c r="A14" s="29" t="str">
        <f t="shared" si="7"/>
        <v>KPI ID 7</v>
      </c>
      <c r="B14" s="47" t="s">
        <v>57</v>
      </c>
      <c r="C14" s="48" t="s">
        <v>9</v>
      </c>
      <c r="D14" s="49">
        <f ca="1">RANDBETWEEN(1, 40)</f>
        <v>28</v>
      </c>
      <c r="E14" s="49">
        <f t="shared" ca="1" si="18"/>
        <v>18</v>
      </c>
      <c r="F14" s="49">
        <f t="shared" ca="1" si="18"/>
        <v>32</v>
      </c>
      <c r="G14" s="49">
        <f t="shared" ca="1" si="18"/>
        <v>26</v>
      </c>
      <c r="H14" s="49">
        <f t="shared" ca="1" si="18"/>
        <v>29</v>
      </c>
      <c r="I14" s="49">
        <f t="shared" ca="1" si="18"/>
        <v>26</v>
      </c>
      <c r="J14" s="49">
        <f t="shared" ca="1" si="18"/>
        <v>30</v>
      </c>
      <c r="K14" s="49">
        <f t="shared" ca="1" si="18"/>
        <v>24</v>
      </c>
      <c r="L14" s="49">
        <f t="shared" ca="1" si="18"/>
        <v>37</v>
      </c>
      <c r="M14" s="49">
        <f t="shared" ca="1" si="18"/>
        <v>14</v>
      </c>
      <c r="N14" s="49">
        <f t="shared" ca="1" si="18"/>
        <v>11</v>
      </c>
      <c r="O14" s="49">
        <f t="shared" ca="1" si="18"/>
        <v>36</v>
      </c>
      <c r="P14" s="49">
        <f t="shared" ca="1" si="18"/>
        <v>12</v>
      </c>
      <c r="Q14" s="49">
        <f t="shared" ca="1" si="18"/>
        <v>25</v>
      </c>
      <c r="R14" s="49">
        <f t="shared" ca="1" si="18"/>
        <v>37</v>
      </c>
      <c r="S14" s="49">
        <f t="shared" ca="1" si="18"/>
        <v>15</v>
      </c>
      <c r="T14" s="49">
        <f t="shared" ca="1" si="18"/>
        <v>21</v>
      </c>
      <c r="U14" s="49">
        <f t="shared" ca="1" si="18"/>
        <v>31</v>
      </c>
      <c r="V14" s="49">
        <f t="shared" ca="1" si="18"/>
        <v>2</v>
      </c>
      <c r="W14" s="49">
        <f t="shared" ca="1" si="18"/>
        <v>14</v>
      </c>
      <c r="X14" s="49">
        <f t="shared" ca="1" si="18"/>
        <v>9</v>
      </c>
      <c r="Y14" s="49">
        <f t="shared" ca="1" si="18"/>
        <v>22</v>
      </c>
      <c r="Z14" s="49">
        <f t="shared" ca="1" si="18"/>
        <v>8</v>
      </c>
      <c r="AA14" s="49">
        <f t="shared" ca="1" si="18"/>
        <v>27</v>
      </c>
      <c r="AB14" s="49">
        <f t="shared" ca="1" si="18"/>
        <v>3</v>
      </c>
      <c r="AC14" s="49">
        <f t="shared" ca="1" si="18"/>
        <v>19</v>
      </c>
      <c r="AD14" s="49">
        <f t="shared" ca="1" si="18"/>
        <v>40</v>
      </c>
      <c r="AE14" s="49">
        <f t="shared" ca="1" si="18"/>
        <v>14</v>
      </c>
      <c r="AF14" s="49">
        <f t="shared" ca="1" si="18"/>
        <v>39</v>
      </c>
      <c r="AG14" s="49">
        <f t="shared" ca="1" si="18"/>
        <v>13</v>
      </c>
      <c r="AH14" s="49">
        <f t="shared" ca="1" si="18"/>
        <v>1</v>
      </c>
      <c r="AI14" s="49">
        <f t="shared" ca="1" si="18"/>
        <v>13</v>
      </c>
      <c r="AJ14" s="49">
        <f t="shared" ca="1" si="18"/>
        <v>33</v>
      </c>
      <c r="AK14" s="49">
        <f t="shared" ca="1" si="18"/>
        <v>26</v>
      </c>
      <c r="AL14" s="49">
        <f t="shared" ca="1" si="18"/>
        <v>18</v>
      </c>
      <c r="AM14" s="49">
        <f t="shared" ca="1" si="18"/>
        <v>13</v>
      </c>
      <c r="AN14" s="49">
        <f t="shared" ca="1" si="18"/>
        <v>9</v>
      </c>
      <c r="AO14" s="49">
        <f t="shared" ca="1" si="18"/>
        <v>20</v>
      </c>
      <c r="AP14" s="49">
        <f t="shared" ca="1" si="18"/>
        <v>19</v>
      </c>
      <c r="AQ14" s="49">
        <f t="shared" ca="1" si="18"/>
        <v>40</v>
      </c>
      <c r="AR14" s="49">
        <f t="shared" ca="1" si="18"/>
        <v>31</v>
      </c>
      <c r="AS14" s="49">
        <f t="shared" ca="1" si="18"/>
        <v>2</v>
      </c>
      <c r="AT14" s="49">
        <f t="shared" ca="1" si="18"/>
        <v>31</v>
      </c>
      <c r="AU14" s="49">
        <f t="shared" ca="1" si="18"/>
        <v>15</v>
      </c>
      <c r="AV14" s="49">
        <f t="shared" ca="1" si="18"/>
        <v>35</v>
      </c>
      <c r="AW14" s="49">
        <f t="shared" ca="1" si="18"/>
        <v>33</v>
      </c>
      <c r="AX14" s="49">
        <f t="shared" ca="1" si="18"/>
        <v>10</v>
      </c>
      <c r="AY14" s="49">
        <f t="shared" ca="1" si="18"/>
        <v>7</v>
      </c>
      <c r="AZ14" s="49">
        <f t="shared" ca="1" si="18"/>
        <v>16</v>
      </c>
      <c r="BA14" s="49">
        <f t="shared" ca="1" si="18"/>
        <v>36</v>
      </c>
      <c r="BB14" s="49">
        <f t="shared" ca="1" si="18"/>
        <v>31</v>
      </c>
      <c r="BC14" s="49">
        <f t="shared" ca="1" si="18"/>
        <v>28</v>
      </c>
      <c r="BD14" s="49">
        <f t="shared" ca="1" si="18"/>
        <v>1</v>
      </c>
      <c r="BE14" s="49">
        <f t="shared" ca="1" si="18"/>
        <v>38</v>
      </c>
      <c r="BF14" s="49">
        <f t="shared" ca="1" si="18"/>
        <v>27</v>
      </c>
      <c r="BG14" s="49">
        <f t="shared" ca="1" si="18"/>
        <v>13</v>
      </c>
      <c r="BH14" s="49">
        <f t="shared" ca="1" si="18"/>
        <v>23</v>
      </c>
      <c r="BI14" s="49">
        <f t="shared" ca="1" si="18"/>
        <v>33</v>
      </c>
      <c r="BJ14" s="49">
        <f t="shared" ca="1" si="18"/>
        <v>37</v>
      </c>
      <c r="BK14" s="49">
        <f t="shared" ca="1" si="18"/>
        <v>25</v>
      </c>
      <c r="BL14" s="49">
        <f t="shared" ca="1" si="18"/>
        <v>7</v>
      </c>
      <c r="BM14" s="49">
        <f t="shared" ca="1" si="18"/>
        <v>5</v>
      </c>
      <c r="BN14" s="49">
        <f t="shared" ca="1" si="18"/>
        <v>34</v>
      </c>
      <c r="BO14" s="49">
        <f t="shared" ca="1" si="18"/>
        <v>1</v>
      </c>
      <c r="BP14" s="49">
        <f t="shared" ca="1" si="18"/>
        <v>34</v>
      </c>
      <c r="BQ14" s="49">
        <f t="shared" ca="1" si="19"/>
        <v>11</v>
      </c>
      <c r="BR14" s="49">
        <f t="shared" ca="1" si="19"/>
        <v>13</v>
      </c>
      <c r="BS14" s="49">
        <f t="shared" ca="1" si="19"/>
        <v>39</v>
      </c>
      <c r="BT14" s="49">
        <f t="shared" ca="1" si="19"/>
        <v>6</v>
      </c>
      <c r="BU14" s="49">
        <f t="shared" ca="1" si="19"/>
        <v>17</v>
      </c>
      <c r="BV14" s="49">
        <f t="shared" ca="1" si="19"/>
        <v>35</v>
      </c>
      <c r="BW14" s="49">
        <f t="shared" ca="1" si="19"/>
        <v>10</v>
      </c>
      <c r="BX14" s="49">
        <f t="shared" ca="1" si="19"/>
        <v>10</v>
      </c>
      <c r="BY14" s="49">
        <f t="shared" ca="1" si="19"/>
        <v>35</v>
      </c>
      <c r="BZ14" s="49">
        <f t="shared" ca="1" si="19"/>
        <v>29</v>
      </c>
      <c r="CA14" s="49">
        <f t="shared" ca="1" si="19"/>
        <v>3</v>
      </c>
      <c r="CB14" s="49">
        <f t="shared" ca="1" si="19"/>
        <v>1</v>
      </c>
      <c r="CC14" s="49">
        <f t="shared" ca="1" si="19"/>
        <v>28</v>
      </c>
      <c r="CD14" s="49">
        <f t="shared" ca="1" si="19"/>
        <v>25</v>
      </c>
      <c r="CE14" s="49">
        <f t="shared" ca="1" si="19"/>
        <v>37</v>
      </c>
      <c r="CF14" s="49">
        <f t="shared" ca="1" si="19"/>
        <v>15</v>
      </c>
      <c r="CG14" s="49">
        <f t="shared" ca="1" si="19"/>
        <v>33</v>
      </c>
      <c r="CH14" s="49">
        <f t="shared" ca="1" si="19"/>
        <v>7</v>
      </c>
      <c r="CI14" s="49">
        <f t="shared" ca="1" si="19"/>
        <v>3</v>
      </c>
      <c r="CJ14" s="49">
        <f t="shared" ca="1" si="19"/>
        <v>10</v>
      </c>
      <c r="CK14" s="49">
        <f t="shared" ca="1" si="19"/>
        <v>30</v>
      </c>
      <c r="CL14" s="49">
        <f t="shared" ca="1" si="19"/>
        <v>11</v>
      </c>
      <c r="CM14" s="49">
        <f t="shared" ca="1" si="19"/>
        <v>32</v>
      </c>
      <c r="CN14" s="49">
        <f t="shared" ca="1" si="19"/>
        <v>10</v>
      </c>
      <c r="CO14" s="49">
        <f t="shared" ca="1" si="19"/>
        <v>15</v>
      </c>
      <c r="CP14" s="49">
        <f t="shared" ca="1" si="19"/>
        <v>18</v>
      </c>
      <c r="CQ14" s="49">
        <f t="shared" ca="1" si="19"/>
        <v>24</v>
      </c>
      <c r="CR14" s="49">
        <f t="shared" ca="1" si="19"/>
        <v>36</v>
      </c>
      <c r="CS14" s="49">
        <f t="shared" ca="1" si="19"/>
        <v>30</v>
      </c>
      <c r="CT14" s="49">
        <f t="shared" ca="1" si="19"/>
        <v>3</v>
      </c>
      <c r="CU14" s="49">
        <f t="shared" ca="1" si="19"/>
        <v>12</v>
      </c>
      <c r="CV14" s="49">
        <f t="shared" ca="1" si="19"/>
        <v>20</v>
      </c>
      <c r="CW14" s="49">
        <f t="shared" ca="1" si="19"/>
        <v>40</v>
      </c>
      <c r="CX14" s="49">
        <f t="shared" ca="1" si="19"/>
        <v>22</v>
      </c>
      <c r="CY14" s="49">
        <f t="shared" ca="1" si="19"/>
        <v>30</v>
      </c>
      <c r="CZ14" s="49">
        <f t="shared" ca="1" si="19"/>
        <v>24</v>
      </c>
      <c r="DA14" s="49">
        <f t="shared" ca="1" si="19"/>
        <v>13</v>
      </c>
      <c r="DB14" s="49">
        <f t="shared" ca="1" si="19"/>
        <v>33</v>
      </c>
      <c r="DC14" s="49">
        <f t="shared" ca="1" si="19"/>
        <v>23</v>
      </c>
      <c r="DD14" s="49">
        <f t="shared" ca="1" si="19"/>
        <v>26</v>
      </c>
      <c r="DE14" s="49">
        <f t="shared" ca="1" si="19"/>
        <v>4</v>
      </c>
      <c r="DF14" s="49">
        <f t="shared" ca="1" si="19"/>
        <v>32</v>
      </c>
      <c r="DG14" s="49">
        <f t="shared" ca="1" si="19"/>
        <v>38</v>
      </c>
      <c r="DH14" s="49">
        <f t="shared" ca="1" si="19"/>
        <v>37</v>
      </c>
      <c r="DI14" s="49">
        <f t="shared" ca="1" si="19"/>
        <v>4</v>
      </c>
      <c r="DJ14" s="49">
        <f t="shared" ca="1" si="19"/>
        <v>3</v>
      </c>
      <c r="DK14" s="49">
        <f t="shared" ca="1" si="19"/>
        <v>12</v>
      </c>
      <c r="DL14" s="49">
        <f t="shared" ca="1" si="19"/>
        <v>38</v>
      </c>
      <c r="DM14" s="49">
        <f t="shared" ca="1" si="19"/>
        <v>38</v>
      </c>
      <c r="DN14" s="49">
        <f t="shared" ca="1" si="19"/>
        <v>26</v>
      </c>
      <c r="DO14" s="49">
        <f t="shared" ca="1" si="19"/>
        <v>34</v>
      </c>
      <c r="DP14" s="49">
        <f t="shared" ca="1" si="19"/>
        <v>30</v>
      </c>
      <c r="DQ14" s="49">
        <f t="shared" ca="1" si="19"/>
        <v>21</v>
      </c>
      <c r="DR14" s="49">
        <f t="shared" ca="1" si="19"/>
        <v>16</v>
      </c>
      <c r="DS14" s="49">
        <f t="shared" ca="1" si="19"/>
        <v>30</v>
      </c>
      <c r="DT14" s="49">
        <f t="shared" ca="1" si="19"/>
        <v>32</v>
      </c>
      <c r="DU14" s="49">
        <f t="shared" ca="1" si="19"/>
        <v>29</v>
      </c>
      <c r="DV14" s="49">
        <f t="shared" ca="1" si="19"/>
        <v>36</v>
      </c>
      <c r="DW14" s="49">
        <f t="shared" ca="1" si="19"/>
        <v>29</v>
      </c>
      <c r="DX14" s="49">
        <f t="shared" ca="1" si="19"/>
        <v>4</v>
      </c>
      <c r="DY14" s="49">
        <f t="shared" ca="1" si="19"/>
        <v>31</v>
      </c>
      <c r="DZ14" s="49">
        <f t="shared" ca="1" si="19"/>
        <v>32</v>
      </c>
      <c r="EA14" s="49">
        <f t="shared" ca="1" si="19"/>
        <v>4</v>
      </c>
      <c r="EB14" s="49">
        <f t="shared" ca="1" si="19"/>
        <v>20</v>
      </c>
      <c r="EC14" s="49">
        <f t="shared" ca="1" si="20"/>
        <v>25</v>
      </c>
      <c r="ED14" s="49">
        <f t="shared" ca="1" si="20"/>
        <v>23</v>
      </c>
      <c r="EE14" s="49">
        <f t="shared" ca="1" si="20"/>
        <v>10</v>
      </c>
    </row>
    <row r="15" spans="1:138" ht="29.15" x14ac:dyDescent="0.4">
      <c r="A15" s="29" t="str">
        <f t="shared" si="7"/>
        <v>KPI ID 8 %</v>
      </c>
      <c r="B15" s="47" t="s">
        <v>58</v>
      </c>
      <c r="C15" s="48" t="s">
        <v>10</v>
      </c>
      <c r="D15" s="49">
        <f t="shared" ref="D15:M16" ca="1" si="21">RAND()</f>
        <v>0.94622325777575278</v>
      </c>
      <c r="E15" s="49">
        <f t="shared" ca="1" si="21"/>
        <v>3.6454978871416244E-2</v>
      </c>
      <c r="F15" s="49">
        <f t="shared" ca="1" si="21"/>
        <v>0.8648207526270828</v>
      </c>
      <c r="G15" s="49">
        <f t="shared" ca="1" si="21"/>
        <v>0.73980273123382811</v>
      </c>
      <c r="H15" s="49">
        <f t="shared" ca="1" si="21"/>
        <v>0.27510649480883054</v>
      </c>
      <c r="I15" s="49">
        <f t="shared" ca="1" si="21"/>
        <v>0.53814159833474529</v>
      </c>
      <c r="J15" s="49">
        <f t="shared" ca="1" si="21"/>
        <v>0.81398871540111661</v>
      </c>
      <c r="K15" s="49">
        <f t="shared" ca="1" si="21"/>
        <v>0.80185238403788839</v>
      </c>
      <c r="L15" s="49">
        <f t="shared" ca="1" si="21"/>
        <v>0.69696379609105163</v>
      </c>
      <c r="M15" s="49">
        <f t="shared" ca="1" si="21"/>
        <v>0.92215401509691408</v>
      </c>
      <c r="N15" s="49">
        <f t="shared" ref="N15:W16" ca="1" si="22">RAND()</f>
        <v>0.91940170609527894</v>
      </c>
      <c r="O15" s="49">
        <f t="shared" ca="1" si="22"/>
        <v>4.9192276408610569E-2</v>
      </c>
      <c r="P15" s="49">
        <f t="shared" ca="1" si="22"/>
        <v>0.74887033975924899</v>
      </c>
      <c r="Q15" s="49">
        <f t="shared" ca="1" si="22"/>
        <v>0.70186625529781776</v>
      </c>
      <c r="R15" s="49">
        <f t="shared" ca="1" si="22"/>
        <v>0.20918854174400503</v>
      </c>
      <c r="S15" s="49">
        <f t="shared" ca="1" si="22"/>
        <v>0.25557408134766091</v>
      </c>
      <c r="T15" s="49">
        <f t="shared" ca="1" si="22"/>
        <v>0.89078950703003223</v>
      </c>
      <c r="U15" s="49">
        <f t="shared" ca="1" si="22"/>
        <v>0.98169429999649516</v>
      </c>
      <c r="V15" s="49">
        <f t="shared" ca="1" si="22"/>
        <v>0.53794861783056636</v>
      </c>
      <c r="W15" s="49">
        <f t="shared" ca="1" si="22"/>
        <v>0.4958653636737087</v>
      </c>
      <c r="X15" s="49">
        <f t="shared" ref="X15:AG16" ca="1" si="23">RAND()</f>
        <v>0.40024291229949827</v>
      </c>
      <c r="Y15" s="49">
        <f t="shared" ca="1" si="23"/>
        <v>0.53262062577776337</v>
      </c>
      <c r="Z15" s="49">
        <f t="shared" ca="1" si="23"/>
        <v>0.11344027053747185</v>
      </c>
      <c r="AA15" s="49">
        <f t="shared" ca="1" si="23"/>
        <v>1.2497981618130871E-2</v>
      </c>
      <c r="AB15" s="49">
        <f t="shared" ca="1" si="23"/>
        <v>2.6418796530662592E-2</v>
      </c>
      <c r="AC15" s="49">
        <f t="shared" ca="1" si="23"/>
        <v>0.23786384574647479</v>
      </c>
      <c r="AD15" s="49">
        <f t="shared" ca="1" si="23"/>
        <v>0.66381806677268951</v>
      </c>
      <c r="AE15" s="49">
        <f t="shared" ca="1" si="23"/>
        <v>0.37693466888065008</v>
      </c>
      <c r="AF15" s="49">
        <f t="shared" ca="1" si="23"/>
        <v>0.77967131664396017</v>
      </c>
      <c r="AG15" s="49">
        <f t="shared" ca="1" si="23"/>
        <v>0.19096412363512349</v>
      </c>
      <c r="AH15" s="49">
        <f t="shared" ref="AH15:AQ16" ca="1" si="24">RAND()</f>
        <v>0.30247381911676774</v>
      </c>
      <c r="AI15" s="49">
        <f t="shared" ca="1" si="24"/>
        <v>0.93289342063847647</v>
      </c>
      <c r="AJ15" s="49">
        <f t="shared" ca="1" si="24"/>
        <v>0.13129019143059917</v>
      </c>
      <c r="AK15" s="49">
        <f t="shared" ca="1" si="24"/>
        <v>0.10102880466445052</v>
      </c>
      <c r="AL15" s="49">
        <f t="shared" ca="1" si="24"/>
        <v>0.74705375737911395</v>
      </c>
      <c r="AM15" s="49">
        <f t="shared" ca="1" si="24"/>
        <v>0.35173638224167481</v>
      </c>
      <c r="AN15" s="49">
        <f t="shared" ca="1" si="24"/>
        <v>0.44227397004056002</v>
      </c>
      <c r="AO15" s="49">
        <f t="shared" ca="1" si="24"/>
        <v>0.32883686040544369</v>
      </c>
      <c r="AP15" s="49">
        <f t="shared" ca="1" si="24"/>
        <v>0.6580922697917666</v>
      </c>
      <c r="AQ15" s="49">
        <f t="shared" ca="1" si="24"/>
        <v>0.61654316004937126</v>
      </c>
      <c r="AR15" s="49">
        <f t="shared" ref="AR15:BA16" ca="1" si="25">RAND()</f>
        <v>6.848780289531331E-2</v>
      </c>
      <c r="AS15" s="49">
        <f t="shared" ca="1" si="25"/>
        <v>0.98440679991024715</v>
      </c>
      <c r="AT15" s="49">
        <f t="shared" ca="1" si="25"/>
        <v>0.56908929131308794</v>
      </c>
      <c r="AU15" s="49">
        <f t="shared" ca="1" si="25"/>
        <v>0.32340887797649476</v>
      </c>
      <c r="AV15" s="49">
        <f t="shared" ca="1" si="25"/>
        <v>0.71634271919368753</v>
      </c>
      <c r="AW15" s="49">
        <f t="shared" ca="1" si="25"/>
        <v>0.49287026020585012</v>
      </c>
      <c r="AX15" s="49">
        <f t="shared" ca="1" si="25"/>
        <v>0.61935315980965622</v>
      </c>
      <c r="AY15" s="49">
        <f t="shared" ca="1" si="25"/>
        <v>0.48671826055578082</v>
      </c>
      <c r="AZ15" s="49">
        <f t="shared" ca="1" si="25"/>
        <v>0.83971119858639376</v>
      </c>
      <c r="BA15" s="49">
        <f t="shared" ca="1" si="25"/>
        <v>0.10937718019293552</v>
      </c>
      <c r="BB15" s="49">
        <f t="shared" ref="BB15:BK16" ca="1" si="26">RAND()</f>
        <v>0.27883844077976805</v>
      </c>
      <c r="BC15" s="49">
        <f t="shared" ca="1" si="26"/>
        <v>0.28185523369451249</v>
      </c>
      <c r="BD15" s="49">
        <f t="shared" ca="1" si="26"/>
        <v>1.0105292434098301E-3</v>
      </c>
      <c r="BE15" s="49">
        <f t="shared" ca="1" si="26"/>
        <v>0.2478392225172511</v>
      </c>
      <c r="BF15" s="49">
        <f t="shared" ca="1" si="26"/>
        <v>0.94789259507545154</v>
      </c>
      <c r="BG15" s="49">
        <f t="shared" ca="1" si="26"/>
        <v>3.5870715587300261E-2</v>
      </c>
      <c r="BH15" s="49">
        <f t="shared" ca="1" si="26"/>
        <v>0.45319893843572701</v>
      </c>
      <c r="BI15" s="49">
        <f t="shared" ca="1" si="26"/>
        <v>0.71797282512063865</v>
      </c>
      <c r="BJ15" s="49">
        <f t="shared" ca="1" si="26"/>
        <v>0.12923986374909302</v>
      </c>
      <c r="BK15" s="49">
        <f t="shared" ca="1" si="26"/>
        <v>0.97636874589702294</v>
      </c>
      <c r="BL15" s="49">
        <f t="shared" ref="BL15:BU16" ca="1" si="27">RAND()</f>
        <v>0.45519469308235183</v>
      </c>
      <c r="BM15" s="49">
        <f t="shared" ca="1" si="27"/>
        <v>0.83782518335404566</v>
      </c>
      <c r="BN15" s="49">
        <f t="shared" ca="1" si="27"/>
        <v>0.98807353754300697</v>
      </c>
      <c r="BO15" s="49">
        <f t="shared" ca="1" si="27"/>
        <v>0.33622092754649791</v>
      </c>
      <c r="BP15" s="49">
        <f t="shared" ca="1" si="27"/>
        <v>0.31659070317781557</v>
      </c>
      <c r="BQ15" s="49">
        <f t="shared" ca="1" si="27"/>
        <v>7.1108588153643182E-2</v>
      </c>
      <c r="BR15" s="49">
        <f t="shared" ca="1" si="27"/>
        <v>0.9097201836742379</v>
      </c>
      <c r="BS15" s="49">
        <f t="shared" ca="1" si="27"/>
        <v>0.38340894947567372</v>
      </c>
      <c r="BT15" s="49">
        <f t="shared" ca="1" si="27"/>
        <v>0.35904875220057408</v>
      </c>
      <c r="BU15" s="49">
        <f t="shared" ca="1" si="27"/>
        <v>0.67830715793761032</v>
      </c>
      <c r="BV15" s="49">
        <f t="shared" ref="BV15:CE16" ca="1" si="28">RAND()</f>
        <v>0.68454136909649876</v>
      </c>
      <c r="BW15" s="49">
        <f t="shared" ca="1" si="28"/>
        <v>0.41300410647474994</v>
      </c>
      <c r="BX15" s="49">
        <f t="shared" ca="1" si="28"/>
        <v>0.67925100344041378</v>
      </c>
      <c r="BY15" s="49">
        <f t="shared" ca="1" si="28"/>
        <v>0.51351990889336352</v>
      </c>
      <c r="BZ15" s="49">
        <f t="shared" ca="1" si="28"/>
        <v>0.83585212485745841</v>
      </c>
      <c r="CA15" s="49">
        <f t="shared" ca="1" si="28"/>
        <v>0.10426450391136244</v>
      </c>
      <c r="CB15" s="49">
        <f t="shared" ca="1" si="28"/>
        <v>0.11316876737804105</v>
      </c>
      <c r="CC15" s="49">
        <f t="shared" ca="1" si="28"/>
        <v>0.98241056727227971</v>
      </c>
      <c r="CD15" s="49">
        <f t="shared" ca="1" si="28"/>
        <v>0.13472269227694689</v>
      </c>
      <c r="CE15" s="49">
        <f t="shared" ca="1" si="28"/>
        <v>0.37844159168281633</v>
      </c>
      <c r="CF15" s="49">
        <f t="shared" ref="CF15:CO16" ca="1" si="29">RAND()</f>
        <v>0.81839841680748981</v>
      </c>
      <c r="CG15" s="49">
        <f t="shared" ca="1" si="29"/>
        <v>0.32512419156614503</v>
      </c>
      <c r="CH15" s="49">
        <f t="shared" ca="1" si="29"/>
        <v>0.46518534057324956</v>
      </c>
      <c r="CI15" s="49">
        <f t="shared" ca="1" si="29"/>
        <v>0.38356893064544495</v>
      </c>
      <c r="CJ15" s="49">
        <f t="shared" ca="1" si="29"/>
        <v>0.63587562788531171</v>
      </c>
      <c r="CK15" s="49">
        <f t="shared" ca="1" si="29"/>
        <v>0.21981150850380959</v>
      </c>
      <c r="CL15" s="49">
        <f t="shared" ca="1" si="29"/>
        <v>0.59969321550284893</v>
      </c>
      <c r="CM15" s="49">
        <f t="shared" ca="1" si="29"/>
        <v>0.47797879499343676</v>
      </c>
      <c r="CN15" s="49">
        <f t="shared" ca="1" si="29"/>
        <v>0.83508535989279919</v>
      </c>
      <c r="CO15" s="49">
        <f t="shared" ca="1" si="29"/>
        <v>0.56183741944112986</v>
      </c>
      <c r="CP15" s="49">
        <f t="shared" ref="CP15:CY16" ca="1" si="30">RAND()</f>
        <v>0.9346376361261628</v>
      </c>
      <c r="CQ15" s="49">
        <f t="shared" ca="1" si="30"/>
        <v>0.7154338055423769</v>
      </c>
      <c r="CR15" s="49">
        <f t="shared" ca="1" si="30"/>
        <v>0.17824403343693429</v>
      </c>
      <c r="CS15" s="49">
        <f t="shared" ca="1" si="30"/>
        <v>0.82044779134006973</v>
      </c>
      <c r="CT15" s="49">
        <f t="shared" ca="1" si="30"/>
        <v>0.83734252239585294</v>
      </c>
      <c r="CU15" s="49">
        <f t="shared" ca="1" si="30"/>
        <v>0.44591374064884715</v>
      </c>
      <c r="CV15" s="49">
        <f t="shared" ca="1" si="30"/>
        <v>0.36135654595865885</v>
      </c>
      <c r="CW15" s="49">
        <f t="shared" ca="1" si="30"/>
        <v>1.6704365886415551E-2</v>
      </c>
      <c r="CX15" s="49">
        <f t="shared" ca="1" si="30"/>
        <v>0.3162933597870351</v>
      </c>
      <c r="CY15" s="49">
        <f t="shared" ca="1" si="30"/>
        <v>0.95605443545067115</v>
      </c>
      <c r="CZ15" s="49">
        <f t="shared" ref="CZ15:DI16" ca="1" si="31">RAND()</f>
        <v>0.91206782806456899</v>
      </c>
      <c r="DA15" s="49">
        <f t="shared" ca="1" si="31"/>
        <v>0.47868718253543541</v>
      </c>
      <c r="DB15" s="49">
        <f t="shared" ca="1" si="31"/>
        <v>0.21415385797000186</v>
      </c>
      <c r="DC15" s="49">
        <f t="shared" ca="1" si="31"/>
        <v>0.11377963235899768</v>
      </c>
      <c r="DD15" s="49">
        <f t="shared" ca="1" si="31"/>
        <v>0.72187839353412975</v>
      </c>
      <c r="DE15" s="49">
        <f t="shared" ca="1" si="31"/>
        <v>0.53490640637752285</v>
      </c>
      <c r="DF15" s="49">
        <f t="shared" ca="1" si="31"/>
        <v>0.1770299531106222</v>
      </c>
      <c r="DG15" s="49">
        <f t="shared" ca="1" si="31"/>
        <v>0.80901041735718437</v>
      </c>
      <c r="DH15" s="49">
        <f t="shared" ca="1" si="31"/>
        <v>0.6947912850903244</v>
      </c>
      <c r="DI15" s="49">
        <f t="shared" ca="1" si="31"/>
        <v>0.61635597569923306</v>
      </c>
      <c r="DJ15" s="49">
        <f t="shared" ref="DJ15:DS16" ca="1" si="32">RAND()</f>
        <v>0.80309641741632498</v>
      </c>
      <c r="DK15" s="49">
        <f t="shared" ca="1" si="32"/>
        <v>0.35102549846274678</v>
      </c>
      <c r="DL15" s="49">
        <f t="shared" ca="1" si="32"/>
        <v>0.10531235029732022</v>
      </c>
      <c r="DM15" s="49">
        <f t="shared" ca="1" si="32"/>
        <v>0.30231430692015615</v>
      </c>
      <c r="DN15" s="49">
        <f t="shared" ca="1" si="32"/>
        <v>8.9416331081369593E-2</v>
      </c>
      <c r="DO15" s="49">
        <f t="shared" ca="1" si="32"/>
        <v>0.14353358375662395</v>
      </c>
      <c r="DP15" s="49">
        <f t="shared" ca="1" si="32"/>
        <v>0.19012967753654852</v>
      </c>
      <c r="DQ15" s="49">
        <f t="shared" ca="1" si="32"/>
        <v>0.68568426091335333</v>
      </c>
      <c r="DR15" s="49">
        <f t="shared" ca="1" si="32"/>
        <v>0.14958557424384711</v>
      </c>
      <c r="DS15" s="49">
        <f t="shared" ca="1" si="32"/>
        <v>0.45318626133774331</v>
      </c>
      <c r="DT15" s="49">
        <f t="shared" ref="DT15:EE16" ca="1" si="33">RAND()</f>
        <v>5.8142802446928155E-2</v>
      </c>
      <c r="DU15" s="49">
        <f t="shared" ca="1" si="33"/>
        <v>0.31659897455624508</v>
      </c>
      <c r="DV15" s="49">
        <f t="shared" ca="1" si="33"/>
        <v>0.46940148746121002</v>
      </c>
      <c r="DW15" s="49">
        <f t="shared" ca="1" si="33"/>
        <v>0.86032638976826514</v>
      </c>
      <c r="DX15" s="49">
        <f t="shared" ca="1" si="33"/>
        <v>0.39400052135347563</v>
      </c>
      <c r="DY15" s="49">
        <f t="shared" ca="1" si="33"/>
        <v>0.53162981655307662</v>
      </c>
      <c r="DZ15" s="49">
        <f t="shared" ca="1" si="33"/>
        <v>0.6812702185616214</v>
      </c>
      <c r="EA15" s="49">
        <f t="shared" ca="1" si="33"/>
        <v>0.37786258465991351</v>
      </c>
      <c r="EB15" s="49">
        <f t="shared" ca="1" si="33"/>
        <v>0.87916967546834257</v>
      </c>
      <c r="EC15" s="49">
        <f t="shared" ca="1" si="33"/>
        <v>0.72841102276707126</v>
      </c>
      <c r="ED15" s="49">
        <f t="shared" ca="1" si="33"/>
        <v>0.74413555986411251</v>
      </c>
      <c r="EE15" s="49">
        <f t="shared" ca="1" si="33"/>
        <v>0.73238766520663456</v>
      </c>
    </row>
    <row r="16" spans="1:138" ht="29.15" x14ac:dyDescent="0.4">
      <c r="A16" s="29" t="str">
        <f t="shared" si="7"/>
        <v>KPI ID 9 %</v>
      </c>
      <c r="B16" s="47" t="s">
        <v>59</v>
      </c>
      <c r="C16" s="48" t="s">
        <v>11</v>
      </c>
      <c r="D16" s="49">
        <f t="shared" ca="1" si="21"/>
        <v>0.8709044123390145</v>
      </c>
      <c r="E16" s="49">
        <f t="shared" ca="1" si="21"/>
        <v>0.71062805167913301</v>
      </c>
      <c r="F16" s="49">
        <f t="shared" ca="1" si="21"/>
        <v>0.43161248056018764</v>
      </c>
      <c r="G16" s="49">
        <f t="shared" ca="1" si="21"/>
        <v>0.21964352093835704</v>
      </c>
      <c r="H16" s="49">
        <f t="shared" ca="1" si="21"/>
        <v>0.95383870569098095</v>
      </c>
      <c r="I16" s="49">
        <f t="shared" ca="1" si="21"/>
        <v>0.8592192543410806</v>
      </c>
      <c r="J16" s="49">
        <f t="shared" ca="1" si="21"/>
        <v>0.15603270835210159</v>
      </c>
      <c r="K16" s="49">
        <f t="shared" ca="1" si="21"/>
        <v>0.72446579168725767</v>
      </c>
      <c r="L16" s="49">
        <f t="shared" ca="1" si="21"/>
        <v>0.13748843587035309</v>
      </c>
      <c r="M16" s="49">
        <f t="shared" ca="1" si="21"/>
        <v>0.19903589247223574</v>
      </c>
      <c r="N16" s="49">
        <f t="shared" ca="1" si="22"/>
        <v>0.18797501098397751</v>
      </c>
      <c r="O16" s="49">
        <f t="shared" ca="1" si="22"/>
        <v>0.82068649155856943</v>
      </c>
      <c r="P16" s="49">
        <f t="shared" ca="1" si="22"/>
        <v>0.623754847299409</v>
      </c>
      <c r="Q16" s="49">
        <f t="shared" ca="1" si="22"/>
        <v>0.89757349357428884</v>
      </c>
      <c r="R16" s="49">
        <f t="shared" ca="1" si="22"/>
        <v>0.29060861806742699</v>
      </c>
      <c r="S16" s="49">
        <f t="shared" ca="1" si="22"/>
        <v>0.36768144750307741</v>
      </c>
      <c r="T16" s="49">
        <f t="shared" ca="1" si="22"/>
        <v>0.95961331688142881</v>
      </c>
      <c r="U16" s="49">
        <f t="shared" ca="1" si="22"/>
        <v>0.75869093595992221</v>
      </c>
      <c r="V16" s="49">
        <f t="shared" ca="1" si="22"/>
        <v>0.70006192404081813</v>
      </c>
      <c r="W16" s="49">
        <f t="shared" ca="1" si="22"/>
        <v>0.17596183480099159</v>
      </c>
      <c r="X16" s="49">
        <f t="shared" ca="1" si="23"/>
        <v>0.90575143382034584</v>
      </c>
      <c r="Y16" s="49">
        <f t="shared" ca="1" si="23"/>
        <v>0.99526457196081453</v>
      </c>
      <c r="Z16" s="49">
        <f t="shared" ca="1" si="23"/>
        <v>0.87759357526139303</v>
      </c>
      <c r="AA16" s="49">
        <f t="shared" ca="1" si="23"/>
        <v>0.19941090116121529</v>
      </c>
      <c r="AB16" s="49">
        <f t="shared" ca="1" si="23"/>
        <v>0.57698004007543369</v>
      </c>
      <c r="AC16" s="49">
        <f t="shared" ca="1" si="23"/>
        <v>0.84229838537207302</v>
      </c>
      <c r="AD16" s="49">
        <f t="shared" ca="1" si="23"/>
        <v>0.13460521524642588</v>
      </c>
      <c r="AE16" s="49">
        <f t="shared" ca="1" si="23"/>
        <v>0.86701868249070013</v>
      </c>
      <c r="AF16" s="49">
        <f t="shared" ca="1" si="23"/>
        <v>0.2712640490844086</v>
      </c>
      <c r="AG16" s="49">
        <f t="shared" ca="1" si="23"/>
        <v>0.48923530426741468</v>
      </c>
      <c r="AH16" s="49">
        <f t="shared" ca="1" si="24"/>
        <v>0.25074161299112729</v>
      </c>
      <c r="AI16" s="49">
        <f t="shared" ca="1" si="24"/>
        <v>0.51201513375518104</v>
      </c>
      <c r="AJ16" s="49">
        <f t="shared" ca="1" si="24"/>
        <v>0.84056059152534279</v>
      </c>
      <c r="AK16" s="49">
        <f t="shared" ca="1" si="24"/>
        <v>0.7954119737067501</v>
      </c>
      <c r="AL16" s="49">
        <f t="shared" ca="1" si="24"/>
        <v>0.95264851251881277</v>
      </c>
      <c r="AM16" s="49">
        <f t="shared" ca="1" si="24"/>
        <v>0.49170325006996274</v>
      </c>
      <c r="AN16" s="49">
        <f t="shared" ca="1" si="24"/>
        <v>6.6816138692381122E-2</v>
      </c>
      <c r="AO16" s="49">
        <f t="shared" ca="1" si="24"/>
        <v>5.3082302668973402E-2</v>
      </c>
      <c r="AP16" s="49">
        <f t="shared" ca="1" si="24"/>
        <v>0.87268044789444943</v>
      </c>
      <c r="AQ16" s="49">
        <f t="shared" ca="1" si="24"/>
        <v>0.23595491886225772</v>
      </c>
      <c r="AR16" s="49">
        <f t="shared" ca="1" si="25"/>
        <v>0.33915343416414978</v>
      </c>
      <c r="AS16" s="49">
        <f t="shared" ca="1" si="25"/>
        <v>0.38021318173561292</v>
      </c>
      <c r="AT16" s="49">
        <f t="shared" ca="1" si="25"/>
        <v>0.85245997758645975</v>
      </c>
      <c r="AU16" s="49">
        <f t="shared" ca="1" si="25"/>
        <v>0.73878764987552681</v>
      </c>
      <c r="AV16" s="49">
        <f t="shared" ca="1" si="25"/>
        <v>0.51113327263123554</v>
      </c>
      <c r="AW16" s="49">
        <f t="shared" ca="1" si="25"/>
        <v>0.40154229173511569</v>
      </c>
      <c r="AX16" s="49">
        <f t="shared" ca="1" si="25"/>
        <v>0.34079123800659827</v>
      </c>
      <c r="AY16" s="49">
        <f t="shared" ca="1" si="25"/>
        <v>0.57269442471081133</v>
      </c>
      <c r="AZ16" s="49">
        <f t="shared" ca="1" si="25"/>
        <v>0.199975113654981</v>
      </c>
      <c r="BA16" s="49">
        <f t="shared" ca="1" si="25"/>
        <v>2.8845354717904836E-2</v>
      </c>
      <c r="BB16" s="49">
        <f t="shared" ca="1" si="26"/>
        <v>0.45282204058433095</v>
      </c>
      <c r="BC16" s="49">
        <f t="shared" ca="1" si="26"/>
        <v>0.25437832965026863</v>
      </c>
      <c r="BD16" s="49">
        <f t="shared" ca="1" si="26"/>
        <v>0.61991262017201776</v>
      </c>
      <c r="BE16" s="49">
        <f t="shared" ca="1" si="26"/>
        <v>0.64578281574060925</v>
      </c>
      <c r="BF16" s="49">
        <f t="shared" ca="1" si="26"/>
        <v>0.71494387943333426</v>
      </c>
      <c r="BG16" s="49">
        <f t="shared" ca="1" si="26"/>
        <v>0.92387132183401788</v>
      </c>
      <c r="BH16" s="49">
        <f t="shared" ca="1" si="26"/>
        <v>0.70758302282322882</v>
      </c>
      <c r="BI16" s="49">
        <f t="shared" ca="1" si="26"/>
        <v>0.30584379400150741</v>
      </c>
      <c r="BJ16" s="49">
        <f t="shared" ca="1" si="26"/>
        <v>0.21597975313841866</v>
      </c>
      <c r="BK16" s="49">
        <f t="shared" ca="1" si="26"/>
        <v>0.33717536955539507</v>
      </c>
      <c r="BL16" s="49">
        <f t="shared" ca="1" si="27"/>
        <v>0.3118338334460633</v>
      </c>
      <c r="BM16" s="49">
        <f t="shared" ca="1" si="27"/>
        <v>0.11434281932757839</v>
      </c>
      <c r="BN16" s="49">
        <f t="shared" ca="1" si="27"/>
        <v>0.219722604263062</v>
      </c>
      <c r="BO16" s="49">
        <f t="shared" ca="1" si="27"/>
        <v>0.30796588633988287</v>
      </c>
      <c r="BP16" s="49">
        <f t="shared" ca="1" si="27"/>
        <v>0.83319005308528726</v>
      </c>
      <c r="BQ16" s="49">
        <f t="shared" ca="1" si="27"/>
        <v>1.8611411688316926E-2</v>
      </c>
      <c r="BR16" s="49">
        <f t="shared" ca="1" si="27"/>
        <v>0.1515467760385566</v>
      </c>
      <c r="BS16" s="49">
        <f t="shared" ca="1" si="27"/>
        <v>0.29571326669303577</v>
      </c>
      <c r="BT16" s="49">
        <f t="shared" ca="1" si="27"/>
        <v>0.96107357771319735</v>
      </c>
      <c r="BU16" s="49">
        <f t="shared" ca="1" si="27"/>
        <v>0.37568916547019249</v>
      </c>
      <c r="BV16" s="49">
        <f t="shared" ca="1" si="28"/>
        <v>0.88654413274875099</v>
      </c>
      <c r="BW16" s="49">
        <f t="shared" ca="1" si="28"/>
        <v>0.61873372041333075</v>
      </c>
      <c r="BX16" s="49">
        <f t="shared" ca="1" si="28"/>
        <v>0.19488230766273718</v>
      </c>
      <c r="BY16" s="49">
        <f t="shared" ca="1" si="28"/>
        <v>5.9001361637953553E-2</v>
      </c>
      <c r="BZ16" s="49">
        <f t="shared" ca="1" si="28"/>
        <v>0.23016573580417599</v>
      </c>
      <c r="CA16" s="49">
        <f t="shared" ca="1" si="28"/>
        <v>0.54437261413693461</v>
      </c>
      <c r="CB16" s="49">
        <f t="shared" ca="1" si="28"/>
        <v>0.60058408161609189</v>
      </c>
      <c r="CC16" s="49">
        <f t="shared" ca="1" si="28"/>
        <v>0.9867990363289072</v>
      </c>
      <c r="CD16" s="49">
        <f t="shared" ca="1" si="28"/>
        <v>0.87234527547612151</v>
      </c>
      <c r="CE16" s="49">
        <f t="shared" ca="1" si="28"/>
        <v>0.68141032625453157</v>
      </c>
      <c r="CF16" s="49">
        <f t="shared" ca="1" si="29"/>
        <v>0.80060533968181269</v>
      </c>
      <c r="CG16" s="49">
        <f t="shared" ca="1" si="29"/>
        <v>0.36714480467305122</v>
      </c>
      <c r="CH16" s="49">
        <f t="shared" ca="1" si="29"/>
        <v>0.23948795743929874</v>
      </c>
      <c r="CI16" s="49">
        <f t="shared" ca="1" si="29"/>
        <v>0.22733006449062232</v>
      </c>
      <c r="CJ16" s="49">
        <f t="shared" ca="1" si="29"/>
        <v>0.53409144906702843</v>
      </c>
      <c r="CK16" s="49">
        <f t="shared" ca="1" si="29"/>
        <v>0.43718732071272459</v>
      </c>
      <c r="CL16" s="49">
        <f t="shared" ca="1" si="29"/>
        <v>0.81101807869499454</v>
      </c>
      <c r="CM16" s="49">
        <f t="shared" ca="1" si="29"/>
        <v>0.86307832587295574</v>
      </c>
      <c r="CN16" s="49">
        <f t="shared" ca="1" si="29"/>
        <v>0.36141205123298425</v>
      </c>
      <c r="CO16" s="49">
        <f t="shared" ca="1" si="29"/>
        <v>0.19147855120668855</v>
      </c>
      <c r="CP16" s="49">
        <f t="shared" ca="1" si="30"/>
        <v>0.45401817189483795</v>
      </c>
      <c r="CQ16" s="49">
        <f t="shared" ca="1" si="30"/>
        <v>0.95461783992620119</v>
      </c>
      <c r="CR16" s="49">
        <f t="shared" ca="1" si="30"/>
        <v>0.95162672087236888</v>
      </c>
      <c r="CS16" s="49">
        <f t="shared" ca="1" si="30"/>
        <v>0.31264524592093101</v>
      </c>
      <c r="CT16" s="49">
        <f t="shared" ca="1" si="30"/>
        <v>8.3104584213811061E-2</v>
      </c>
      <c r="CU16" s="49">
        <f t="shared" ca="1" si="30"/>
        <v>0.75603903519221238</v>
      </c>
      <c r="CV16" s="49">
        <f t="shared" ca="1" si="30"/>
        <v>2.9990726117014366E-2</v>
      </c>
      <c r="CW16" s="49">
        <f t="shared" ca="1" si="30"/>
        <v>0.50188285086178563</v>
      </c>
      <c r="CX16" s="49">
        <f t="shared" ca="1" si="30"/>
        <v>0.76691734409679913</v>
      </c>
      <c r="CY16" s="49">
        <f t="shared" ca="1" si="30"/>
        <v>0.62828252248561611</v>
      </c>
      <c r="CZ16" s="49">
        <f t="shared" ca="1" si="31"/>
        <v>0.74171784329859702</v>
      </c>
      <c r="DA16" s="49">
        <f t="shared" ca="1" si="31"/>
        <v>0.70054862566895781</v>
      </c>
      <c r="DB16" s="49">
        <f t="shared" ca="1" si="31"/>
        <v>0.16218989188532928</v>
      </c>
      <c r="DC16" s="49">
        <f t="shared" ca="1" si="31"/>
        <v>0.96996166134530226</v>
      </c>
      <c r="DD16" s="49">
        <f t="shared" ca="1" si="31"/>
        <v>0.77127152207725891</v>
      </c>
      <c r="DE16" s="49">
        <f t="shared" ca="1" si="31"/>
        <v>0.44019676343449365</v>
      </c>
      <c r="DF16" s="49">
        <f t="shared" ca="1" si="31"/>
        <v>0.65378632373539802</v>
      </c>
      <c r="DG16" s="49">
        <f t="shared" ca="1" si="31"/>
        <v>0.35346857204391502</v>
      </c>
      <c r="DH16" s="49">
        <f t="shared" ca="1" si="31"/>
        <v>0.89551223140193981</v>
      </c>
      <c r="DI16" s="49">
        <f t="shared" ca="1" si="31"/>
        <v>0.77380916089119822</v>
      </c>
      <c r="DJ16" s="49">
        <f t="shared" ca="1" si="32"/>
        <v>0.67766132251731692</v>
      </c>
      <c r="DK16" s="49">
        <f t="shared" ca="1" si="32"/>
        <v>0.80802610959407783</v>
      </c>
      <c r="DL16" s="49">
        <f t="shared" ca="1" si="32"/>
        <v>0.30972344723919354</v>
      </c>
      <c r="DM16" s="49">
        <f t="shared" ca="1" si="32"/>
        <v>0.81557197471821441</v>
      </c>
      <c r="DN16" s="49">
        <f t="shared" ca="1" si="32"/>
        <v>1.8737848626837028E-2</v>
      </c>
      <c r="DO16" s="49">
        <f t="shared" ca="1" si="32"/>
        <v>0.30498509335010393</v>
      </c>
      <c r="DP16" s="49">
        <f t="shared" ca="1" si="32"/>
        <v>0.62410527912441549</v>
      </c>
      <c r="DQ16" s="49">
        <f t="shared" ca="1" si="32"/>
        <v>0.729015998086745</v>
      </c>
      <c r="DR16" s="49">
        <f t="shared" ca="1" si="32"/>
        <v>0.2789802058271692</v>
      </c>
      <c r="DS16" s="49">
        <f t="shared" ca="1" si="32"/>
        <v>3.3308976625651021E-2</v>
      </c>
      <c r="DT16" s="49">
        <f t="shared" ca="1" si="33"/>
        <v>0.90354033139038936</v>
      </c>
      <c r="DU16" s="49">
        <f t="shared" ca="1" si="33"/>
        <v>0.30407508284811713</v>
      </c>
      <c r="DV16" s="49">
        <f t="shared" ca="1" si="33"/>
        <v>0.53624398823946029</v>
      </c>
      <c r="DW16" s="49">
        <f t="shared" ca="1" si="33"/>
        <v>0.56063929771016263</v>
      </c>
      <c r="DX16" s="49">
        <f t="shared" ca="1" si="33"/>
        <v>0.26706232847879208</v>
      </c>
      <c r="DY16" s="49">
        <f t="shared" ca="1" si="33"/>
        <v>0.27010152723950354</v>
      </c>
      <c r="DZ16" s="49">
        <f t="shared" ca="1" si="33"/>
        <v>0.83847972105082957</v>
      </c>
      <c r="EA16" s="49">
        <f t="shared" ca="1" si="33"/>
        <v>0.22045246757712644</v>
      </c>
      <c r="EB16" s="49">
        <f t="shared" ca="1" si="33"/>
        <v>0.85523832549698287</v>
      </c>
      <c r="EC16" s="49">
        <f t="shared" ca="1" si="33"/>
        <v>3.8458166506771585E-2</v>
      </c>
      <c r="ED16" s="49">
        <f t="shared" ca="1" si="33"/>
        <v>0.43385171444458959</v>
      </c>
      <c r="EE16" s="49">
        <f t="shared" ca="1" si="33"/>
        <v>0.39450750100601506</v>
      </c>
    </row>
    <row r="17" spans="1:135" x14ac:dyDescent="0.4">
      <c r="A17" s="29" t="str">
        <f t="shared" si="7"/>
        <v>KPI ID 10</v>
      </c>
      <c r="B17" s="47" t="s">
        <v>60</v>
      </c>
      <c r="C17" s="48" t="s">
        <v>12</v>
      </c>
      <c r="D17" s="49">
        <f t="shared" ref="D17:AI17" ca="1" si="34">RANDBETWEEN(1, 100)</f>
        <v>6</v>
      </c>
      <c r="E17" s="49">
        <f t="shared" ca="1" si="34"/>
        <v>80</v>
      </c>
      <c r="F17" s="49">
        <f t="shared" ca="1" si="34"/>
        <v>4</v>
      </c>
      <c r="G17" s="49">
        <f t="shared" ca="1" si="34"/>
        <v>92</v>
      </c>
      <c r="H17" s="49">
        <f t="shared" ca="1" si="34"/>
        <v>92</v>
      </c>
      <c r="I17" s="49">
        <f t="shared" ca="1" si="34"/>
        <v>63</v>
      </c>
      <c r="J17" s="49">
        <f t="shared" ca="1" si="34"/>
        <v>15</v>
      </c>
      <c r="K17" s="49">
        <f t="shared" ca="1" si="34"/>
        <v>99</v>
      </c>
      <c r="L17" s="49">
        <f t="shared" ca="1" si="34"/>
        <v>30</v>
      </c>
      <c r="M17" s="49">
        <f t="shared" ca="1" si="34"/>
        <v>19</v>
      </c>
      <c r="N17" s="49">
        <f t="shared" ca="1" si="34"/>
        <v>93</v>
      </c>
      <c r="O17" s="49">
        <f t="shared" ca="1" si="34"/>
        <v>33</v>
      </c>
      <c r="P17" s="49">
        <f t="shared" ca="1" si="34"/>
        <v>12</v>
      </c>
      <c r="Q17" s="49">
        <f t="shared" ca="1" si="34"/>
        <v>89</v>
      </c>
      <c r="R17" s="49">
        <f t="shared" ca="1" si="34"/>
        <v>18</v>
      </c>
      <c r="S17" s="49">
        <f t="shared" ca="1" si="34"/>
        <v>3</v>
      </c>
      <c r="T17" s="49">
        <f t="shared" ca="1" si="34"/>
        <v>22</v>
      </c>
      <c r="U17" s="49">
        <f t="shared" ca="1" si="34"/>
        <v>81</v>
      </c>
      <c r="V17" s="49">
        <f t="shared" ca="1" si="34"/>
        <v>75</v>
      </c>
      <c r="W17" s="49">
        <f t="shared" ca="1" si="34"/>
        <v>13</v>
      </c>
      <c r="X17" s="49">
        <f t="shared" ca="1" si="34"/>
        <v>85</v>
      </c>
      <c r="Y17" s="49">
        <f t="shared" ca="1" si="34"/>
        <v>5</v>
      </c>
      <c r="Z17" s="49">
        <f t="shared" ca="1" si="34"/>
        <v>80</v>
      </c>
      <c r="AA17" s="49">
        <f t="shared" ca="1" si="34"/>
        <v>44</v>
      </c>
      <c r="AB17" s="49">
        <f t="shared" ca="1" si="34"/>
        <v>61</v>
      </c>
      <c r="AC17" s="49">
        <f t="shared" ca="1" si="34"/>
        <v>6</v>
      </c>
      <c r="AD17" s="49">
        <f t="shared" ca="1" si="34"/>
        <v>50</v>
      </c>
      <c r="AE17" s="49">
        <f t="shared" ca="1" si="34"/>
        <v>51</v>
      </c>
      <c r="AF17" s="49">
        <f t="shared" ca="1" si="34"/>
        <v>23</v>
      </c>
      <c r="AG17" s="49">
        <f t="shared" ca="1" si="34"/>
        <v>22</v>
      </c>
      <c r="AH17" s="49">
        <f t="shared" ca="1" si="34"/>
        <v>37</v>
      </c>
      <c r="AI17" s="49">
        <f t="shared" ca="1" si="34"/>
        <v>100</v>
      </c>
      <c r="AJ17" s="49">
        <f t="shared" ref="AJ17:BO17" ca="1" si="35">RANDBETWEEN(1, 100)</f>
        <v>94</v>
      </c>
      <c r="AK17" s="49">
        <f t="shared" ca="1" si="35"/>
        <v>19</v>
      </c>
      <c r="AL17" s="49">
        <f t="shared" ca="1" si="35"/>
        <v>74</v>
      </c>
      <c r="AM17" s="49">
        <f t="shared" ca="1" si="35"/>
        <v>95</v>
      </c>
      <c r="AN17" s="49">
        <f t="shared" ca="1" si="35"/>
        <v>70</v>
      </c>
      <c r="AO17" s="49">
        <f t="shared" ca="1" si="35"/>
        <v>13</v>
      </c>
      <c r="AP17" s="49">
        <f t="shared" ca="1" si="35"/>
        <v>42</v>
      </c>
      <c r="AQ17" s="49">
        <f t="shared" ca="1" si="35"/>
        <v>50</v>
      </c>
      <c r="AR17" s="49">
        <f t="shared" ca="1" si="35"/>
        <v>10</v>
      </c>
      <c r="AS17" s="49">
        <f t="shared" ca="1" si="35"/>
        <v>48</v>
      </c>
      <c r="AT17" s="49">
        <f t="shared" ca="1" si="35"/>
        <v>6</v>
      </c>
      <c r="AU17" s="49">
        <f t="shared" ca="1" si="35"/>
        <v>54</v>
      </c>
      <c r="AV17" s="49">
        <f t="shared" ca="1" si="35"/>
        <v>62</v>
      </c>
      <c r="AW17" s="49">
        <f t="shared" ca="1" si="35"/>
        <v>5</v>
      </c>
      <c r="AX17" s="49">
        <f t="shared" ca="1" si="35"/>
        <v>32</v>
      </c>
      <c r="AY17" s="49">
        <f t="shared" ca="1" si="35"/>
        <v>26</v>
      </c>
      <c r="AZ17" s="49">
        <f t="shared" ca="1" si="35"/>
        <v>41</v>
      </c>
      <c r="BA17" s="49">
        <f t="shared" ca="1" si="35"/>
        <v>94</v>
      </c>
      <c r="BB17" s="49">
        <f t="shared" ca="1" si="35"/>
        <v>57</v>
      </c>
      <c r="BC17" s="49">
        <f t="shared" ca="1" si="35"/>
        <v>61</v>
      </c>
      <c r="BD17" s="49">
        <f t="shared" ca="1" si="35"/>
        <v>91</v>
      </c>
      <c r="BE17" s="49">
        <f t="shared" ca="1" si="35"/>
        <v>22</v>
      </c>
      <c r="BF17" s="49">
        <f t="shared" ca="1" si="35"/>
        <v>19</v>
      </c>
      <c r="BG17" s="49">
        <f t="shared" ca="1" si="35"/>
        <v>5</v>
      </c>
      <c r="BH17" s="49">
        <f t="shared" ca="1" si="35"/>
        <v>25</v>
      </c>
      <c r="BI17" s="49">
        <f t="shared" ca="1" si="35"/>
        <v>6</v>
      </c>
      <c r="BJ17" s="49">
        <f t="shared" ca="1" si="35"/>
        <v>60</v>
      </c>
      <c r="BK17" s="49">
        <f t="shared" ca="1" si="35"/>
        <v>74</v>
      </c>
      <c r="BL17" s="49">
        <f t="shared" ca="1" si="35"/>
        <v>43</v>
      </c>
      <c r="BM17" s="49">
        <f t="shared" ca="1" si="35"/>
        <v>4</v>
      </c>
      <c r="BN17" s="49">
        <f t="shared" ca="1" si="35"/>
        <v>3</v>
      </c>
      <c r="BO17" s="49">
        <f t="shared" ca="1" si="35"/>
        <v>59</v>
      </c>
      <c r="BP17" s="49">
        <f t="shared" ref="BP17:CU17" ca="1" si="36">RANDBETWEEN(1, 100)</f>
        <v>13</v>
      </c>
      <c r="BQ17" s="49">
        <f t="shared" ca="1" si="36"/>
        <v>46</v>
      </c>
      <c r="BR17" s="49">
        <f t="shared" ca="1" si="36"/>
        <v>91</v>
      </c>
      <c r="BS17" s="49">
        <f t="shared" ca="1" si="36"/>
        <v>92</v>
      </c>
      <c r="BT17" s="49">
        <f t="shared" ca="1" si="36"/>
        <v>59</v>
      </c>
      <c r="BU17" s="49">
        <f t="shared" ca="1" si="36"/>
        <v>43</v>
      </c>
      <c r="BV17" s="49">
        <f t="shared" ca="1" si="36"/>
        <v>42</v>
      </c>
      <c r="BW17" s="49">
        <f t="shared" ca="1" si="36"/>
        <v>46</v>
      </c>
      <c r="BX17" s="49">
        <f t="shared" ca="1" si="36"/>
        <v>22</v>
      </c>
      <c r="BY17" s="49">
        <f t="shared" ca="1" si="36"/>
        <v>44</v>
      </c>
      <c r="BZ17" s="49">
        <f t="shared" ca="1" si="36"/>
        <v>75</v>
      </c>
      <c r="CA17" s="49">
        <f t="shared" ca="1" si="36"/>
        <v>77</v>
      </c>
      <c r="CB17" s="49">
        <f t="shared" ca="1" si="36"/>
        <v>34</v>
      </c>
      <c r="CC17" s="49">
        <f t="shared" ca="1" si="36"/>
        <v>60</v>
      </c>
      <c r="CD17" s="49">
        <f t="shared" ca="1" si="36"/>
        <v>75</v>
      </c>
      <c r="CE17" s="49">
        <f t="shared" ca="1" si="36"/>
        <v>72</v>
      </c>
      <c r="CF17" s="49">
        <f t="shared" ca="1" si="36"/>
        <v>23</v>
      </c>
      <c r="CG17" s="49">
        <f t="shared" ca="1" si="36"/>
        <v>74</v>
      </c>
      <c r="CH17" s="49">
        <f t="shared" ca="1" si="36"/>
        <v>38</v>
      </c>
      <c r="CI17" s="49">
        <f t="shared" ca="1" si="36"/>
        <v>87</v>
      </c>
      <c r="CJ17" s="49">
        <f t="shared" ca="1" si="36"/>
        <v>29</v>
      </c>
      <c r="CK17" s="49">
        <f t="shared" ca="1" si="36"/>
        <v>94</v>
      </c>
      <c r="CL17" s="49">
        <f t="shared" ca="1" si="36"/>
        <v>33</v>
      </c>
      <c r="CM17" s="49">
        <f t="shared" ca="1" si="36"/>
        <v>26</v>
      </c>
      <c r="CN17" s="49">
        <f t="shared" ca="1" si="36"/>
        <v>72</v>
      </c>
      <c r="CO17" s="49">
        <f t="shared" ca="1" si="36"/>
        <v>40</v>
      </c>
      <c r="CP17" s="49">
        <f t="shared" ca="1" si="36"/>
        <v>55</v>
      </c>
      <c r="CQ17" s="49">
        <f t="shared" ca="1" si="36"/>
        <v>9</v>
      </c>
      <c r="CR17" s="49">
        <f t="shared" ca="1" si="36"/>
        <v>47</v>
      </c>
      <c r="CS17" s="49">
        <f t="shared" ca="1" si="36"/>
        <v>27</v>
      </c>
      <c r="CT17" s="49">
        <f t="shared" ca="1" si="36"/>
        <v>39</v>
      </c>
      <c r="CU17" s="49">
        <f t="shared" ca="1" si="36"/>
        <v>66</v>
      </c>
      <c r="CV17" s="49">
        <f t="shared" ref="CV17:EE17" ca="1" si="37">RANDBETWEEN(1, 100)</f>
        <v>13</v>
      </c>
      <c r="CW17" s="49">
        <f t="shared" ca="1" si="37"/>
        <v>42</v>
      </c>
      <c r="CX17" s="49">
        <f t="shared" ca="1" si="37"/>
        <v>21</v>
      </c>
      <c r="CY17" s="49">
        <f t="shared" ca="1" si="37"/>
        <v>6</v>
      </c>
      <c r="CZ17" s="49">
        <f t="shared" ca="1" si="37"/>
        <v>81</v>
      </c>
      <c r="DA17" s="49">
        <f t="shared" ca="1" si="37"/>
        <v>88</v>
      </c>
      <c r="DB17" s="49">
        <f t="shared" ca="1" si="37"/>
        <v>71</v>
      </c>
      <c r="DC17" s="49">
        <f t="shared" ca="1" si="37"/>
        <v>98</v>
      </c>
      <c r="DD17" s="49">
        <f t="shared" ca="1" si="37"/>
        <v>42</v>
      </c>
      <c r="DE17" s="49">
        <f t="shared" ca="1" si="37"/>
        <v>43</v>
      </c>
      <c r="DF17" s="49">
        <f t="shared" ca="1" si="37"/>
        <v>92</v>
      </c>
      <c r="DG17" s="49">
        <f t="shared" ca="1" si="37"/>
        <v>97</v>
      </c>
      <c r="DH17" s="49">
        <f t="shared" ca="1" si="37"/>
        <v>33</v>
      </c>
      <c r="DI17" s="49">
        <f t="shared" ca="1" si="37"/>
        <v>62</v>
      </c>
      <c r="DJ17" s="49">
        <f t="shared" ca="1" si="37"/>
        <v>78</v>
      </c>
      <c r="DK17" s="49">
        <f t="shared" ca="1" si="37"/>
        <v>76</v>
      </c>
      <c r="DL17" s="49">
        <f t="shared" ca="1" si="37"/>
        <v>100</v>
      </c>
      <c r="DM17" s="49">
        <f t="shared" ca="1" si="37"/>
        <v>93</v>
      </c>
      <c r="DN17" s="49">
        <f t="shared" ca="1" si="37"/>
        <v>12</v>
      </c>
      <c r="DO17" s="49">
        <f t="shared" ca="1" si="37"/>
        <v>43</v>
      </c>
      <c r="DP17" s="49">
        <f t="shared" ca="1" si="37"/>
        <v>6</v>
      </c>
      <c r="DQ17" s="49">
        <f t="shared" ca="1" si="37"/>
        <v>8</v>
      </c>
      <c r="DR17" s="49">
        <f t="shared" ca="1" si="37"/>
        <v>100</v>
      </c>
      <c r="DS17" s="49">
        <f t="shared" ca="1" si="37"/>
        <v>92</v>
      </c>
      <c r="DT17" s="49">
        <f t="shared" ca="1" si="37"/>
        <v>32</v>
      </c>
      <c r="DU17" s="49">
        <f t="shared" ca="1" si="37"/>
        <v>56</v>
      </c>
      <c r="DV17" s="49">
        <f t="shared" ca="1" si="37"/>
        <v>4</v>
      </c>
      <c r="DW17" s="49">
        <f t="shared" ca="1" si="37"/>
        <v>90</v>
      </c>
      <c r="DX17" s="49">
        <f t="shared" ca="1" si="37"/>
        <v>3</v>
      </c>
      <c r="DY17" s="49">
        <f t="shared" ca="1" si="37"/>
        <v>31</v>
      </c>
      <c r="DZ17" s="49">
        <f t="shared" ca="1" si="37"/>
        <v>77</v>
      </c>
      <c r="EA17" s="49">
        <f t="shared" ca="1" si="37"/>
        <v>66</v>
      </c>
      <c r="EB17" s="49">
        <f t="shared" ca="1" si="37"/>
        <v>19</v>
      </c>
      <c r="EC17" s="49">
        <f t="shared" ca="1" si="37"/>
        <v>66</v>
      </c>
      <c r="ED17" s="49">
        <f t="shared" ca="1" si="37"/>
        <v>32</v>
      </c>
      <c r="EE17" s="49">
        <f t="shared" ca="1" si="37"/>
        <v>23</v>
      </c>
    </row>
    <row r="18" spans="1:135" x14ac:dyDescent="0.4">
      <c r="A18" s="29" t="str">
        <f t="shared" si="7"/>
        <v>KPI ID 11</v>
      </c>
      <c r="B18" s="47" t="s">
        <v>61</v>
      </c>
      <c r="C18" s="48" t="s">
        <v>13</v>
      </c>
      <c r="D18" s="49">
        <f t="shared" ref="D18:AI18" ca="1" si="38">RANDBETWEEN(20, 45)</f>
        <v>23</v>
      </c>
      <c r="E18" s="49">
        <f t="shared" ca="1" si="38"/>
        <v>44</v>
      </c>
      <c r="F18" s="49">
        <f t="shared" ca="1" si="38"/>
        <v>23</v>
      </c>
      <c r="G18" s="49">
        <f t="shared" ca="1" si="38"/>
        <v>36</v>
      </c>
      <c r="H18" s="49">
        <f t="shared" ca="1" si="38"/>
        <v>37</v>
      </c>
      <c r="I18" s="49">
        <f t="shared" ca="1" si="38"/>
        <v>26</v>
      </c>
      <c r="J18" s="49">
        <f t="shared" ca="1" si="38"/>
        <v>38</v>
      </c>
      <c r="K18" s="49">
        <f t="shared" ca="1" si="38"/>
        <v>43</v>
      </c>
      <c r="L18" s="49">
        <f t="shared" ca="1" si="38"/>
        <v>32</v>
      </c>
      <c r="M18" s="49">
        <f t="shared" ca="1" si="38"/>
        <v>22</v>
      </c>
      <c r="N18" s="49">
        <f t="shared" ca="1" si="38"/>
        <v>34</v>
      </c>
      <c r="O18" s="49">
        <f t="shared" ca="1" si="38"/>
        <v>45</v>
      </c>
      <c r="P18" s="49">
        <f t="shared" ca="1" si="38"/>
        <v>40</v>
      </c>
      <c r="Q18" s="49">
        <f t="shared" ca="1" si="38"/>
        <v>24</v>
      </c>
      <c r="R18" s="49">
        <f t="shared" ca="1" si="38"/>
        <v>25</v>
      </c>
      <c r="S18" s="49">
        <f t="shared" ca="1" si="38"/>
        <v>39</v>
      </c>
      <c r="T18" s="49">
        <f t="shared" ca="1" si="38"/>
        <v>32</v>
      </c>
      <c r="U18" s="49">
        <f t="shared" ca="1" si="38"/>
        <v>34</v>
      </c>
      <c r="V18" s="49">
        <f t="shared" ca="1" si="38"/>
        <v>43</v>
      </c>
      <c r="W18" s="49">
        <f t="shared" ca="1" si="38"/>
        <v>30</v>
      </c>
      <c r="X18" s="49">
        <f t="shared" ca="1" si="38"/>
        <v>29</v>
      </c>
      <c r="Y18" s="49">
        <f t="shared" ca="1" si="38"/>
        <v>45</v>
      </c>
      <c r="Z18" s="49">
        <f t="shared" ca="1" si="38"/>
        <v>30</v>
      </c>
      <c r="AA18" s="49">
        <f t="shared" ca="1" si="38"/>
        <v>43</v>
      </c>
      <c r="AB18" s="49">
        <f t="shared" ca="1" si="38"/>
        <v>32</v>
      </c>
      <c r="AC18" s="49">
        <f t="shared" ca="1" si="38"/>
        <v>36</v>
      </c>
      <c r="AD18" s="49">
        <f t="shared" ca="1" si="38"/>
        <v>24</v>
      </c>
      <c r="AE18" s="49">
        <f t="shared" ca="1" si="38"/>
        <v>36</v>
      </c>
      <c r="AF18" s="49">
        <f t="shared" ca="1" si="38"/>
        <v>32</v>
      </c>
      <c r="AG18" s="49">
        <f t="shared" ca="1" si="38"/>
        <v>25</v>
      </c>
      <c r="AH18" s="49">
        <f t="shared" ca="1" si="38"/>
        <v>41</v>
      </c>
      <c r="AI18" s="49">
        <f t="shared" ca="1" si="38"/>
        <v>37</v>
      </c>
      <c r="AJ18" s="49">
        <f t="shared" ref="AJ18:BO18" ca="1" si="39">RANDBETWEEN(20, 45)</f>
        <v>24</v>
      </c>
      <c r="AK18" s="49">
        <f t="shared" ca="1" si="39"/>
        <v>21</v>
      </c>
      <c r="AL18" s="49">
        <f t="shared" ca="1" si="39"/>
        <v>44</v>
      </c>
      <c r="AM18" s="49">
        <f t="shared" ca="1" si="39"/>
        <v>27</v>
      </c>
      <c r="AN18" s="49">
        <f t="shared" ca="1" si="39"/>
        <v>39</v>
      </c>
      <c r="AO18" s="49">
        <f t="shared" ca="1" si="39"/>
        <v>20</v>
      </c>
      <c r="AP18" s="49">
        <f t="shared" ca="1" si="39"/>
        <v>30</v>
      </c>
      <c r="AQ18" s="49">
        <f t="shared" ca="1" si="39"/>
        <v>41</v>
      </c>
      <c r="AR18" s="49">
        <f t="shared" ca="1" si="39"/>
        <v>41</v>
      </c>
      <c r="AS18" s="49">
        <f t="shared" ca="1" si="39"/>
        <v>30</v>
      </c>
      <c r="AT18" s="49">
        <f t="shared" ca="1" si="39"/>
        <v>29</v>
      </c>
      <c r="AU18" s="49">
        <f t="shared" ca="1" si="39"/>
        <v>21</v>
      </c>
      <c r="AV18" s="49">
        <f t="shared" ca="1" si="39"/>
        <v>45</v>
      </c>
      <c r="AW18" s="49">
        <f t="shared" ca="1" si="39"/>
        <v>28</v>
      </c>
      <c r="AX18" s="49">
        <f t="shared" ca="1" si="39"/>
        <v>23</v>
      </c>
      <c r="AY18" s="49">
        <f t="shared" ca="1" si="39"/>
        <v>39</v>
      </c>
      <c r="AZ18" s="49">
        <f t="shared" ca="1" si="39"/>
        <v>27</v>
      </c>
      <c r="BA18" s="49">
        <f t="shared" ca="1" si="39"/>
        <v>24</v>
      </c>
      <c r="BB18" s="49">
        <f t="shared" ca="1" si="39"/>
        <v>20</v>
      </c>
      <c r="BC18" s="49">
        <f t="shared" ca="1" si="39"/>
        <v>26</v>
      </c>
      <c r="BD18" s="49">
        <f t="shared" ca="1" si="39"/>
        <v>43</v>
      </c>
      <c r="BE18" s="49">
        <f t="shared" ca="1" si="39"/>
        <v>41</v>
      </c>
      <c r="BF18" s="49">
        <f t="shared" ca="1" si="39"/>
        <v>38</v>
      </c>
      <c r="BG18" s="49">
        <f t="shared" ca="1" si="39"/>
        <v>43</v>
      </c>
      <c r="BH18" s="49">
        <f t="shared" ca="1" si="39"/>
        <v>22</v>
      </c>
      <c r="BI18" s="49">
        <f t="shared" ca="1" si="39"/>
        <v>23</v>
      </c>
      <c r="BJ18" s="49">
        <f t="shared" ca="1" si="39"/>
        <v>37</v>
      </c>
      <c r="BK18" s="49">
        <f t="shared" ca="1" si="39"/>
        <v>22</v>
      </c>
      <c r="BL18" s="49">
        <f t="shared" ca="1" si="39"/>
        <v>20</v>
      </c>
      <c r="BM18" s="49">
        <f t="shared" ca="1" si="39"/>
        <v>32</v>
      </c>
      <c r="BN18" s="49">
        <f t="shared" ca="1" si="39"/>
        <v>28</v>
      </c>
      <c r="BO18" s="49">
        <f t="shared" ca="1" si="39"/>
        <v>22</v>
      </c>
      <c r="BP18" s="49">
        <f t="shared" ref="BP18:CU18" ca="1" si="40">RANDBETWEEN(20, 45)</f>
        <v>43</v>
      </c>
      <c r="BQ18" s="49">
        <f t="shared" ca="1" si="40"/>
        <v>26</v>
      </c>
      <c r="BR18" s="49">
        <f t="shared" ca="1" si="40"/>
        <v>25</v>
      </c>
      <c r="BS18" s="49">
        <f t="shared" ca="1" si="40"/>
        <v>34</v>
      </c>
      <c r="BT18" s="49">
        <f t="shared" ca="1" si="40"/>
        <v>25</v>
      </c>
      <c r="BU18" s="49">
        <f t="shared" ca="1" si="40"/>
        <v>32</v>
      </c>
      <c r="BV18" s="49">
        <f t="shared" ca="1" si="40"/>
        <v>35</v>
      </c>
      <c r="BW18" s="49">
        <f t="shared" ca="1" si="40"/>
        <v>45</v>
      </c>
      <c r="BX18" s="49">
        <f t="shared" ca="1" si="40"/>
        <v>28</v>
      </c>
      <c r="BY18" s="49">
        <f t="shared" ca="1" si="40"/>
        <v>22</v>
      </c>
      <c r="BZ18" s="49">
        <f t="shared" ca="1" si="40"/>
        <v>24</v>
      </c>
      <c r="CA18" s="49">
        <f t="shared" ca="1" si="40"/>
        <v>25</v>
      </c>
      <c r="CB18" s="49">
        <f t="shared" ca="1" si="40"/>
        <v>21</v>
      </c>
      <c r="CC18" s="49">
        <f t="shared" ca="1" si="40"/>
        <v>35</v>
      </c>
      <c r="CD18" s="49">
        <f t="shared" ca="1" si="40"/>
        <v>23</v>
      </c>
      <c r="CE18" s="49">
        <f t="shared" ca="1" si="40"/>
        <v>26</v>
      </c>
      <c r="CF18" s="49">
        <f t="shared" ca="1" si="40"/>
        <v>30</v>
      </c>
      <c r="CG18" s="49">
        <f t="shared" ca="1" si="40"/>
        <v>22</v>
      </c>
      <c r="CH18" s="49">
        <f t="shared" ca="1" si="40"/>
        <v>45</v>
      </c>
      <c r="CI18" s="49">
        <f t="shared" ca="1" si="40"/>
        <v>37</v>
      </c>
      <c r="CJ18" s="49">
        <f t="shared" ca="1" si="40"/>
        <v>30</v>
      </c>
      <c r="CK18" s="49">
        <f t="shared" ca="1" si="40"/>
        <v>45</v>
      </c>
      <c r="CL18" s="49">
        <f t="shared" ca="1" si="40"/>
        <v>32</v>
      </c>
      <c r="CM18" s="49">
        <f t="shared" ca="1" si="40"/>
        <v>31</v>
      </c>
      <c r="CN18" s="49">
        <f t="shared" ca="1" si="40"/>
        <v>27</v>
      </c>
      <c r="CO18" s="49">
        <f t="shared" ca="1" si="40"/>
        <v>31</v>
      </c>
      <c r="CP18" s="49">
        <f t="shared" ca="1" si="40"/>
        <v>26</v>
      </c>
      <c r="CQ18" s="49">
        <f t="shared" ca="1" si="40"/>
        <v>31</v>
      </c>
      <c r="CR18" s="49">
        <f t="shared" ca="1" si="40"/>
        <v>32</v>
      </c>
      <c r="CS18" s="49">
        <f t="shared" ca="1" si="40"/>
        <v>41</v>
      </c>
      <c r="CT18" s="49">
        <f t="shared" ca="1" si="40"/>
        <v>36</v>
      </c>
      <c r="CU18" s="49">
        <f t="shared" ca="1" si="40"/>
        <v>39</v>
      </c>
      <c r="CV18" s="49">
        <f t="shared" ref="CV18:EE18" ca="1" si="41">RANDBETWEEN(20, 45)</f>
        <v>41</v>
      </c>
      <c r="CW18" s="49">
        <f t="shared" ca="1" si="41"/>
        <v>23</v>
      </c>
      <c r="CX18" s="49">
        <f t="shared" ca="1" si="41"/>
        <v>29</v>
      </c>
      <c r="CY18" s="49">
        <f t="shared" ca="1" si="41"/>
        <v>31</v>
      </c>
      <c r="CZ18" s="49">
        <f t="shared" ca="1" si="41"/>
        <v>44</v>
      </c>
      <c r="DA18" s="49">
        <f t="shared" ca="1" si="41"/>
        <v>41</v>
      </c>
      <c r="DB18" s="49">
        <f t="shared" ca="1" si="41"/>
        <v>22</v>
      </c>
      <c r="DC18" s="49">
        <f t="shared" ca="1" si="41"/>
        <v>37</v>
      </c>
      <c r="DD18" s="49">
        <f t="shared" ca="1" si="41"/>
        <v>39</v>
      </c>
      <c r="DE18" s="49">
        <f t="shared" ca="1" si="41"/>
        <v>32</v>
      </c>
      <c r="DF18" s="49">
        <f t="shared" ca="1" si="41"/>
        <v>23</v>
      </c>
      <c r="DG18" s="49">
        <f t="shared" ca="1" si="41"/>
        <v>27</v>
      </c>
      <c r="DH18" s="49">
        <f t="shared" ca="1" si="41"/>
        <v>27</v>
      </c>
      <c r="DI18" s="49">
        <f t="shared" ca="1" si="41"/>
        <v>28</v>
      </c>
      <c r="DJ18" s="49">
        <f t="shared" ca="1" si="41"/>
        <v>31</v>
      </c>
      <c r="DK18" s="49">
        <f t="shared" ca="1" si="41"/>
        <v>28</v>
      </c>
      <c r="DL18" s="49">
        <f t="shared" ca="1" si="41"/>
        <v>20</v>
      </c>
      <c r="DM18" s="49">
        <f t="shared" ca="1" si="41"/>
        <v>25</v>
      </c>
      <c r="DN18" s="49">
        <f t="shared" ca="1" si="41"/>
        <v>42</v>
      </c>
      <c r="DO18" s="49">
        <f t="shared" ca="1" si="41"/>
        <v>28</v>
      </c>
      <c r="DP18" s="49">
        <f t="shared" ca="1" si="41"/>
        <v>26</v>
      </c>
      <c r="DQ18" s="49">
        <f t="shared" ca="1" si="41"/>
        <v>34</v>
      </c>
      <c r="DR18" s="49">
        <f t="shared" ca="1" si="41"/>
        <v>24</v>
      </c>
      <c r="DS18" s="49">
        <f t="shared" ca="1" si="41"/>
        <v>27</v>
      </c>
      <c r="DT18" s="49">
        <f t="shared" ca="1" si="41"/>
        <v>41</v>
      </c>
      <c r="DU18" s="49">
        <f t="shared" ca="1" si="41"/>
        <v>32</v>
      </c>
      <c r="DV18" s="49">
        <f t="shared" ca="1" si="41"/>
        <v>22</v>
      </c>
      <c r="DW18" s="49">
        <f t="shared" ca="1" si="41"/>
        <v>23</v>
      </c>
      <c r="DX18" s="49">
        <f t="shared" ca="1" si="41"/>
        <v>35</v>
      </c>
      <c r="DY18" s="49">
        <f t="shared" ca="1" si="41"/>
        <v>20</v>
      </c>
      <c r="DZ18" s="49">
        <f t="shared" ca="1" si="41"/>
        <v>29</v>
      </c>
      <c r="EA18" s="49">
        <f t="shared" ca="1" si="41"/>
        <v>38</v>
      </c>
      <c r="EB18" s="49">
        <f t="shared" ca="1" si="41"/>
        <v>27</v>
      </c>
      <c r="EC18" s="49">
        <f t="shared" ca="1" si="41"/>
        <v>35</v>
      </c>
      <c r="ED18" s="49">
        <f t="shared" ca="1" si="41"/>
        <v>26</v>
      </c>
      <c r="EE18" s="49">
        <f t="shared" ca="1" si="41"/>
        <v>28</v>
      </c>
    </row>
    <row r="19" spans="1:135" ht="29.15" x14ac:dyDescent="0.4">
      <c r="A19" s="29" t="str">
        <f t="shared" si="7"/>
        <v>KPI ID 12 %</v>
      </c>
      <c r="B19" s="47" t="s">
        <v>62</v>
      </c>
      <c r="C19" s="48" t="s">
        <v>14</v>
      </c>
      <c r="D19" s="49">
        <f t="shared" ref="D19:AI19" ca="1" si="42">RAND()+1</f>
        <v>1.0526568483262202</v>
      </c>
      <c r="E19" s="49">
        <f t="shared" ca="1" si="42"/>
        <v>1.6865425546321688</v>
      </c>
      <c r="F19" s="49">
        <f t="shared" ca="1" si="42"/>
        <v>1.6341481280521941</v>
      </c>
      <c r="G19" s="49">
        <f t="shared" ca="1" si="42"/>
        <v>1.1052716010314212</v>
      </c>
      <c r="H19" s="49">
        <f t="shared" ca="1" si="42"/>
        <v>1.4719038330825831</v>
      </c>
      <c r="I19" s="49">
        <f t="shared" ca="1" si="42"/>
        <v>1.2865155873473353</v>
      </c>
      <c r="J19" s="49">
        <f t="shared" ca="1" si="42"/>
        <v>1.9253925342185441</v>
      </c>
      <c r="K19" s="49">
        <f t="shared" ca="1" si="42"/>
        <v>1.0924392234985787</v>
      </c>
      <c r="L19" s="49">
        <f t="shared" ca="1" si="42"/>
        <v>1.9977836514151033</v>
      </c>
      <c r="M19" s="49">
        <f t="shared" ca="1" si="42"/>
        <v>1.0892261246639379</v>
      </c>
      <c r="N19" s="49">
        <f t="shared" ca="1" si="42"/>
        <v>1.7532511496714096</v>
      </c>
      <c r="O19" s="49">
        <f t="shared" ca="1" si="42"/>
        <v>1.1230549598412787</v>
      </c>
      <c r="P19" s="49">
        <f t="shared" ca="1" si="42"/>
        <v>1.5869410956818162</v>
      </c>
      <c r="Q19" s="49">
        <f t="shared" ca="1" si="42"/>
        <v>1.6960387828029972</v>
      </c>
      <c r="R19" s="49">
        <f t="shared" ca="1" si="42"/>
        <v>1.6961844169751465</v>
      </c>
      <c r="S19" s="49">
        <f t="shared" ca="1" si="42"/>
        <v>1.3256666762982205</v>
      </c>
      <c r="T19" s="49">
        <f t="shared" ca="1" si="42"/>
        <v>1.582765641896744</v>
      </c>
      <c r="U19" s="49">
        <f t="shared" ca="1" si="42"/>
        <v>1.7354668296892668</v>
      </c>
      <c r="V19" s="49">
        <f t="shared" ca="1" si="42"/>
        <v>1.9850192744174597</v>
      </c>
      <c r="W19" s="49">
        <f t="shared" ca="1" si="42"/>
        <v>1.0709912724583921</v>
      </c>
      <c r="X19" s="49">
        <f t="shared" ca="1" si="42"/>
        <v>1.6313074458002925</v>
      </c>
      <c r="Y19" s="49">
        <f t="shared" ca="1" si="42"/>
        <v>1.0853030296774122</v>
      </c>
      <c r="Z19" s="49">
        <f t="shared" ca="1" si="42"/>
        <v>1.8373688146547913</v>
      </c>
      <c r="AA19" s="49">
        <f t="shared" ca="1" si="42"/>
        <v>1.1842842910095275</v>
      </c>
      <c r="AB19" s="49">
        <f t="shared" ca="1" si="42"/>
        <v>1.1874938829766193</v>
      </c>
      <c r="AC19" s="49">
        <f t="shared" ca="1" si="42"/>
        <v>1.0174737063620196</v>
      </c>
      <c r="AD19" s="49">
        <f t="shared" ca="1" si="42"/>
        <v>1.4135983824150498</v>
      </c>
      <c r="AE19" s="49">
        <f t="shared" ca="1" si="42"/>
        <v>1.8691140804158604</v>
      </c>
      <c r="AF19" s="49">
        <f t="shared" ca="1" si="42"/>
        <v>1.9202790318599035</v>
      </c>
      <c r="AG19" s="49">
        <f t="shared" ca="1" si="42"/>
        <v>1.6854113134327731</v>
      </c>
      <c r="AH19" s="49">
        <f t="shared" ca="1" si="42"/>
        <v>1.4012440436484082</v>
      </c>
      <c r="AI19" s="49">
        <f t="shared" ca="1" si="42"/>
        <v>1.7712283981397179</v>
      </c>
      <c r="AJ19" s="49">
        <f t="shared" ref="AJ19:BO19" ca="1" si="43">RAND()+1</f>
        <v>1.9156311756733195</v>
      </c>
      <c r="AK19" s="49">
        <f t="shared" ca="1" si="43"/>
        <v>1.2909706806320187</v>
      </c>
      <c r="AL19" s="49">
        <f t="shared" ca="1" si="43"/>
        <v>1.2264836203648892</v>
      </c>
      <c r="AM19" s="49">
        <f t="shared" ca="1" si="43"/>
        <v>1.5594303279271728</v>
      </c>
      <c r="AN19" s="49">
        <f t="shared" ca="1" si="43"/>
        <v>1.6036272012804376</v>
      </c>
      <c r="AO19" s="49">
        <f t="shared" ca="1" si="43"/>
        <v>1.8096725768024284</v>
      </c>
      <c r="AP19" s="49">
        <f t="shared" ca="1" si="43"/>
        <v>1.3732469716942286</v>
      </c>
      <c r="AQ19" s="49">
        <f t="shared" ca="1" si="43"/>
        <v>1.6704271014605012</v>
      </c>
      <c r="AR19" s="49">
        <f t="shared" ca="1" si="43"/>
        <v>1.6142503885726902</v>
      </c>
      <c r="AS19" s="49">
        <f t="shared" ca="1" si="43"/>
        <v>1.3575228965921116</v>
      </c>
      <c r="AT19" s="49">
        <f t="shared" ca="1" si="43"/>
        <v>1.3113933763921759</v>
      </c>
      <c r="AU19" s="49">
        <f t="shared" ca="1" si="43"/>
        <v>1.3447353068491239</v>
      </c>
      <c r="AV19" s="49">
        <f t="shared" ca="1" si="43"/>
        <v>1.7771462145929331</v>
      </c>
      <c r="AW19" s="49">
        <f t="shared" ca="1" si="43"/>
        <v>1.7103996135069988</v>
      </c>
      <c r="AX19" s="49">
        <f t="shared" ca="1" si="43"/>
        <v>1.584660035344672</v>
      </c>
      <c r="AY19" s="49">
        <f t="shared" ca="1" si="43"/>
        <v>1.3894052909800196</v>
      </c>
      <c r="AZ19" s="49">
        <f t="shared" ca="1" si="43"/>
        <v>1.9515595749684365</v>
      </c>
      <c r="BA19" s="49">
        <f t="shared" ca="1" si="43"/>
        <v>1.3149849631257675</v>
      </c>
      <c r="BB19" s="49">
        <f t="shared" ca="1" si="43"/>
        <v>1.882075210644891</v>
      </c>
      <c r="BC19" s="49">
        <f t="shared" ca="1" si="43"/>
        <v>1.4952517996743397</v>
      </c>
      <c r="BD19" s="49">
        <f t="shared" ca="1" si="43"/>
        <v>1.0396502182598075</v>
      </c>
      <c r="BE19" s="49">
        <f t="shared" ca="1" si="43"/>
        <v>1.7741523376728119</v>
      </c>
      <c r="BF19" s="49">
        <f t="shared" ca="1" si="43"/>
        <v>1.9158555385844216</v>
      </c>
      <c r="BG19" s="49">
        <f t="shared" ca="1" si="43"/>
        <v>1.3413948407298117</v>
      </c>
      <c r="BH19" s="49">
        <f t="shared" ca="1" si="43"/>
        <v>1.9387122654912392</v>
      </c>
      <c r="BI19" s="49">
        <f t="shared" ca="1" si="43"/>
        <v>1.7485594984017365</v>
      </c>
      <c r="BJ19" s="49">
        <f t="shared" ca="1" si="43"/>
        <v>1.3019097825433676</v>
      </c>
      <c r="BK19" s="49">
        <f t="shared" ca="1" si="43"/>
        <v>1.1075697984542909</v>
      </c>
      <c r="BL19" s="49">
        <f t="shared" ca="1" si="43"/>
        <v>1.1352640027489342</v>
      </c>
      <c r="BM19" s="49">
        <f t="shared" ca="1" si="43"/>
        <v>1.0822198274350687</v>
      </c>
      <c r="BN19" s="49">
        <f t="shared" ca="1" si="43"/>
        <v>1.1289879781574625</v>
      </c>
      <c r="BO19" s="49">
        <f t="shared" ca="1" si="43"/>
        <v>1.2325026389652436</v>
      </c>
      <c r="BP19" s="49">
        <f t="shared" ref="BP19:CU19" ca="1" si="44">RAND()+1</f>
        <v>1.7740038304575232</v>
      </c>
      <c r="BQ19" s="49">
        <f t="shared" ca="1" si="44"/>
        <v>1.2033286663815579</v>
      </c>
      <c r="BR19" s="49">
        <f t="shared" ca="1" si="44"/>
        <v>1.1005648473265426</v>
      </c>
      <c r="BS19" s="49">
        <f t="shared" ca="1" si="44"/>
        <v>1.3757761693822745</v>
      </c>
      <c r="BT19" s="49">
        <f t="shared" ca="1" si="44"/>
        <v>1.2790883719235073</v>
      </c>
      <c r="BU19" s="49">
        <f t="shared" ca="1" si="44"/>
        <v>1.4680256703770374</v>
      </c>
      <c r="BV19" s="49">
        <f t="shared" ca="1" si="44"/>
        <v>1.3647240032847092</v>
      </c>
      <c r="BW19" s="49">
        <f t="shared" ca="1" si="44"/>
        <v>1.433407889998332</v>
      </c>
      <c r="BX19" s="49">
        <f t="shared" ca="1" si="44"/>
        <v>1.9124967690423638</v>
      </c>
      <c r="BY19" s="49">
        <f t="shared" ca="1" si="44"/>
        <v>1.5618372054015062</v>
      </c>
      <c r="BZ19" s="49">
        <f t="shared" ca="1" si="44"/>
        <v>1.2060971642944116</v>
      </c>
      <c r="CA19" s="49">
        <f t="shared" ca="1" si="44"/>
        <v>1.6146087532787972</v>
      </c>
      <c r="CB19" s="49">
        <f t="shared" ca="1" si="44"/>
        <v>1.0074633914615105</v>
      </c>
      <c r="CC19" s="49">
        <f t="shared" ca="1" si="44"/>
        <v>1.1405806464496546</v>
      </c>
      <c r="CD19" s="49">
        <f t="shared" ca="1" si="44"/>
        <v>1.575538075316657</v>
      </c>
      <c r="CE19" s="49">
        <f t="shared" ca="1" si="44"/>
        <v>1.099345689102138</v>
      </c>
      <c r="CF19" s="49">
        <f t="shared" ca="1" si="44"/>
        <v>1.270328275135411</v>
      </c>
      <c r="CG19" s="49">
        <f t="shared" ca="1" si="44"/>
        <v>1.0641366005361275</v>
      </c>
      <c r="CH19" s="49">
        <f t="shared" ca="1" si="44"/>
        <v>1.9897642580643762</v>
      </c>
      <c r="CI19" s="49">
        <f t="shared" ca="1" si="44"/>
        <v>1.7055427218828325</v>
      </c>
      <c r="CJ19" s="49">
        <f t="shared" ca="1" si="44"/>
        <v>1.8683090869026917</v>
      </c>
      <c r="CK19" s="49">
        <f t="shared" ca="1" si="44"/>
        <v>1.5219745115229906</v>
      </c>
      <c r="CL19" s="49">
        <f t="shared" ca="1" si="44"/>
        <v>1.6780021728533594</v>
      </c>
      <c r="CM19" s="49">
        <f t="shared" ca="1" si="44"/>
        <v>1.6783595497683301</v>
      </c>
      <c r="CN19" s="49">
        <f t="shared" ca="1" si="44"/>
        <v>1.7662314275445097</v>
      </c>
      <c r="CO19" s="49">
        <f t="shared" ca="1" si="44"/>
        <v>1.6343265629335795</v>
      </c>
      <c r="CP19" s="49">
        <f t="shared" ca="1" si="44"/>
        <v>1.4777190847127404</v>
      </c>
      <c r="CQ19" s="49">
        <f t="shared" ca="1" si="44"/>
        <v>1.5426531086655246</v>
      </c>
      <c r="CR19" s="49">
        <f t="shared" ca="1" si="44"/>
        <v>1.8265192515620468</v>
      </c>
      <c r="CS19" s="49">
        <f t="shared" ca="1" si="44"/>
        <v>1.6191294481875009</v>
      </c>
      <c r="CT19" s="49">
        <f t="shared" ca="1" si="44"/>
        <v>1.7123210297089977</v>
      </c>
      <c r="CU19" s="49">
        <f t="shared" ca="1" si="44"/>
        <v>1.7095047414154478</v>
      </c>
      <c r="CV19" s="49">
        <f t="shared" ref="CV19:EE19" ca="1" si="45">RAND()+1</f>
        <v>1.4958795658241497</v>
      </c>
      <c r="CW19" s="49">
        <f t="shared" ca="1" si="45"/>
        <v>1.2558860520726407</v>
      </c>
      <c r="CX19" s="49">
        <f t="shared" ca="1" si="45"/>
        <v>1.3103005353431645</v>
      </c>
      <c r="CY19" s="49">
        <f t="shared" ca="1" si="45"/>
        <v>1.9774594609786953</v>
      </c>
      <c r="CZ19" s="49">
        <f t="shared" ca="1" si="45"/>
        <v>1.5623139522360856</v>
      </c>
      <c r="DA19" s="49">
        <f t="shared" ca="1" si="45"/>
        <v>1.4631080915045191</v>
      </c>
      <c r="DB19" s="49">
        <f t="shared" ca="1" si="45"/>
        <v>1.2742360922184695</v>
      </c>
      <c r="DC19" s="49">
        <f t="shared" ca="1" si="45"/>
        <v>1.6738138402976932</v>
      </c>
      <c r="DD19" s="49">
        <f t="shared" ca="1" si="45"/>
        <v>1.4282631427312995</v>
      </c>
      <c r="DE19" s="49">
        <f t="shared" ca="1" si="45"/>
        <v>1.9429197391922228</v>
      </c>
      <c r="DF19" s="49">
        <f t="shared" ca="1" si="45"/>
        <v>1.9065111226092979</v>
      </c>
      <c r="DG19" s="49">
        <f t="shared" ca="1" si="45"/>
        <v>1.5554297278383684</v>
      </c>
      <c r="DH19" s="49">
        <f t="shared" ca="1" si="45"/>
        <v>1.5919007309319535</v>
      </c>
      <c r="DI19" s="49">
        <f t="shared" ca="1" si="45"/>
        <v>1.2691374694658786</v>
      </c>
      <c r="DJ19" s="49">
        <f t="shared" ca="1" si="45"/>
        <v>1.259649273671958</v>
      </c>
      <c r="DK19" s="49">
        <f t="shared" ca="1" si="45"/>
        <v>1.1046005378851127</v>
      </c>
      <c r="DL19" s="49">
        <f t="shared" ca="1" si="45"/>
        <v>1.9306525077274443</v>
      </c>
      <c r="DM19" s="49">
        <f t="shared" ca="1" si="45"/>
        <v>1.6318484761948362</v>
      </c>
      <c r="DN19" s="49">
        <f t="shared" ca="1" si="45"/>
        <v>1.0195441697787966</v>
      </c>
      <c r="DO19" s="49">
        <f t="shared" ca="1" si="45"/>
        <v>1.3977017938986438</v>
      </c>
      <c r="DP19" s="49">
        <f t="shared" ca="1" si="45"/>
        <v>1.1433142288164415</v>
      </c>
      <c r="DQ19" s="49">
        <f t="shared" ca="1" si="45"/>
        <v>1.7203293167869209</v>
      </c>
      <c r="DR19" s="49">
        <f t="shared" ca="1" si="45"/>
        <v>1.5660124356316378</v>
      </c>
      <c r="DS19" s="49">
        <f t="shared" ca="1" si="45"/>
        <v>1.2181213232357921</v>
      </c>
      <c r="DT19" s="49">
        <f t="shared" ca="1" si="45"/>
        <v>1.7280465442501955</v>
      </c>
      <c r="DU19" s="49">
        <f t="shared" ca="1" si="45"/>
        <v>1.6215320945336487</v>
      </c>
      <c r="DV19" s="49">
        <f t="shared" ca="1" si="45"/>
        <v>1.7635133517717736</v>
      </c>
      <c r="DW19" s="49">
        <f t="shared" ca="1" si="45"/>
        <v>1.2969670950506571</v>
      </c>
      <c r="DX19" s="49">
        <f t="shared" ca="1" si="45"/>
        <v>1.9603836712759017</v>
      </c>
      <c r="DY19" s="49">
        <f t="shared" ca="1" si="45"/>
        <v>1.821046920641354</v>
      </c>
      <c r="DZ19" s="49">
        <f t="shared" ca="1" si="45"/>
        <v>1.2083524601154911</v>
      </c>
      <c r="EA19" s="49">
        <f t="shared" ca="1" si="45"/>
        <v>1.6712127587196601</v>
      </c>
      <c r="EB19" s="49">
        <f t="shared" ca="1" si="45"/>
        <v>1.80437500905273</v>
      </c>
      <c r="EC19" s="49">
        <f t="shared" ca="1" si="45"/>
        <v>1.2581768773747366</v>
      </c>
      <c r="ED19" s="49">
        <f t="shared" ca="1" si="45"/>
        <v>1.460945785936719</v>
      </c>
      <c r="EE19" s="49">
        <f t="shared" ca="1" si="45"/>
        <v>1.9841082405996047</v>
      </c>
    </row>
    <row r="20" spans="1:135" x14ac:dyDescent="0.4">
      <c r="A20" s="29" t="str">
        <f t="shared" si="7"/>
        <v>KPI ID 13</v>
      </c>
      <c r="B20" s="47" t="s">
        <v>63</v>
      </c>
      <c r="C20" s="48" t="s">
        <v>15</v>
      </c>
      <c r="D20" s="49">
        <f t="shared" ref="D20:AI20" ca="1" si="46">RANDBETWEEN(6, 10)+1.245</f>
        <v>11.245000000000001</v>
      </c>
      <c r="E20" s="49">
        <f t="shared" ca="1" si="46"/>
        <v>7.2450000000000001</v>
      </c>
      <c r="F20" s="49">
        <f t="shared" ca="1" si="46"/>
        <v>9.245000000000001</v>
      </c>
      <c r="G20" s="49">
        <f t="shared" ca="1" si="46"/>
        <v>9.245000000000001</v>
      </c>
      <c r="H20" s="49">
        <f t="shared" ca="1" si="46"/>
        <v>9.245000000000001</v>
      </c>
      <c r="I20" s="49">
        <f t="shared" ca="1" si="46"/>
        <v>7.2450000000000001</v>
      </c>
      <c r="J20" s="49">
        <f t="shared" ca="1" si="46"/>
        <v>8.245000000000001</v>
      </c>
      <c r="K20" s="49">
        <f t="shared" ca="1" si="46"/>
        <v>7.2450000000000001</v>
      </c>
      <c r="L20" s="49">
        <f t="shared" ca="1" si="46"/>
        <v>10.245000000000001</v>
      </c>
      <c r="M20" s="49">
        <f t="shared" ca="1" si="46"/>
        <v>11.245000000000001</v>
      </c>
      <c r="N20" s="49">
        <f t="shared" ca="1" si="46"/>
        <v>9.245000000000001</v>
      </c>
      <c r="O20" s="49">
        <f t="shared" ca="1" si="46"/>
        <v>11.245000000000001</v>
      </c>
      <c r="P20" s="49">
        <f t="shared" ca="1" si="46"/>
        <v>9.245000000000001</v>
      </c>
      <c r="Q20" s="49">
        <f t="shared" ca="1" si="46"/>
        <v>8.245000000000001</v>
      </c>
      <c r="R20" s="49">
        <f t="shared" ca="1" si="46"/>
        <v>8.245000000000001</v>
      </c>
      <c r="S20" s="49">
        <f t="shared" ca="1" si="46"/>
        <v>9.245000000000001</v>
      </c>
      <c r="T20" s="49">
        <f t="shared" ca="1" si="46"/>
        <v>10.245000000000001</v>
      </c>
      <c r="U20" s="49">
        <f t="shared" ca="1" si="46"/>
        <v>10.245000000000001</v>
      </c>
      <c r="V20" s="49">
        <f t="shared" ca="1" si="46"/>
        <v>11.245000000000001</v>
      </c>
      <c r="W20" s="49">
        <f t="shared" ca="1" si="46"/>
        <v>11.245000000000001</v>
      </c>
      <c r="X20" s="49">
        <f t="shared" ca="1" si="46"/>
        <v>9.245000000000001</v>
      </c>
      <c r="Y20" s="49">
        <f t="shared" ca="1" si="46"/>
        <v>8.245000000000001</v>
      </c>
      <c r="Z20" s="49">
        <f t="shared" ca="1" si="46"/>
        <v>11.245000000000001</v>
      </c>
      <c r="AA20" s="49">
        <f t="shared" ca="1" si="46"/>
        <v>9.245000000000001</v>
      </c>
      <c r="AB20" s="49">
        <f t="shared" ca="1" si="46"/>
        <v>7.2450000000000001</v>
      </c>
      <c r="AC20" s="49">
        <f t="shared" ca="1" si="46"/>
        <v>8.245000000000001</v>
      </c>
      <c r="AD20" s="49">
        <f t="shared" ca="1" si="46"/>
        <v>10.245000000000001</v>
      </c>
      <c r="AE20" s="49">
        <f t="shared" ca="1" si="46"/>
        <v>7.2450000000000001</v>
      </c>
      <c r="AF20" s="49">
        <f t="shared" ca="1" si="46"/>
        <v>11.245000000000001</v>
      </c>
      <c r="AG20" s="49">
        <f t="shared" ca="1" si="46"/>
        <v>10.245000000000001</v>
      </c>
      <c r="AH20" s="49">
        <f t="shared" ca="1" si="46"/>
        <v>9.245000000000001</v>
      </c>
      <c r="AI20" s="49">
        <f t="shared" ca="1" si="46"/>
        <v>8.245000000000001</v>
      </c>
      <c r="AJ20" s="49">
        <f t="shared" ref="AJ20:BO20" ca="1" si="47">RANDBETWEEN(6, 10)+1.245</f>
        <v>11.245000000000001</v>
      </c>
      <c r="AK20" s="49">
        <f t="shared" ca="1" si="47"/>
        <v>9.245000000000001</v>
      </c>
      <c r="AL20" s="49">
        <f t="shared" ca="1" si="47"/>
        <v>8.245000000000001</v>
      </c>
      <c r="AM20" s="49">
        <f t="shared" ca="1" si="47"/>
        <v>11.245000000000001</v>
      </c>
      <c r="AN20" s="49">
        <f t="shared" ca="1" si="47"/>
        <v>7.2450000000000001</v>
      </c>
      <c r="AO20" s="49">
        <f t="shared" ca="1" si="47"/>
        <v>7.2450000000000001</v>
      </c>
      <c r="AP20" s="49">
        <f t="shared" ca="1" si="47"/>
        <v>10.245000000000001</v>
      </c>
      <c r="AQ20" s="49">
        <f t="shared" ca="1" si="47"/>
        <v>11.245000000000001</v>
      </c>
      <c r="AR20" s="49">
        <f t="shared" ca="1" si="47"/>
        <v>7.2450000000000001</v>
      </c>
      <c r="AS20" s="49">
        <f t="shared" ca="1" si="47"/>
        <v>7.2450000000000001</v>
      </c>
      <c r="AT20" s="49">
        <f t="shared" ca="1" si="47"/>
        <v>8.245000000000001</v>
      </c>
      <c r="AU20" s="49">
        <f t="shared" ca="1" si="47"/>
        <v>10.245000000000001</v>
      </c>
      <c r="AV20" s="49">
        <f t="shared" ca="1" si="47"/>
        <v>7.2450000000000001</v>
      </c>
      <c r="AW20" s="49">
        <f t="shared" ca="1" si="47"/>
        <v>9.245000000000001</v>
      </c>
      <c r="AX20" s="49">
        <f t="shared" ca="1" si="47"/>
        <v>10.245000000000001</v>
      </c>
      <c r="AY20" s="49">
        <f t="shared" ca="1" si="47"/>
        <v>9.245000000000001</v>
      </c>
      <c r="AZ20" s="49">
        <f t="shared" ca="1" si="47"/>
        <v>11.245000000000001</v>
      </c>
      <c r="BA20" s="49">
        <f t="shared" ca="1" si="47"/>
        <v>7.2450000000000001</v>
      </c>
      <c r="BB20" s="49">
        <f t="shared" ca="1" si="47"/>
        <v>11.245000000000001</v>
      </c>
      <c r="BC20" s="49">
        <f t="shared" ca="1" si="47"/>
        <v>11.245000000000001</v>
      </c>
      <c r="BD20" s="49">
        <f t="shared" ca="1" si="47"/>
        <v>10.245000000000001</v>
      </c>
      <c r="BE20" s="49">
        <f t="shared" ca="1" si="47"/>
        <v>10.245000000000001</v>
      </c>
      <c r="BF20" s="49">
        <f t="shared" ca="1" si="47"/>
        <v>7.2450000000000001</v>
      </c>
      <c r="BG20" s="49">
        <f t="shared" ca="1" si="47"/>
        <v>10.245000000000001</v>
      </c>
      <c r="BH20" s="49">
        <f t="shared" ca="1" si="47"/>
        <v>10.245000000000001</v>
      </c>
      <c r="BI20" s="49">
        <f t="shared" ca="1" si="47"/>
        <v>9.245000000000001</v>
      </c>
      <c r="BJ20" s="49">
        <f t="shared" ca="1" si="47"/>
        <v>7.2450000000000001</v>
      </c>
      <c r="BK20" s="49">
        <f t="shared" ca="1" si="47"/>
        <v>8.245000000000001</v>
      </c>
      <c r="BL20" s="49">
        <f t="shared" ca="1" si="47"/>
        <v>11.245000000000001</v>
      </c>
      <c r="BM20" s="49">
        <f t="shared" ca="1" si="47"/>
        <v>11.245000000000001</v>
      </c>
      <c r="BN20" s="49">
        <f t="shared" ca="1" si="47"/>
        <v>8.245000000000001</v>
      </c>
      <c r="BO20" s="49">
        <f t="shared" ca="1" si="47"/>
        <v>8.245000000000001</v>
      </c>
      <c r="BP20" s="49">
        <f t="shared" ref="BP20:CU20" ca="1" si="48">RANDBETWEEN(6, 10)+1.245</f>
        <v>7.2450000000000001</v>
      </c>
      <c r="BQ20" s="49">
        <f t="shared" ca="1" si="48"/>
        <v>7.2450000000000001</v>
      </c>
      <c r="BR20" s="49">
        <f t="shared" ca="1" si="48"/>
        <v>7.2450000000000001</v>
      </c>
      <c r="BS20" s="49">
        <f t="shared" ca="1" si="48"/>
        <v>9.245000000000001</v>
      </c>
      <c r="BT20" s="49">
        <f t="shared" ca="1" si="48"/>
        <v>7.2450000000000001</v>
      </c>
      <c r="BU20" s="49">
        <f t="shared" ca="1" si="48"/>
        <v>8.245000000000001</v>
      </c>
      <c r="BV20" s="49">
        <f t="shared" ca="1" si="48"/>
        <v>11.245000000000001</v>
      </c>
      <c r="BW20" s="49">
        <f t="shared" ca="1" si="48"/>
        <v>7.2450000000000001</v>
      </c>
      <c r="BX20" s="49">
        <f t="shared" ca="1" si="48"/>
        <v>7.2450000000000001</v>
      </c>
      <c r="BY20" s="49">
        <f t="shared" ca="1" si="48"/>
        <v>10.245000000000001</v>
      </c>
      <c r="BZ20" s="49">
        <f t="shared" ca="1" si="48"/>
        <v>7.2450000000000001</v>
      </c>
      <c r="CA20" s="49">
        <f t="shared" ca="1" si="48"/>
        <v>9.245000000000001</v>
      </c>
      <c r="CB20" s="49">
        <f t="shared" ca="1" si="48"/>
        <v>7.2450000000000001</v>
      </c>
      <c r="CC20" s="49">
        <f t="shared" ca="1" si="48"/>
        <v>7.2450000000000001</v>
      </c>
      <c r="CD20" s="49">
        <f t="shared" ca="1" si="48"/>
        <v>9.245000000000001</v>
      </c>
      <c r="CE20" s="49">
        <f t="shared" ca="1" si="48"/>
        <v>10.245000000000001</v>
      </c>
      <c r="CF20" s="49">
        <f t="shared" ca="1" si="48"/>
        <v>8.245000000000001</v>
      </c>
      <c r="CG20" s="49">
        <f t="shared" ca="1" si="48"/>
        <v>11.245000000000001</v>
      </c>
      <c r="CH20" s="49">
        <f t="shared" ca="1" si="48"/>
        <v>8.245000000000001</v>
      </c>
      <c r="CI20" s="49">
        <f t="shared" ca="1" si="48"/>
        <v>8.245000000000001</v>
      </c>
      <c r="CJ20" s="49">
        <f t="shared" ca="1" si="48"/>
        <v>9.245000000000001</v>
      </c>
      <c r="CK20" s="49">
        <f t="shared" ca="1" si="48"/>
        <v>7.2450000000000001</v>
      </c>
      <c r="CL20" s="49">
        <f t="shared" ca="1" si="48"/>
        <v>11.245000000000001</v>
      </c>
      <c r="CM20" s="49">
        <f t="shared" ca="1" si="48"/>
        <v>11.245000000000001</v>
      </c>
      <c r="CN20" s="49">
        <f t="shared" ca="1" si="48"/>
        <v>10.245000000000001</v>
      </c>
      <c r="CO20" s="49">
        <f t="shared" ca="1" si="48"/>
        <v>11.245000000000001</v>
      </c>
      <c r="CP20" s="49">
        <f t="shared" ca="1" si="48"/>
        <v>11.245000000000001</v>
      </c>
      <c r="CQ20" s="49">
        <f t="shared" ca="1" si="48"/>
        <v>8.245000000000001</v>
      </c>
      <c r="CR20" s="49">
        <f t="shared" ca="1" si="48"/>
        <v>7.2450000000000001</v>
      </c>
      <c r="CS20" s="49">
        <f t="shared" ca="1" si="48"/>
        <v>10.245000000000001</v>
      </c>
      <c r="CT20" s="49">
        <f t="shared" ca="1" si="48"/>
        <v>8.245000000000001</v>
      </c>
      <c r="CU20" s="49">
        <f t="shared" ca="1" si="48"/>
        <v>8.245000000000001</v>
      </c>
      <c r="CV20" s="49">
        <f t="shared" ref="CV20:EE20" ca="1" si="49">RANDBETWEEN(6, 10)+1.245</f>
        <v>8.245000000000001</v>
      </c>
      <c r="CW20" s="49">
        <f t="shared" ca="1" si="49"/>
        <v>7.2450000000000001</v>
      </c>
      <c r="CX20" s="49">
        <f t="shared" ca="1" si="49"/>
        <v>10.245000000000001</v>
      </c>
      <c r="CY20" s="49">
        <f t="shared" ca="1" si="49"/>
        <v>10.245000000000001</v>
      </c>
      <c r="CZ20" s="49">
        <f t="shared" ca="1" si="49"/>
        <v>8.245000000000001</v>
      </c>
      <c r="DA20" s="49">
        <f t="shared" ca="1" si="49"/>
        <v>8.245000000000001</v>
      </c>
      <c r="DB20" s="49">
        <f t="shared" ca="1" si="49"/>
        <v>7.2450000000000001</v>
      </c>
      <c r="DC20" s="49">
        <f t="shared" ca="1" si="49"/>
        <v>10.245000000000001</v>
      </c>
      <c r="DD20" s="49">
        <f t="shared" ca="1" si="49"/>
        <v>10.245000000000001</v>
      </c>
      <c r="DE20" s="49">
        <f t="shared" ca="1" si="49"/>
        <v>9.245000000000001</v>
      </c>
      <c r="DF20" s="49">
        <f t="shared" ca="1" si="49"/>
        <v>7.2450000000000001</v>
      </c>
      <c r="DG20" s="49">
        <f t="shared" ca="1" si="49"/>
        <v>7.2450000000000001</v>
      </c>
      <c r="DH20" s="49">
        <f t="shared" ca="1" si="49"/>
        <v>11.245000000000001</v>
      </c>
      <c r="DI20" s="49">
        <f t="shared" ca="1" si="49"/>
        <v>10.245000000000001</v>
      </c>
      <c r="DJ20" s="49">
        <f t="shared" ca="1" si="49"/>
        <v>8.245000000000001</v>
      </c>
      <c r="DK20" s="49">
        <f t="shared" ca="1" si="49"/>
        <v>10.245000000000001</v>
      </c>
      <c r="DL20" s="49">
        <f t="shared" ca="1" si="49"/>
        <v>7.2450000000000001</v>
      </c>
      <c r="DM20" s="49">
        <f t="shared" ca="1" si="49"/>
        <v>10.245000000000001</v>
      </c>
      <c r="DN20" s="49">
        <f t="shared" ca="1" si="49"/>
        <v>8.245000000000001</v>
      </c>
      <c r="DO20" s="49">
        <f t="shared" ca="1" si="49"/>
        <v>9.245000000000001</v>
      </c>
      <c r="DP20" s="49">
        <f t="shared" ca="1" si="49"/>
        <v>7.2450000000000001</v>
      </c>
      <c r="DQ20" s="49">
        <f t="shared" ca="1" si="49"/>
        <v>8.245000000000001</v>
      </c>
      <c r="DR20" s="49">
        <f t="shared" ca="1" si="49"/>
        <v>7.2450000000000001</v>
      </c>
      <c r="DS20" s="49">
        <f t="shared" ca="1" si="49"/>
        <v>9.245000000000001</v>
      </c>
      <c r="DT20" s="49">
        <f t="shared" ca="1" si="49"/>
        <v>9.245000000000001</v>
      </c>
      <c r="DU20" s="49">
        <f t="shared" ca="1" si="49"/>
        <v>7.2450000000000001</v>
      </c>
      <c r="DV20" s="49">
        <f t="shared" ca="1" si="49"/>
        <v>10.245000000000001</v>
      </c>
      <c r="DW20" s="49">
        <f t="shared" ca="1" si="49"/>
        <v>11.245000000000001</v>
      </c>
      <c r="DX20" s="49">
        <f t="shared" ca="1" si="49"/>
        <v>11.245000000000001</v>
      </c>
      <c r="DY20" s="49">
        <f t="shared" ca="1" si="49"/>
        <v>8.245000000000001</v>
      </c>
      <c r="DZ20" s="49">
        <f t="shared" ca="1" si="49"/>
        <v>7.2450000000000001</v>
      </c>
      <c r="EA20" s="49">
        <f t="shared" ca="1" si="49"/>
        <v>8.245000000000001</v>
      </c>
      <c r="EB20" s="49">
        <f t="shared" ca="1" si="49"/>
        <v>7.2450000000000001</v>
      </c>
      <c r="EC20" s="49">
        <f t="shared" ca="1" si="49"/>
        <v>10.245000000000001</v>
      </c>
      <c r="ED20" s="49">
        <f t="shared" ca="1" si="49"/>
        <v>8.245000000000001</v>
      </c>
      <c r="EE20" s="49">
        <f t="shared" ca="1" si="49"/>
        <v>9.245000000000001</v>
      </c>
    </row>
    <row r="21" spans="1:135" x14ac:dyDescent="0.4">
      <c r="A21" s="29" t="str">
        <f t="shared" si="7"/>
        <v>KPI ID 14</v>
      </c>
      <c r="B21" s="47" t="s">
        <v>64</v>
      </c>
      <c r="C21" s="48" t="s">
        <v>16</v>
      </c>
      <c r="D21" s="49">
        <f t="shared" ref="D21:AI21" ca="1" si="50">RANDBETWEEN(300, 440)+1.245</f>
        <v>322.245</v>
      </c>
      <c r="E21" s="49">
        <f t="shared" ca="1" si="50"/>
        <v>391.245</v>
      </c>
      <c r="F21" s="49">
        <f t="shared" ca="1" si="50"/>
        <v>435.245</v>
      </c>
      <c r="G21" s="49">
        <f t="shared" ca="1" si="50"/>
        <v>380.245</v>
      </c>
      <c r="H21" s="49">
        <f t="shared" ca="1" si="50"/>
        <v>375.245</v>
      </c>
      <c r="I21" s="49">
        <f t="shared" ca="1" si="50"/>
        <v>316.245</v>
      </c>
      <c r="J21" s="49">
        <f t="shared" ca="1" si="50"/>
        <v>383.245</v>
      </c>
      <c r="K21" s="49">
        <f t="shared" ca="1" si="50"/>
        <v>351.245</v>
      </c>
      <c r="L21" s="49">
        <f t="shared" ca="1" si="50"/>
        <v>392.245</v>
      </c>
      <c r="M21" s="49">
        <f t="shared" ca="1" si="50"/>
        <v>374.245</v>
      </c>
      <c r="N21" s="49">
        <f t="shared" ca="1" si="50"/>
        <v>377.245</v>
      </c>
      <c r="O21" s="49">
        <f t="shared" ca="1" si="50"/>
        <v>385.245</v>
      </c>
      <c r="P21" s="49">
        <f t="shared" ca="1" si="50"/>
        <v>337.245</v>
      </c>
      <c r="Q21" s="49">
        <f t="shared" ca="1" si="50"/>
        <v>423.245</v>
      </c>
      <c r="R21" s="49">
        <f t="shared" ca="1" si="50"/>
        <v>337.245</v>
      </c>
      <c r="S21" s="49">
        <f t="shared" ca="1" si="50"/>
        <v>423.245</v>
      </c>
      <c r="T21" s="49">
        <f t="shared" ca="1" si="50"/>
        <v>381.245</v>
      </c>
      <c r="U21" s="49">
        <f t="shared" ca="1" si="50"/>
        <v>320.245</v>
      </c>
      <c r="V21" s="49">
        <f t="shared" ca="1" si="50"/>
        <v>368.245</v>
      </c>
      <c r="W21" s="49">
        <f t="shared" ca="1" si="50"/>
        <v>383.245</v>
      </c>
      <c r="X21" s="49">
        <f t="shared" ca="1" si="50"/>
        <v>383.245</v>
      </c>
      <c r="Y21" s="49">
        <f t="shared" ca="1" si="50"/>
        <v>440.245</v>
      </c>
      <c r="Z21" s="49">
        <f t="shared" ca="1" si="50"/>
        <v>387.245</v>
      </c>
      <c r="AA21" s="49">
        <f t="shared" ca="1" si="50"/>
        <v>343.245</v>
      </c>
      <c r="AB21" s="49">
        <f t="shared" ca="1" si="50"/>
        <v>336.245</v>
      </c>
      <c r="AC21" s="49">
        <f t="shared" ca="1" si="50"/>
        <v>344.245</v>
      </c>
      <c r="AD21" s="49">
        <f t="shared" ca="1" si="50"/>
        <v>369.245</v>
      </c>
      <c r="AE21" s="49">
        <f t="shared" ca="1" si="50"/>
        <v>320.245</v>
      </c>
      <c r="AF21" s="49">
        <f t="shared" ca="1" si="50"/>
        <v>326.245</v>
      </c>
      <c r="AG21" s="49">
        <f t="shared" ca="1" si="50"/>
        <v>374.245</v>
      </c>
      <c r="AH21" s="49">
        <f t="shared" ca="1" si="50"/>
        <v>385.245</v>
      </c>
      <c r="AI21" s="49">
        <f t="shared" ca="1" si="50"/>
        <v>337.245</v>
      </c>
      <c r="AJ21" s="49">
        <f t="shared" ref="AJ21:BO21" ca="1" si="51">RANDBETWEEN(300, 440)+1.245</f>
        <v>361.245</v>
      </c>
      <c r="AK21" s="49">
        <f t="shared" ca="1" si="51"/>
        <v>402.245</v>
      </c>
      <c r="AL21" s="49">
        <f t="shared" ca="1" si="51"/>
        <v>390.245</v>
      </c>
      <c r="AM21" s="49">
        <f t="shared" ca="1" si="51"/>
        <v>311.245</v>
      </c>
      <c r="AN21" s="49">
        <f t="shared" ca="1" si="51"/>
        <v>302.245</v>
      </c>
      <c r="AO21" s="49">
        <f t="shared" ca="1" si="51"/>
        <v>418.245</v>
      </c>
      <c r="AP21" s="49">
        <f t="shared" ca="1" si="51"/>
        <v>361.245</v>
      </c>
      <c r="AQ21" s="49">
        <f t="shared" ca="1" si="51"/>
        <v>409.245</v>
      </c>
      <c r="AR21" s="49">
        <f t="shared" ca="1" si="51"/>
        <v>395.245</v>
      </c>
      <c r="AS21" s="49">
        <f t="shared" ca="1" si="51"/>
        <v>343.245</v>
      </c>
      <c r="AT21" s="49">
        <f t="shared" ca="1" si="51"/>
        <v>348.245</v>
      </c>
      <c r="AU21" s="49">
        <f t="shared" ca="1" si="51"/>
        <v>389.245</v>
      </c>
      <c r="AV21" s="49">
        <f t="shared" ca="1" si="51"/>
        <v>373.245</v>
      </c>
      <c r="AW21" s="49">
        <f t="shared" ca="1" si="51"/>
        <v>374.245</v>
      </c>
      <c r="AX21" s="49">
        <f t="shared" ca="1" si="51"/>
        <v>419.245</v>
      </c>
      <c r="AY21" s="49">
        <f t="shared" ca="1" si="51"/>
        <v>379.245</v>
      </c>
      <c r="AZ21" s="49">
        <f t="shared" ca="1" si="51"/>
        <v>315.245</v>
      </c>
      <c r="BA21" s="49">
        <f t="shared" ca="1" si="51"/>
        <v>423.245</v>
      </c>
      <c r="BB21" s="49">
        <f t="shared" ca="1" si="51"/>
        <v>430.245</v>
      </c>
      <c r="BC21" s="49">
        <f t="shared" ca="1" si="51"/>
        <v>404.245</v>
      </c>
      <c r="BD21" s="49">
        <f t="shared" ca="1" si="51"/>
        <v>352.245</v>
      </c>
      <c r="BE21" s="49">
        <f t="shared" ca="1" si="51"/>
        <v>376.245</v>
      </c>
      <c r="BF21" s="49">
        <f t="shared" ca="1" si="51"/>
        <v>336.245</v>
      </c>
      <c r="BG21" s="49">
        <f t="shared" ca="1" si="51"/>
        <v>301.245</v>
      </c>
      <c r="BH21" s="49">
        <f t="shared" ca="1" si="51"/>
        <v>363.245</v>
      </c>
      <c r="BI21" s="49">
        <f t="shared" ca="1" si="51"/>
        <v>428.245</v>
      </c>
      <c r="BJ21" s="49">
        <f t="shared" ca="1" si="51"/>
        <v>320.245</v>
      </c>
      <c r="BK21" s="49">
        <f t="shared" ca="1" si="51"/>
        <v>413.245</v>
      </c>
      <c r="BL21" s="49">
        <f t="shared" ca="1" si="51"/>
        <v>361.245</v>
      </c>
      <c r="BM21" s="49">
        <f t="shared" ca="1" si="51"/>
        <v>418.245</v>
      </c>
      <c r="BN21" s="49">
        <f t="shared" ca="1" si="51"/>
        <v>321.245</v>
      </c>
      <c r="BO21" s="49">
        <f t="shared" ca="1" si="51"/>
        <v>392.245</v>
      </c>
      <c r="BP21" s="49">
        <f t="shared" ref="BP21:CU21" ca="1" si="52">RANDBETWEEN(300, 440)+1.245</f>
        <v>353.245</v>
      </c>
      <c r="BQ21" s="49">
        <f t="shared" ca="1" si="52"/>
        <v>402.245</v>
      </c>
      <c r="BR21" s="49">
        <f t="shared" ca="1" si="52"/>
        <v>317.245</v>
      </c>
      <c r="BS21" s="49">
        <f t="shared" ca="1" si="52"/>
        <v>409.245</v>
      </c>
      <c r="BT21" s="49">
        <f t="shared" ca="1" si="52"/>
        <v>325.245</v>
      </c>
      <c r="BU21" s="49">
        <f t="shared" ca="1" si="52"/>
        <v>363.245</v>
      </c>
      <c r="BV21" s="49">
        <f t="shared" ca="1" si="52"/>
        <v>368.245</v>
      </c>
      <c r="BW21" s="49">
        <f t="shared" ca="1" si="52"/>
        <v>321.245</v>
      </c>
      <c r="BX21" s="49">
        <f t="shared" ca="1" si="52"/>
        <v>324.245</v>
      </c>
      <c r="BY21" s="49">
        <f t="shared" ca="1" si="52"/>
        <v>363.245</v>
      </c>
      <c r="BZ21" s="49">
        <f t="shared" ca="1" si="52"/>
        <v>376.245</v>
      </c>
      <c r="CA21" s="49">
        <f t="shared" ca="1" si="52"/>
        <v>305.245</v>
      </c>
      <c r="CB21" s="49">
        <f t="shared" ca="1" si="52"/>
        <v>302.245</v>
      </c>
      <c r="CC21" s="49">
        <f t="shared" ca="1" si="52"/>
        <v>307.245</v>
      </c>
      <c r="CD21" s="49">
        <f t="shared" ca="1" si="52"/>
        <v>398.245</v>
      </c>
      <c r="CE21" s="49">
        <f t="shared" ca="1" si="52"/>
        <v>364.245</v>
      </c>
      <c r="CF21" s="49">
        <f t="shared" ca="1" si="52"/>
        <v>366.245</v>
      </c>
      <c r="CG21" s="49">
        <f t="shared" ca="1" si="52"/>
        <v>384.245</v>
      </c>
      <c r="CH21" s="49">
        <f t="shared" ca="1" si="52"/>
        <v>354.245</v>
      </c>
      <c r="CI21" s="49">
        <f t="shared" ca="1" si="52"/>
        <v>334.245</v>
      </c>
      <c r="CJ21" s="49">
        <f t="shared" ca="1" si="52"/>
        <v>337.245</v>
      </c>
      <c r="CK21" s="49">
        <f t="shared" ca="1" si="52"/>
        <v>355.245</v>
      </c>
      <c r="CL21" s="49">
        <f t="shared" ca="1" si="52"/>
        <v>377.245</v>
      </c>
      <c r="CM21" s="49">
        <f t="shared" ca="1" si="52"/>
        <v>411.245</v>
      </c>
      <c r="CN21" s="49">
        <f t="shared" ca="1" si="52"/>
        <v>431.245</v>
      </c>
      <c r="CO21" s="49">
        <f t="shared" ca="1" si="52"/>
        <v>412.245</v>
      </c>
      <c r="CP21" s="49">
        <f t="shared" ca="1" si="52"/>
        <v>313.245</v>
      </c>
      <c r="CQ21" s="49">
        <f t="shared" ca="1" si="52"/>
        <v>423.245</v>
      </c>
      <c r="CR21" s="49">
        <f t="shared" ca="1" si="52"/>
        <v>353.245</v>
      </c>
      <c r="CS21" s="49">
        <f t="shared" ca="1" si="52"/>
        <v>321.245</v>
      </c>
      <c r="CT21" s="49">
        <f t="shared" ca="1" si="52"/>
        <v>381.245</v>
      </c>
      <c r="CU21" s="49">
        <f t="shared" ca="1" si="52"/>
        <v>309.245</v>
      </c>
      <c r="CV21" s="49">
        <f t="shared" ref="CV21:EE21" ca="1" si="53">RANDBETWEEN(300, 440)+1.245</f>
        <v>329.245</v>
      </c>
      <c r="CW21" s="49">
        <f t="shared" ca="1" si="53"/>
        <v>416.245</v>
      </c>
      <c r="CX21" s="49">
        <f t="shared" ca="1" si="53"/>
        <v>312.245</v>
      </c>
      <c r="CY21" s="49">
        <f t="shared" ca="1" si="53"/>
        <v>375.245</v>
      </c>
      <c r="CZ21" s="49">
        <f t="shared" ca="1" si="53"/>
        <v>392.245</v>
      </c>
      <c r="DA21" s="49">
        <f t="shared" ca="1" si="53"/>
        <v>406.245</v>
      </c>
      <c r="DB21" s="49">
        <f t="shared" ca="1" si="53"/>
        <v>324.245</v>
      </c>
      <c r="DC21" s="49">
        <f t="shared" ca="1" si="53"/>
        <v>388.245</v>
      </c>
      <c r="DD21" s="49">
        <f t="shared" ca="1" si="53"/>
        <v>359.245</v>
      </c>
      <c r="DE21" s="49">
        <f t="shared" ca="1" si="53"/>
        <v>313.245</v>
      </c>
      <c r="DF21" s="49">
        <f t="shared" ca="1" si="53"/>
        <v>401.245</v>
      </c>
      <c r="DG21" s="49">
        <f t="shared" ca="1" si="53"/>
        <v>336.245</v>
      </c>
      <c r="DH21" s="49">
        <f t="shared" ca="1" si="53"/>
        <v>416.245</v>
      </c>
      <c r="DI21" s="49">
        <f t="shared" ca="1" si="53"/>
        <v>378.245</v>
      </c>
      <c r="DJ21" s="49">
        <f t="shared" ca="1" si="53"/>
        <v>355.245</v>
      </c>
      <c r="DK21" s="49">
        <f t="shared" ca="1" si="53"/>
        <v>316.245</v>
      </c>
      <c r="DL21" s="49">
        <f t="shared" ca="1" si="53"/>
        <v>411.245</v>
      </c>
      <c r="DM21" s="49">
        <f t="shared" ca="1" si="53"/>
        <v>365.245</v>
      </c>
      <c r="DN21" s="49">
        <f t="shared" ca="1" si="53"/>
        <v>435.245</v>
      </c>
      <c r="DO21" s="49">
        <f t="shared" ca="1" si="53"/>
        <v>303.245</v>
      </c>
      <c r="DP21" s="49">
        <f t="shared" ca="1" si="53"/>
        <v>368.245</v>
      </c>
      <c r="DQ21" s="49">
        <f t="shared" ca="1" si="53"/>
        <v>417.245</v>
      </c>
      <c r="DR21" s="49">
        <f t="shared" ca="1" si="53"/>
        <v>393.245</v>
      </c>
      <c r="DS21" s="49">
        <f t="shared" ca="1" si="53"/>
        <v>434.245</v>
      </c>
      <c r="DT21" s="49">
        <f t="shared" ca="1" si="53"/>
        <v>394.245</v>
      </c>
      <c r="DU21" s="49">
        <f t="shared" ca="1" si="53"/>
        <v>357.245</v>
      </c>
      <c r="DV21" s="49">
        <f t="shared" ca="1" si="53"/>
        <v>337.245</v>
      </c>
      <c r="DW21" s="49">
        <f t="shared" ca="1" si="53"/>
        <v>340.245</v>
      </c>
      <c r="DX21" s="49">
        <f t="shared" ca="1" si="53"/>
        <v>385.245</v>
      </c>
      <c r="DY21" s="49">
        <f t="shared" ca="1" si="53"/>
        <v>325.245</v>
      </c>
      <c r="DZ21" s="49">
        <f t="shared" ca="1" si="53"/>
        <v>307.245</v>
      </c>
      <c r="EA21" s="49">
        <f t="shared" ca="1" si="53"/>
        <v>391.245</v>
      </c>
      <c r="EB21" s="49">
        <f t="shared" ca="1" si="53"/>
        <v>387.245</v>
      </c>
      <c r="EC21" s="49">
        <f t="shared" ca="1" si="53"/>
        <v>368.245</v>
      </c>
      <c r="ED21" s="49">
        <f t="shared" ca="1" si="53"/>
        <v>380.245</v>
      </c>
      <c r="EE21" s="49">
        <f t="shared" ca="1" si="53"/>
        <v>438.245</v>
      </c>
    </row>
    <row r="22" spans="1:135" x14ac:dyDescent="0.4">
      <c r="A22" s="29" t="str">
        <f t="shared" si="7"/>
        <v>KPI ID 15</v>
      </c>
      <c r="B22" s="47" t="s">
        <v>64</v>
      </c>
      <c r="C22" s="48" t="s">
        <v>17</v>
      </c>
      <c r="D22" s="49">
        <f t="shared" ref="D22:M23" ca="1" si="54">RAND()</f>
        <v>0.40635262969489727</v>
      </c>
      <c r="E22" s="49">
        <f t="shared" ca="1" si="54"/>
        <v>0.72225977497648075</v>
      </c>
      <c r="F22" s="49">
        <f t="shared" ca="1" si="54"/>
        <v>0.38684600421682092</v>
      </c>
      <c r="G22" s="49">
        <f t="shared" ca="1" si="54"/>
        <v>0.19812496903886601</v>
      </c>
      <c r="H22" s="49">
        <f t="shared" ca="1" si="54"/>
        <v>0.44783520286157541</v>
      </c>
      <c r="I22" s="49">
        <f t="shared" ca="1" si="54"/>
        <v>9.1623451922594468E-2</v>
      </c>
      <c r="J22" s="49">
        <f t="shared" ca="1" si="54"/>
        <v>0.18588529693346756</v>
      </c>
      <c r="K22" s="49">
        <f t="shared" ca="1" si="54"/>
        <v>0.13226080151306852</v>
      </c>
      <c r="L22" s="49">
        <f t="shared" ca="1" si="54"/>
        <v>0.44959491094709925</v>
      </c>
      <c r="M22" s="49">
        <f t="shared" ca="1" si="54"/>
        <v>0.54886222577629984</v>
      </c>
      <c r="N22" s="49">
        <f t="shared" ref="N22:W23" ca="1" si="55">RAND()</f>
        <v>0.3532551236532715</v>
      </c>
      <c r="O22" s="49">
        <f t="shared" ca="1" si="55"/>
        <v>0.29925156151539545</v>
      </c>
      <c r="P22" s="49">
        <f t="shared" ca="1" si="55"/>
        <v>0.74820471695550816</v>
      </c>
      <c r="Q22" s="49">
        <f t="shared" ca="1" si="55"/>
        <v>3.6843933961494546E-4</v>
      </c>
      <c r="R22" s="49">
        <f t="shared" ca="1" si="55"/>
        <v>0.20332292635433646</v>
      </c>
      <c r="S22" s="49">
        <f t="shared" ca="1" si="55"/>
        <v>0.88362425752388352</v>
      </c>
      <c r="T22" s="49">
        <f t="shared" ca="1" si="55"/>
        <v>0.1973784053486819</v>
      </c>
      <c r="U22" s="49">
        <f t="shared" ca="1" si="55"/>
        <v>0.17600419307704585</v>
      </c>
      <c r="V22" s="49">
        <f t="shared" ca="1" si="55"/>
        <v>0.19255150334804005</v>
      </c>
      <c r="W22" s="49">
        <f t="shared" ca="1" si="55"/>
        <v>0.67574364250994667</v>
      </c>
      <c r="X22" s="49">
        <f t="shared" ref="X22:AG23" ca="1" si="56">RAND()</f>
        <v>0.30446817846862695</v>
      </c>
      <c r="Y22" s="49">
        <f t="shared" ca="1" si="56"/>
        <v>0.22861655996331087</v>
      </c>
      <c r="Z22" s="49">
        <f t="shared" ca="1" si="56"/>
        <v>0.29074042596277805</v>
      </c>
      <c r="AA22" s="49">
        <f t="shared" ca="1" si="56"/>
        <v>0.68089270125142698</v>
      </c>
      <c r="AB22" s="49">
        <f t="shared" ca="1" si="56"/>
        <v>0.7335420830628222</v>
      </c>
      <c r="AC22" s="49">
        <f t="shared" ca="1" si="56"/>
        <v>0.80357484678578217</v>
      </c>
      <c r="AD22" s="49">
        <f t="shared" ca="1" si="56"/>
        <v>0.8939589118460588</v>
      </c>
      <c r="AE22" s="49">
        <f t="shared" ca="1" si="56"/>
        <v>0.56477944360793964</v>
      </c>
      <c r="AF22" s="49">
        <f t="shared" ca="1" si="56"/>
        <v>0.66019512074382058</v>
      </c>
      <c r="AG22" s="49">
        <f t="shared" ca="1" si="56"/>
        <v>0.24549000428991596</v>
      </c>
      <c r="AH22" s="49">
        <f t="shared" ref="AH22:AQ23" ca="1" si="57">RAND()</f>
        <v>0.7253220504531015</v>
      </c>
      <c r="AI22" s="49">
        <f t="shared" ca="1" si="57"/>
        <v>0.58675884975736115</v>
      </c>
      <c r="AJ22" s="49">
        <f t="shared" ca="1" si="57"/>
        <v>0.44553648332983375</v>
      </c>
      <c r="AK22" s="49">
        <f t="shared" ca="1" si="57"/>
        <v>0.37418591952311842</v>
      </c>
      <c r="AL22" s="49">
        <f t="shared" ca="1" si="57"/>
        <v>0.64191498160498028</v>
      </c>
      <c r="AM22" s="49">
        <f t="shared" ca="1" si="57"/>
        <v>3.4268818060428918E-2</v>
      </c>
      <c r="AN22" s="49">
        <f t="shared" ca="1" si="57"/>
        <v>0.70696007269215266</v>
      </c>
      <c r="AO22" s="49">
        <f t="shared" ca="1" si="57"/>
        <v>0.88578078453573494</v>
      </c>
      <c r="AP22" s="49">
        <f t="shared" ca="1" si="57"/>
        <v>0.1567873550698935</v>
      </c>
      <c r="AQ22" s="49">
        <f t="shared" ca="1" si="57"/>
        <v>0.19806188198871</v>
      </c>
      <c r="AR22" s="49">
        <f t="shared" ref="AR22:BA23" ca="1" si="58">RAND()</f>
        <v>0.34943532303416502</v>
      </c>
      <c r="AS22" s="49">
        <f t="shared" ca="1" si="58"/>
        <v>0.18053742964339481</v>
      </c>
      <c r="AT22" s="49">
        <f t="shared" ca="1" si="58"/>
        <v>0.13004900386364415</v>
      </c>
      <c r="AU22" s="49">
        <f t="shared" ca="1" si="58"/>
        <v>2.9810578943527011E-2</v>
      </c>
      <c r="AV22" s="49">
        <f t="shared" ca="1" si="58"/>
        <v>0.51899065273042722</v>
      </c>
      <c r="AW22" s="49">
        <f t="shared" ca="1" si="58"/>
        <v>0.95926722138754439</v>
      </c>
      <c r="AX22" s="49">
        <f t="shared" ca="1" si="58"/>
        <v>0.67425589643535722</v>
      </c>
      <c r="AY22" s="49">
        <f t="shared" ca="1" si="58"/>
        <v>0.28351583885803811</v>
      </c>
      <c r="AZ22" s="49">
        <f t="shared" ca="1" si="58"/>
        <v>8.4499913490312828E-2</v>
      </c>
      <c r="BA22" s="49">
        <f t="shared" ca="1" si="58"/>
        <v>0.1288353922459341</v>
      </c>
      <c r="BB22" s="49">
        <f t="shared" ref="BB22:BK23" ca="1" si="59">RAND()</f>
        <v>0.18267416744852083</v>
      </c>
      <c r="BC22" s="49">
        <f t="shared" ca="1" si="59"/>
        <v>0.90535889713653317</v>
      </c>
      <c r="BD22" s="49">
        <f t="shared" ca="1" si="59"/>
        <v>0.9938502145823358</v>
      </c>
      <c r="BE22" s="49">
        <f t="shared" ca="1" si="59"/>
        <v>0.70065510658124452</v>
      </c>
      <c r="BF22" s="49">
        <f t="shared" ca="1" si="59"/>
        <v>0.53943785401140731</v>
      </c>
      <c r="BG22" s="49">
        <f t="shared" ca="1" si="59"/>
        <v>0.83500277835663028</v>
      </c>
      <c r="BH22" s="49">
        <f t="shared" ca="1" si="59"/>
        <v>0.17536876449800787</v>
      </c>
      <c r="BI22" s="49">
        <f t="shared" ca="1" si="59"/>
        <v>0.13804416279773324</v>
      </c>
      <c r="BJ22" s="49">
        <f t="shared" ca="1" si="59"/>
        <v>0.75330472208754917</v>
      </c>
      <c r="BK22" s="49">
        <f t="shared" ca="1" si="59"/>
        <v>0.32874237269127737</v>
      </c>
      <c r="BL22" s="49">
        <f t="shared" ref="BL22:BU23" ca="1" si="60">RAND()</f>
        <v>0.18141655328853623</v>
      </c>
      <c r="BM22" s="49">
        <f t="shared" ca="1" si="60"/>
        <v>0.38885211113117901</v>
      </c>
      <c r="BN22" s="49">
        <f t="shared" ca="1" si="60"/>
        <v>0.3642250800241198</v>
      </c>
      <c r="BO22" s="49">
        <f t="shared" ca="1" si="60"/>
        <v>0.81132566035091747</v>
      </c>
      <c r="BP22" s="49">
        <f t="shared" ca="1" si="60"/>
        <v>0.45957583224641996</v>
      </c>
      <c r="BQ22" s="49">
        <f t="shared" ca="1" si="60"/>
        <v>0.56601788168084777</v>
      </c>
      <c r="BR22" s="49">
        <f t="shared" ca="1" si="60"/>
        <v>0.54783136577398583</v>
      </c>
      <c r="BS22" s="49">
        <f t="shared" ca="1" si="60"/>
        <v>0.2651815898754849</v>
      </c>
      <c r="BT22" s="49">
        <f t="shared" ca="1" si="60"/>
        <v>0.34285610721662307</v>
      </c>
      <c r="BU22" s="49">
        <f t="shared" ca="1" si="60"/>
        <v>0.79571824650853795</v>
      </c>
      <c r="BV22" s="49">
        <f t="shared" ref="BV22:CE23" ca="1" si="61">RAND()</f>
        <v>0.73687078024570873</v>
      </c>
      <c r="BW22" s="49">
        <f t="shared" ca="1" si="61"/>
        <v>0.8406889210154499</v>
      </c>
      <c r="BX22" s="49">
        <f t="shared" ca="1" si="61"/>
        <v>0.66244447144445429</v>
      </c>
      <c r="BY22" s="49">
        <f t="shared" ca="1" si="61"/>
        <v>0.22317999927882826</v>
      </c>
      <c r="BZ22" s="49">
        <f t="shared" ca="1" si="61"/>
        <v>0.49136319498307091</v>
      </c>
      <c r="CA22" s="49">
        <f t="shared" ca="1" si="61"/>
        <v>0.30174892710548729</v>
      </c>
      <c r="CB22" s="49">
        <f t="shared" ca="1" si="61"/>
        <v>0.56639324423919846</v>
      </c>
      <c r="CC22" s="49">
        <f t="shared" ca="1" si="61"/>
        <v>0.77877236312341913</v>
      </c>
      <c r="CD22" s="49">
        <f t="shared" ca="1" si="61"/>
        <v>0.5625121780310286</v>
      </c>
      <c r="CE22" s="49">
        <f t="shared" ca="1" si="61"/>
        <v>0.4528518684398033</v>
      </c>
      <c r="CF22" s="49">
        <f t="shared" ref="CF22:CO23" ca="1" si="62">RAND()</f>
        <v>0.29120448931706688</v>
      </c>
      <c r="CG22" s="49">
        <f t="shared" ca="1" si="62"/>
        <v>0.40760146743686498</v>
      </c>
      <c r="CH22" s="49">
        <f t="shared" ca="1" si="62"/>
        <v>0.30028889888786814</v>
      </c>
      <c r="CI22" s="49">
        <f t="shared" ca="1" si="62"/>
        <v>0.21254480787276486</v>
      </c>
      <c r="CJ22" s="49">
        <f t="shared" ca="1" si="62"/>
        <v>0.29885212896044411</v>
      </c>
      <c r="CK22" s="49">
        <f t="shared" ca="1" si="62"/>
        <v>0.15472594356292169</v>
      </c>
      <c r="CL22" s="49">
        <f t="shared" ca="1" si="62"/>
        <v>0.87559310073709096</v>
      </c>
      <c r="CM22" s="49">
        <f t="shared" ca="1" si="62"/>
        <v>0.53525470422199184</v>
      </c>
      <c r="CN22" s="49">
        <f t="shared" ca="1" si="62"/>
        <v>0.99277403920256435</v>
      </c>
      <c r="CO22" s="49">
        <f t="shared" ca="1" si="62"/>
        <v>0.71055696964954163</v>
      </c>
      <c r="CP22" s="49">
        <f t="shared" ref="CP22:CY23" ca="1" si="63">RAND()</f>
        <v>0.89138140995328941</v>
      </c>
      <c r="CQ22" s="49">
        <f t="shared" ca="1" si="63"/>
        <v>0.79912981015205675</v>
      </c>
      <c r="CR22" s="49">
        <f t="shared" ca="1" si="63"/>
        <v>0.3347602487551784</v>
      </c>
      <c r="CS22" s="49">
        <f t="shared" ca="1" si="63"/>
        <v>0.41552619422604808</v>
      </c>
      <c r="CT22" s="49">
        <f t="shared" ca="1" si="63"/>
        <v>0.75907611355315263</v>
      </c>
      <c r="CU22" s="49">
        <f t="shared" ca="1" si="63"/>
        <v>0.56450810437453969</v>
      </c>
      <c r="CV22" s="49">
        <f t="shared" ca="1" si="63"/>
        <v>0.82578901007688021</v>
      </c>
      <c r="CW22" s="49">
        <f t="shared" ca="1" si="63"/>
        <v>0.62722496782482118</v>
      </c>
      <c r="CX22" s="49">
        <f t="shared" ca="1" si="63"/>
        <v>0.37239018778106669</v>
      </c>
      <c r="CY22" s="49">
        <f t="shared" ca="1" si="63"/>
        <v>0.16590712857348677</v>
      </c>
      <c r="CZ22" s="49">
        <f t="shared" ref="CZ22:DI23" ca="1" si="64">RAND()</f>
        <v>0.38748823724528858</v>
      </c>
      <c r="DA22" s="49">
        <f t="shared" ca="1" si="64"/>
        <v>0.22676378910100459</v>
      </c>
      <c r="DB22" s="49">
        <f t="shared" ca="1" si="64"/>
        <v>0.29409529301703297</v>
      </c>
      <c r="DC22" s="49">
        <f t="shared" ca="1" si="64"/>
        <v>0.21937620490340171</v>
      </c>
      <c r="DD22" s="49">
        <f t="shared" ca="1" si="64"/>
        <v>0.4424005385851365</v>
      </c>
      <c r="DE22" s="49">
        <f t="shared" ca="1" si="64"/>
        <v>0.71201687105865341</v>
      </c>
      <c r="DF22" s="49">
        <f t="shared" ca="1" si="64"/>
        <v>0.48729272683256564</v>
      </c>
      <c r="DG22" s="49">
        <f t="shared" ca="1" si="64"/>
        <v>0.19939455824026187</v>
      </c>
      <c r="DH22" s="49">
        <f t="shared" ca="1" si="64"/>
        <v>0.63145680783059432</v>
      </c>
      <c r="DI22" s="49">
        <f t="shared" ca="1" si="64"/>
        <v>0.58727665263697315</v>
      </c>
      <c r="DJ22" s="49">
        <f t="shared" ref="DJ22:DS23" ca="1" si="65">RAND()</f>
        <v>0.79198704743833948</v>
      </c>
      <c r="DK22" s="49">
        <f t="shared" ca="1" si="65"/>
        <v>0.98936777307570212</v>
      </c>
      <c r="DL22" s="49">
        <f t="shared" ca="1" si="65"/>
        <v>0.18075660491184897</v>
      </c>
      <c r="DM22" s="49">
        <f t="shared" ca="1" si="65"/>
        <v>0.5314813687802995</v>
      </c>
      <c r="DN22" s="49">
        <f t="shared" ca="1" si="65"/>
        <v>0.79444597817623774</v>
      </c>
      <c r="DO22" s="49">
        <f t="shared" ca="1" si="65"/>
        <v>8.8799681982394518E-2</v>
      </c>
      <c r="DP22" s="49">
        <f t="shared" ca="1" si="65"/>
        <v>0.10982801057482261</v>
      </c>
      <c r="DQ22" s="49">
        <f t="shared" ca="1" si="65"/>
        <v>0.32897921938073871</v>
      </c>
      <c r="DR22" s="49">
        <f t="shared" ca="1" si="65"/>
        <v>0.55104608085458995</v>
      </c>
      <c r="DS22" s="49">
        <f t="shared" ca="1" si="65"/>
        <v>0.28602847400820997</v>
      </c>
      <c r="DT22" s="49">
        <f t="shared" ref="DT22:EE23" ca="1" si="66">RAND()</f>
        <v>0.4833363779517873</v>
      </c>
      <c r="DU22" s="49">
        <f t="shared" ca="1" si="66"/>
        <v>0.59806232285422112</v>
      </c>
      <c r="DV22" s="49">
        <f t="shared" ca="1" si="66"/>
        <v>0.84686845025171253</v>
      </c>
      <c r="DW22" s="49">
        <f t="shared" ca="1" si="66"/>
        <v>9.6035045509495154E-2</v>
      </c>
      <c r="DX22" s="49">
        <f t="shared" ca="1" si="66"/>
        <v>0.52982536121131829</v>
      </c>
      <c r="DY22" s="49">
        <f t="shared" ca="1" si="66"/>
        <v>0.87632186260772671</v>
      </c>
      <c r="DZ22" s="49">
        <f t="shared" ca="1" si="66"/>
        <v>0.20469793539662096</v>
      </c>
      <c r="EA22" s="49">
        <f t="shared" ca="1" si="66"/>
        <v>0.77919120929088737</v>
      </c>
      <c r="EB22" s="49">
        <f t="shared" ca="1" si="66"/>
        <v>0.21869220698356806</v>
      </c>
      <c r="EC22" s="49">
        <f t="shared" ca="1" si="66"/>
        <v>0.56845653046256239</v>
      </c>
      <c r="ED22" s="49">
        <f t="shared" ca="1" si="66"/>
        <v>0.65423570801521258</v>
      </c>
      <c r="EE22" s="49">
        <f t="shared" ca="1" si="66"/>
        <v>0.22593371496188208</v>
      </c>
    </row>
    <row r="23" spans="1:135" x14ac:dyDescent="0.4">
      <c r="A23" s="29" t="str">
        <f t="shared" si="7"/>
        <v>KPI ID 16 %</v>
      </c>
      <c r="B23" s="47" t="s">
        <v>64</v>
      </c>
      <c r="C23" s="48" t="s">
        <v>18</v>
      </c>
      <c r="D23" s="49">
        <f t="shared" ca="1" si="54"/>
        <v>0.66519656913966718</v>
      </c>
      <c r="E23" s="49">
        <f t="shared" ca="1" si="54"/>
        <v>0.65351927110208763</v>
      </c>
      <c r="F23" s="49">
        <f t="shared" ca="1" si="54"/>
        <v>0.94392856421377591</v>
      </c>
      <c r="G23" s="49">
        <f t="shared" ca="1" si="54"/>
        <v>0.75542460513799481</v>
      </c>
      <c r="H23" s="49">
        <f t="shared" ca="1" si="54"/>
        <v>0.91444853692971895</v>
      </c>
      <c r="I23" s="49">
        <f t="shared" ca="1" si="54"/>
        <v>0.42971117267895487</v>
      </c>
      <c r="J23" s="49">
        <f t="shared" ca="1" si="54"/>
        <v>0.45934709419313635</v>
      </c>
      <c r="K23" s="49">
        <f t="shared" ca="1" si="54"/>
        <v>0.52484485529115521</v>
      </c>
      <c r="L23" s="49">
        <f t="shared" ca="1" si="54"/>
        <v>0.21508409406980822</v>
      </c>
      <c r="M23" s="49">
        <f t="shared" ca="1" si="54"/>
        <v>4.5384706188348112E-2</v>
      </c>
      <c r="N23" s="49">
        <f t="shared" ca="1" si="55"/>
        <v>0.94104501472909885</v>
      </c>
      <c r="O23" s="49">
        <f t="shared" ca="1" si="55"/>
        <v>0.60081889838667124</v>
      </c>
      <c r="P23" s="49">
        <f t="shared" ca="1" si="55"/>
        <v>7.1169869385130813E-2</v>
      </c>
      <c r="Q23" s="49">
        <f t="shared" ca="1" si="55"/>
        <v>0.70584103139501908</v>
      </c>
      <c r="R23" s="49">
        <f t="shared" ca="1" si="55"/>
        <v>0.26824056191760792</v>
      </c>
      <c r="S23" s="49">
        <f t="shared" ca="1" si="55"/>
        <v>0.70936193600339614</v>
      </c>
      <c r="T23" s="49">
        <f t="shared" ca="1" si="55"/>
        <v>0.1695208439175695</v>
      </c>
      <c r="U23" s="49">
        <f t="shared" ca="1" si="55"/>
        <v>0.993443462363784</v>
      </c>
      <c r="V23" s="49">
        <f t="shared" ca="1" si="55"/>
        <v>6.4978193806842888E-2</v>
      </c>
      <c r="W23" s="49">
        <f t="shared" ca="1" si="55"/>
        <v>0.63020495424966583</v>
      </c>
      <c r="X23" s="49">
        <f t="shared" ca="1" si="56"/>
        <v>0.24678558518018234</v>
      </c>
      <c r="Y23" s="49">
        <f t="shared" ca="1" si="56"/>
        <v>0.40374035993437063</v>
      </c>
      <c r="Z23" s="49">
        <f t="shared" ca="1" si="56"/>
        <v>0.24021299009496777</v>
      </c>
      <c r="AA23" s="49">
        <f t="shared" ca="1" si="56"/>
        <v>0.10641982833382568</v>
      </c>
      <c r="AB23" s="49">
        <f t="shared" ca="1" si="56"/>
        <v>0.18072255702668738</v>
      </c>
      <c r="AC23" s="49">
        <f t="shared" ca="1" si="56"/>
        <v>0.89395564147844853</v>
      </c>
      <c r="AD23" s="49">
        <f t="shared" ca="1" si="56"/>
        <v>5.6633463484741076E-2</v>
      </c>
      <c r="AE23" s="49">
        <f t="shared" ca="1" si="56"/>
        <v>0.57800863064300856</v>
      </c>
      <c r="AF23" s="49">
        <f t="shared" ca="1" si="56"/>
        <v>0.87982531063225167</v>
      </c>
      <c r="AG23" s="49">
        <f t="shared" ca="1" si="56"/>
        <v>8.3350685350841891E-2</v>
      </c>
      <c r="AH23" s="49">
        <f t="shared" ca="1" si="57"/>
        <v>0.55734837898773015</v>
      </c>
      <c r="AI23" s="49">
        <f t="shared" ca="1" si="57"/>
        <v>0.24033289566511584</v>
      </c>
      <c r="AJ23" s="49">
        <f t="shared" ca="1" si="57"/>
        <v>0.25117936517623207</v>
      </c>
      <c r="AK23" s="49">
        <f t="shared" ca="1" si="57"/>
        <v>0.55426268489801123</v>
      </c>
      <c r="AL23" s="49">
        <f t="shared" ca="1" si="57"/>
        <v>0.48089184602271884</v>
      </c>
      <c r="AM23" s="49">
        <f t="shared" ca="1" si="57"/>
        <v>0.95893939466976841</v>
      </c>
      <c r="AN23" s="49">
        <f t="shared" ca="1" si="57"/>
        <v>0.34032763902074092</v>
      </c>
      <c r="AO23" s="49">
        <f t="shared" ca="1" si="57"/>
        <v>0.70932523734555608</v>
      </c>
      <c r="AP23" s="49">
        <f t="shared" ca="1" si="57"/>
        <v>6.8216107771746914E-3</v>
      </c>
      <c r="AQ23" s="49">
        <f t="shared" ca="1" si="57"/>
        <v>0.56834349666330231</v>
      </c>
      <c r="AR23" s="49">
        <f t="shared" ca="1" si="58"/>
        <v>2.0635334028121233E-2</v>
      </c>
      <c r="AS23" s="49">
        <f t="shared" ca="1" si="58"/>
        <v>0.52434816290177932</v>
      </c>
      <c r="AT23" s="49">
        <f t="shared" ca="1" si="58"/>
        <v>0.16930288240801028</v>
      </c>
      <c r="AU23" s="49">
        <f t="shared" ca="1" si="58"/>
        <v>0.7905791842026707</v>
      </c>
      <c r="AV23" s="49">
        <f t="shared" ca="1" si="58"/>
        <v>0.38658974318383421</v>
      </c>
      <c r="AW23" s="49">
        <f t="shared" ca="1" si="58"/>
        <v>0.18574219233909683</v>
      </c>
      <c r="AX23" s="49">
        <f t="shared" ca="1" si="58"/>
        <v>0.96970138536497408</v>
      </c>
      <c r="AY23" s="49">
        <f t="shared" ca="1" si="58"/>
        <v>0.64009033079141076</v>
      </c>
      <c r="AZ23" s="49">
        <f t="shared" ca="1" si="58"/>
        <v>0.13738423872422745</v>
      </c>
      <c r="BA23" s="49">
        <f t="shared" ca="1" si="58"/>
        <v>0.24612705414830838</v>
      </c>
      <c r="BB23" s="49">
        <f t="shared" ca="1" si="59"/>
        <v>0.31388452409728496</v>
      </c>
      <c r="BC23" s="49">
        <f t="shared" ca="1" si="59"/>
        <v>0.92758758818665388</v>
      </c>
      <c r="BD23" s="49">
        <f t="shared" ca="1" si="59"/>
        <v>0.2016588360302275</v>
      </c>
      <c r="BE23" s="49">
        <f t="shared" ca="1" si="59"/>
        <v>0.50586797422578256</v>
      </c>
      <c r="BF23" s="49">
        <f t="shared" ca="1" si="59"/>
        <v>0.76087065441953172</v>
      </c>
      <c r="BG23" s="49">
        <f t="shared" ca="1" si="59"/>
        <v>0.63232781128013238</v>
      </c>
      <c r="BH23" s="49">
        <f t="shared" ca="1" si="59"/>
        <v>0.27506242126608826</v>
      </c>
      <c r="BI23" s="49">
        <f t="shared" ca="1" si="59"/>
        <v>0.32227600841031123</v>
      </c>
      <c r="BJ23" s="49">
        <f t="shared" ca="1" si="59"/>
        <v>0.56482886898004003</v>
      </c>
      <c r="BK23" s="49">
        <f t="shared" ca="1" si="59"/>
        <v>8.2158242993291108E-2</v>
      </c>
      <c r="BL23" s="49">
        <f t="shared" ca="1" si="60"/>
        <v>0.13994833279864582</v>
      </c>
      <c r="BM23" s="49">
        <f t="shared" ca="1" si="60"/>
        <v>0.29509329592634714</v>
      </c>
      <c r="BN23" s="49">
        <f t="shared" ca="1" si="60"/>
        <v>2.2999399154393196E-2</v>
      </c>
      <c r="BO23" s="49">
        <f t="shared" ca="1" si="60"/>
        <v>0.61084900791619667</v>
      </c>
      <c r="BP23" s="49">
        <f t="shared" ca="1" si="60"/>
        <v>0.10579382224288658</v>
      </c>
      <c r="BQ23" s="49">
        <f t="shared" ca="1" si="60"/>
        <v>2.7169942056178953E-2</v>
      </c>
      <c r="BR23" s="49">
        <f t="shared" ca="1" si="60"/>
        <v>0.48591816565401413</v>
      </c>
      <c r="BS23" s="49">
        <f t="shared" ca="1" si="60"/>
        <v>0.20698165673120594</v>
      </c>
      <c r="BT23" s="49">
        <f t="shared" ca="1" si="60"/>
        <v>0.9038737911774295</v>
      </c>
      <c r="BU23" s="49">
        <f t="shared" ca="1" si="60"/>
        <v>0.46045550528859913</v>
      </c>
      <c r="BV23" s="49">
        <f t="shared" ca="1" si="61"/>
        <v>0.62698384945633379</v>
      </c>
      <c r="BW23" s="49">
        <f t="shared" ca="1" si="61"/>
        <v>8.5295334806369971E-2</v>
      </c>
      <c r="BX23" s="49">
        <f t="shared" ca="1" si="61"/>
        <v>0.79607164378131023</v>
      </c>
      <c r="BY23" s="49">
        <f t="shared" ca="1" si="61"/>
        <v>0.87470065625766835</v>
      </c>
      <c r="BZ23" s="49">
        <f t="shared" ca="1" si="61"/>
        <v>0.13080463315339463</v>
      </c>
      <c r="CA23" s="49">
        <f t="shared" ca="1" si="61"/>
        <v>0.28234475555484306</v>
      </c>
      <c r="CB23" s="49">
        <f t="shared" ca="1" si="61"/>
        <v>0.54374246714273766</v>
      </c>
      <c r="CC23" s="49">
        <f t="shared" ca="1" si="61"/>
        <v>0.26171356813603086</v>
      </c>
      <c r="CD23" s="49">
        <f t="shared" ca="1" si="61"/>
        <v>0.92803183295926939</v>
      </c>
      <c r="CE23" s="49">
        <f t="shared" ca="1" si="61"/>
        <v>0.2801627566267737</v>
      </c>
      <c r="CF23" s="49">
        <f t="shared" ca="1" si="62"/>
        <v>0.47462106116761082</v>
      </c>
      <c r="CG23" s="49">
        <f t="shared" ca="1" si="62"/>
        <v>0.43720535900972068</v>
      </c>
      <c r="CH23" s="49">
        <f t="shared" ca="1" si="62"/>
        <v>0.62060771382139301</v>
      </c>
      <c r="CI23" s="49">
        <f t="shared" ca="1" si="62"/>
        <v>0.63621447974323131</v>
      </c>
      <c r="CJ23" s="49">
        <f t="shared" ca="1" si="62"/>
        <v>0.932433895787534</v>
      </c>
      <c r="CK23" s="49">
        <f t="shared" ca="1" si="62"/>
        <v>0.52816167038421469</v>
      </c>
      <c r="CL23" s="49">
        <f t="shared" ca="1" si="62"/>
        <v>0.23182048717843362</v>
      </c>
      <c r="CM23" s="49">
        <f t="shared" ca="1" si="62"/>
        <v>0.31526641109301023</v>
      </c>
      <c r="CN23" s="49">
        <f t="shared" ca="1" si="62"/>
        <v>0.48273317292124596</v>
      </c>
      <c r="CO23" s="49">
        <f t="shared" ca="1" si="62"/>
        <v>0.74387889837180576</v>
      </c>
      <c r="CP23" s="49">
        <f t="shared" ca="1" si="63"/>
        <v>0.97380684239402571</v>
      </c>
      <c r="CQ23" s="49">
        <f t="shared" ca="1" si="63"/>
        <v>0.12371052305690633</v>
      </c>
      <c r="CR23" s="49">
        <f t="shared" ca="1" si="63"/>
        <v>0.43819893450561453</v>
      </c>
      <c r="CS23" s="49">
        <f t="shared" ca="1" si="63"/>
        <v>0.45938396862617459</v>
      </c>
      <c r="CT23" s="49">
        <f t="shared" ca="1" si="63"/>
        <v>0.16056284077189908</v>
      </c>
      <c r="CU23" s="49">
        <f t="shared" ca="1" si="63"/>
        <v>0.92359524048142683</v>
      </c>
      <c r="CV23" s="49">
        <f t="shared" ca="1" si="63"/>
        <v>0.79553234440594778</v>
      </c>
      <c r="CW23" s="49">
        <f t="shared" ca="1" si="63"/>
        <v>0.91534718971853157</v>
      </c>
      <c r="CX23" s="49">
        <f t="shared" ca="1" si="63"/>
        <v>0.23514127198046442</v>
      </c>
      <c r="CY23" s="49">
        <f t="shared" ca="1" si="63"/>
        <v>0.54340748769118408</v>
      </c>
      <c r="CZ23" s="49">
        <f t="shared" ca="1" si="64"/>
        <v>0.62475058755802104</v>
      </c>
      <c r="DA23" s="49">
        <f t="shared" ca="1" si="64"/>
        <v>0.79175673107484279</v>
      </c>
      <c r="DB23" s="49">
        <f t="shared" ca="1" si="64"/>
        <v>0.45605013719772136</v>
      </c>
      <c r="DC23" s="49">
        <f t="shared" ca="1" si="64"/>
        <v>0.77178974457867167</v>
      </c>
      <c r="DD23" s="49">
        <f t="shared" ca="1" si="64"/>
        <v>0.15058777028066339</v>
      </c>
      <c r="DE23" s="49">
        <f t="shared" ca="1" si="64"/>
        <v>0.58086873746792733</v>
      </c>
      <c r="DF23" s="49">
        <f t="shared" ca="1" si="64"/>
        <v>0.75509118913390072</v>
      </c>
      <c r="DG23" s="49">
        <f t="shared" ca="1" si="64"/>
        <v>0.10061344644140935</v>
      </c>
      <c r="DH23" s="49">
        <f t="shared" ca="1" si="64"/>
        <v>0.88709367404270234</v>
      </c>
      <c r="DI23" s="49">
        <f t="shared" ca="1" si="64"/>
        <v>0.42501068385279817</v>
      </c>
      <c r="DJ23" s="49">
        <f t="shared" ca="1" si="65"/>
        <v>0.21540607272218382</v>
      </c>
      <c r="DK23" s="49">
        <f t="shared" ca="1" si="65"/>
        <v>0.23726515957725303</v>
      </c>
      <c r="DL23" s="49">
        <f t="shared" ca="1" si="65"/>
        <v>0.15070118146119083</v>
      </c>
      <c r="DM23" s="49">
        <f t="shared" ca="1" si="65"/>
        <v>0.37825998009178929</v>
      </c>
      <c r="DN23" s="49">
        <f t="shared" ca="1" si="65"/>
        <v>0.24832366218485458</v>
      </c>
      <c r="DO23" s="49">
        <f t="shared" ca="1" si="65"/>
        <v>0.18784825369777358</v>
      </c>
      <c r="DP23" s="49">
        <f t="shared" ca="1" si="65"/>
        <v>0.24782477773237721</v>
      </c>
      <c r="DQ23" s="49">
        <f t="shared" ca="1" si="65"/>
        <v>0.94231988253503252</v>
      </c>
      <c r="DR23" s="49">
        <f t="shared" ca="1" si="65"/>
        <v>4.4707197120514852E-2</v>
      </c>
      <c r="DS23" s="49">
        <f t="shared" ca="1" si="65"/>
        <v>9.1352868573891022E-2</v>
      </c>
      <c r="DT23" s="49">
        <f t="shared" ca="1" si="66"/>
        <v>0.34949015862700761</v>
      </c>
      <c r="DU23" s="49">
        <f t="shared" ca="1" si="66"/>
        <v>0.56067795878638427</v>
      </c>
      <c r="DV23" s="49">
        <f t="shared" ca="1" si="66"/>
        <v>0.88572807026728484</v>
      </c>
      <c r="DW23" s="49">
        <f t="shared" ca="1" si="66"/>
        <v>0.15896846441373691</v>
      </c>
      <c r="DX23" s="49">
        <f t="shared" ca="1" si="66"/>
        <v>4.1985100269627207E-2</v>
      </c>
      <c r="DY23" s="49">
        <f t="shared" ca="1" si="66"/>
        <v>0.23036652292603144</v>
      </c>
      <c r="DZ23" s="49">
        <f t="shared" ca="1" si="66"/>
        <v>0.15500979745753884</v>
      </c>
      <c r="EA23" s="49">
        <f t="shared" ca="1" si="66"/>
        <v>5.919652779251583E-2</v>
      </c>
      <c r="EB23" s="49">
        <f t="shared" ca="1" si="66"/>
        <v>0.22841554202128866</v>
      </c>
      <c r="EC23" s="49">
        <f t="shared" ca="1" si="66"/>
        <v>0.24693872507262615</v>
      </c>
      <c r="ED23" s="49">
        <f t="shared" ca="1" si="66"/>
        <v>0.78416453359582305</v>
      </c>
      <c r="EE23" s="49">
        <f t="shared" ca="1" si="66"/>
        <v>0.49436943928880805</v>
      </c>
    </row>
    <row r="24" spans="1:135" x14ac:dyDescent="0.4">
      <c r="A24" s="29" t="str">
        <f t="shared" si="7"/>
        <v>KPI ID 17</v>
      </c>
      <c r="B24" s="47" t="s">
        <v>64</v>
      </c>
      <c r="C24" s="48" t="s">
        <v>19</v>
      </c>
      <c r="D24" s="49">
        <f t="shared" ref="D24:AI24" ca="1" si="67">RANDBETWEEN(1, 100)</f>
        <v>14</v>
      </c>
      <c r="E24" s="49">
        <f t="shared" ca="1" si="67"/>
        <v>36</v>
      </c>
      <c r="F24" s="49">
        <f t="shared" ca="1" si="67"/>
        <v>74</v>
      </c>
      <c r="G24" s="49">
        <f t="shared" ca="1" si="67"/>
        <v>41</v>
      </c>
      <c r="H24" s="49">
        <f t="shared" ca="1" si="67"/>
        <v>16</v>
      </c>
      <c r="I24" s="49">
        <f t="shared" ca="1" si="67"/>
        <v>14</v>
      </c>
      <c r="J24" s="49">
        <f t="shared" ca="1" si="67"/>
        <v>46</v>
      </c>
      <c r="K24" s="49">
        <f t="shared" ca="1" si="67"/>
        <v>65</v>
      </c>
      <c r="L24" s="49">
        <f t="shared" ca="1" si="67"/>
        <v>53</v>
      </c>
      <c r="M24" s="49">
        <f t="shared" ca="1" si="67"/>
        <v>25</v>
      </c>
      <c r="N24" s="49">
        <f t="shared" ca="1" si="67"/>
        <v>4</v>
      </c>
      <c r="O24" s="49">
        <f t="shared" ca="1" si="67"/>
        <v>8</v>
      </c>
      <c r="P24" s="49">
        <f t="shared" ca="1" si="67"/>
        <v>8</v>
      </c>
      <c r="Q24" s="49">
        <f t="shared" ca="1" si="67"/>
        <v>43</v>
      </c>
      <c r="R24" s="49">
        <f t="shared" ca="1" si="67"/>
        <v>19</v>
      </c>
      <c r="S24" s="49">
        <f t="shared" ca="1" si="67"/>
        <v>54</v>
      </c>
      <c r="T24" s="49">
        <f t="shared" ca="1" si="67"/>
        <v>43</v>
      </c>
      <c r="U24" s="49">
        <f t="shared" ca="1" si="67"/>
        <v>47</v>
      </c>
      <c r="V24" s="49">
        <f t="shared" ca="1" si="67"/>
        <v>7</v>
      </c>
      <c r="W24" s="49">
        <f t="shared" ca="1" si="67"/>
        <v>89</v>
      </c>
      <c r="X24" s="49">
        <f t="shared" ca="1" si="67"/>
        <v>26</v>
      </c>
      <c r="Y24" s="49">
        <f t="shared" ca="1" si="67"/>
        <v>79</v>
      </c>
      <c r="Z24" s="49">
        <f t="shared" ca="1" si="67"/>
        <v>95</v>
      </c>
      <c r="AA24" s="49">
        <f t="shared" ca="1" si="67"/>
        <v>48</v>
      </c>
      <c r="AB24" s="49">
        <f t="shared" ca="1" si="67"/>
        <v>14</v>
      </c>
      <c r="AC24" s="49">
        <f t="shared" ca="1" si="67"/>
        <v>65</v>
      </c>
      <c r="AD24" s="49">
        <f t="shared" ca="1" si="67"/>
        <v>23</v>
      </c>
      <c r="AE24" s="49">
        <f t="shared" ca="1" si="67"/>
        <v>18</v>
      </c>
      <c r="AF24" s="49">
        <f t="shared" ca="1" si="67"/>
        <v>64</v>
      </c>
      <c r="AG24" s="49">
        <f t="shared" ca="1" si="67"/>
        <v>79</v>
      </c>
      <c r="AH24" s="49">
        <f t="shared" ca="1" si="67"/>
        <v>16</v>
      </c>
      <c r="AI24" s="49">
        <f t="shared" ca="1" si="67"/>
        <v>87</v>
      </c>
      <c r="AJ24" s="49">
        <f t="shared" ref="AJ24:BO24" ca="1" si="68">RANDBETWEEN(1, 100)</f>
        <v>23</v>
      </c>
      <c r="AK24" s="49">
        <f t="shared" ca="1" si="68"/>
        <v>14</v>
      </c>
      <c r="AL24" s="49">
        <f t="shared" ca="1" si="68"/>
        <v>39</v>
      </c>
      <c r="AM24" s="49">
        <f t="shared" ca="1" si="68"/>
        <v>82</v>
      </c>
      <c r="AN24" s="49">
        <f t="shared" ca="1" si="68"/>
        <v>97</v>
      </c>
      <c r="AO24" s="49">
        <f t="shared" ca="1" si="68"/>
        <v>86</v>
      </c>
      <c r="AP24" s="49">
        <f t="shared" ca="1" si="68"/>
        <v>88</v>
      </c>
      <c r="AQ24" s="49">
        <f t="shared" ca="1" si="68"/>
        <v>61</v>
      </c>
      <c r="AR24" s="49">
        <f t="shared" ca="1" si="68"/>
        <v>19</v>
      </c>
      <c r="AS24" s="49">
        <f t="shared" ca="1" si="68"/>
        <v>30</v>
      </c>
      <c r="AT24" s="49">
        <f t="shared" ca="1" si="68"/>
        <v>35</v>
      </c>
      <c r="AU24" s="49">
        <f t="shared" ca="1" si="68"/>
        <v>100</v>
      </c>
      <c r="AV24" s="49">
        <f t="shared" ca="1" si="68"/>
        <v>28</v>
      </c>
      <c r="AW24" s="49">
        <f t="shared" ca="1" si="68"/>
        <v>92</v>
      </c>
      <c r="AX24" s="49">
        <f t="shared" ca="1" si="68"/>
        <v>42</v>
      </c>
      <c r="AY24" s="49">
        <f t="shared" ca="1" si="68"/>
        <v>5</v>
      </c>
      <c r="AZ24" s="49">
        <f t="shared" ca="1" si="68"/>
        <v>37</v>
      </c>
      <c r="BA24" s="49">
        <f t="shared" ca="1" si="68"/>
        <v>76</v>
      </c>
      <c r="BB24" s="49">
        <f t="shared" ca="1" si="68"/>
        <v>80</v>
      </c>
      <c r="BC24" s="49">
        <f t="shared" ca="1" si="68"/>
        <v>81</v>
      </c>
      <c r="BD24" s="49">
        <f t="shared" ca="1" si="68"/>
        <v>73</v>
      </c>
      <c r="BE24" s="49">
        <f t="shared" ca="1" si="68"/>
        <v>90</v>
      </c>
      <c r="BF24" s="49">
        <f t="shared" ca="1" si="68"/>
        <v>27</v>
      </c>
      <c r="BG24" s="49">
        <f t="shared" ca="1" si="68"/>
        <v>22</v>
      </c>
      <c r="BH24" s="49">
        <f t="shared" ca="1" si="68"/>
        <v>56</v>
      </c>
      <c r="BI24" s="49">
        <f t="shared" ca="1" si="68"/>
        <v>87</v>
      </c>
      <c r="BJ24" s="49">
        <f t="shared" ca="1" si="68"/>
        <v>78</v>
      </c>
      <c r="BK24" s="49">
        <f t="shared" ca="1" si="68"/>
        <v>40</v>
      </c>
      <c r="BL24" s="49">
        <f t="shared" ca="1" si="68"/>
        <v>24</v>
      </c>
      <c r="BM24" s="49">
        <f t="shared" ca="1" si="68"/>
        <v>49</v>
      </c>
      <c r="BN24" s="49">
        <f t="shared" ca="1" si="68"/>
        <v>20</v>
      </c>
      <c r="BO24" s="49">
        <f t="shared" ca="1" si="68"/>
        <v>82</v>
      </c>
      <c r="BP24" s="49">
        <f t="shared" ref="BP24:CU24" ca="1" si="69">RANDBETWEEN(1, 100)</f>
        <v>69</v>
      </c>
      <c r="BQ24" s="49">
        <f t="shared" ca="1" si="69"/>
        <v>15</v>
      </c>
      <c r="BR24" s="49">
        <f t="shared" ca="1" si="69"/>
        <v>19</v>
      </c>
      <c r="BS24" s="49">
        <f t="shared" ca="1" si="69"/>
        <v>49</v>
      </c>
      <c r="BT24" s="49">
        <f t="shared" ca="1" si="69"/>
        <v>73</v>
      </c>
      <c r="BU24" s="49">
        <f t="shared" ca="1" si="69"/>
        <v>44</v>
      </c>
      <c r="BV24" s="49">
        <f t="shared" ca="1" si="69"/>
        <v>66</v>
      </c>
      <c r="BW24" s="49">
        <f t="shared" ca="1" si="69"/>
        <v>74</v>
      </c>
      <c r="BX24" s="49">
        <f t="shared" ca="1" si="69"/>
        <v>44</v>
      </c>
      <c r="BY24" s="49">
        <f t="shared" ca="1" si="69"/>
        <v>16</v>
      </c>
      <c r="BZ24" s="49">
        <f t="shared" ca="1" si="69"/>
        <v>96</v>
      </c>
      <c r="CA24" s="49">
        <f t="shared" ca="1" si="69"/>
        <v>39</v>
      </c>
      <c r="CB24" s="49">
        <f t="shared" ca="1" si="69"/>
        <v>99</v>
      </c>
      <c r="CC24" s="49">
        <f t="shared" ca="1" si="69"/>
        <v>58</v>
      </c>
      <c r="CD24" s="49">
        <f t="shared" ca="1" si="69"/>
        <v>64</v>
      </c>
      <c r="CE24" s="49">
        <f t="shared" ca="1" si="69"/>
        <v>23</v>
      </c>
      <c r="CF24" s="49">
        <f t="shared" ca="1" si="69"/>
        <v>76</v>
      </c>
      <c r="CG24" s="49">
        <f t="shared" ca="1" si="69"/>
        <v>24</v>
      </c>
      <c r="CH24" s="49">
        <f t="shared" ca="1" si="69"/>
        <v>81</v>
      </c>
      <c r="CI24" s="49">
        <f t="shared" ca="1" si="69"/>
        <v>70</v>
      </c>
      <c r="CJ24" s="49">
        <f t="shared" ca="1" si="69"/>
        <v>80</v>
      </c>
      <c r="CK24" s="49">
        <f t="shared" ca="1" si="69"/>
        <v>99</v>
      </c>
      <c r="CL24" s="49">
        <f t="shared" ca="1" si="69"/>
        <v>12</v>
      </c>
      <c r="CM24" s="49">
        <f t="shared" ca="1" si="69"/>
        <v>21</v>
      </c>
      <c r="CN24" s="49">
        <f t="shared" ca="1" si="69"/>
        <v>24</v>
      </c>
      <c r="CO24" s="49">
        <f t="shared" ca="1" si="69"/>
        <v>91</v>
      </c>
      <c r="CP24" s="49">
        <f t="shared" ca="1" si="69"/>
        <v>33</v>
      </c>
      <c r="CQ24" s="49">
        <f t="shared" ca="1" si="69"/>
        <v>65</v>
      </c>
      <c r="CR24" s="49">
        <f t="shared" ca="1" si="69"/>
        <v>15</v>
      </c>
      <c r="CS24" s="49">
        <f t="shared" ca="1" si="69"/>
        <v>14</v>
      </c>
      <c r="CT24" s="49">
        <f t="shared" ca="1" si="69"/>
        <v>39</v>
      </c>
      <c r="CU24" s="49">
        <f t="shared" ca="1" si="69"/>
        <v>1</v>
      </c>
      <c r="CV24" s="49">
        <f t="shared" ref="CV24:EE24" ca="1" si="70">RANDBETWEEN(1, 100)</f>
        <v>17</v>
      </c>
      <c r="CW24" s="49">
        <f t="shared" ca="1" si="70"/>
        <v>46</v>
      </c>
      <c r="CX24" s="49">
        <f t="shared" ca="1" si="70"/>
        <v>83</v>
      </c>
      <c r="CY24" s="49">
        <f t="shared" ca="1" si="70"/>
        <v>61</v>
      </c>
      <c r="CZ24" s="49">
        <f t="shared" ca="1" si="70"/>
        <v>3</v>
      </c>
      <c r="DA24" s="49">
        <f t="shared" ca="1" si="70"/>
        <v>69</v>
      </c>
      <c r="DB24" s="49">
        <f t="shared" ca="1" si="70"/>
        <v>96</v>
      </c>
      <c r="DC24" s="49">
        <f t="shared" ca="1" si="70"/>
        <v>14</v>
      </c>
      <c r="DD24" s="49">
        <f t="shared" ca="1" si="70"/>
        <v>5</v>
      </c>
      <c r="DE24" s="49">
        <f t="shared" ca="1" si="70"/>
        <v>44</v>
      </c>
      <c r="DF24" s="49">
        <f t="shared" ca="1" si="70"/>
        <v>50</v>
      </c>
      <c r="DG24" s="49">
        <f t="shared" ca="1" si="70"/>
        <v>73</v>
      </c>
      <c r="DH24" s="49">
        <f t="shared" ca="1" si="70"/>
        <v>28</v>
      </c>
      <c r="DI24" s="49">
        <f t="shared" ca="1" si="70"/>
        <v>62</v>
      </c>
      <c r="DJ24" s="49">
        <f t="shared" ca="1" si="70"/>
        <v>42</v>
      </c>
      <c r="DK24" s="49">
        <f t="shared" ca="1" si="70"/>
        <v>4</v>
      </c>
      <c r="DL24" s="49">
        <f t="shared" ca="1" si="70"/>
        <v>79</v>
      </c>
      <c r="DM24" s="49">
        <f t="shared" ca="1" si="70"/>
        <v>34</v>
      </c>
      <c r="DN24" s="49">
        <f t="shared" ca="1" si="70"/>
        <v>21</v>
      </c>
      <c r="DO24" s="49">
        <f t="shared" ca="1" si="70"/>
        <v>79</v>
      </c>
      <c r="DP24" s="49">
        <f t="shared" ca="1" si="70"/>
        <v>11</v>
      </c>
      <c r="DQ24" s="49">
        <f t="shared" ca="1" si="70"/>
        <v>26</v>
      </c>
      <c r="DR24" s="49">
        <f t="shared" ca="1" si="70"/>
        <v>84</v>
      </c>
      <c r="DS24" s="49">
        <f t="shared" ca="1" si="70"/>
        <v>9</v>
      </c>
      <c r="DT24" s="49">
        <f t="shared" ca="1" si="70"/>
        <v>63</v>
      </c>
      <c r="DU24" s="49">
        <f t="shared" ca="1" si="70"/>
        <v>9</v>
      </c>
      <c r="DV24" s="49">
        <f t="shared" ca="1" si="70"/>
        <v>97</v>
      </c>
      <c r="DW24" s="49">
        <f t="shared" ca="1" si="70"/>
        <v>58</v>
      </c>
      <c r="DX24" s="49">
        <f t="shared" ca="1" si="70"/>
        <v>85</v>
      </c>
      <c r="DY24" s="49">
        <f t="shared" ca="1" si="70"/>
        <v>29</v>
      </c>
      <c r="DZ24" s="49">
        <f t="shared" ca="1" si="70"/>
        <v>50</v>
      </c>
      <c r="EA24" s="49">
        <f t="shared" ca="1" si="70"/>
        <v>59</v>
      </c>
      <c r="EB24" s="49">
        <f t="shared" ca="1" si="70"/>
        <v>29</v>
      </c>
      <c r="EC24" s="49">
        <f t="shared" ca="1" si="70"/>
        <v>93</v>
      </c>
      <c r="ED24" s="49">
        <f t="shared" ca="1" si="70"/>
        <v>42</v>
      </c>
      <c r="EE24" s="49">
        <f t="shared" ca="1" si="70"/>
        <v>81</v>
      </c>
    </row>
    <row r="25" spans="1:135" x14ac:dyDescent="0.4">
      <c r="A25" s="29" t="str">
        <f t="shared" si="7"/>
        <v>KPI ID 18</v>
      </c>
      <c r="B25" s="47" t="s">
        <v>64</v>
      </c>
      <c r="C25" s="48" t="s">
        <v>20</v>
      </c>
      <c r="D25" s="49">
        <f t="shared" ref="D25:AI25" ca="1" si="71">RANDBETWEEN(1, 200)</f>
        <v>33</v>
      </c>
      <c r="E25" s="49">
        <f t="shared" ca="1" si="71"/>
        <v>24</v>
      </c>
      <c r="F25" s="49">
        <f t="shared" ca="1" si="71"/>
        <v>93</v>
      </c>
      <c r="G25" s="49">
        <f t="shared" ca="1" si="71"/>
        <v>97</v>
      </c>
      <c r="H25" s="49">
        <f t="shared" ca="1" si="71"/>
        <v>160</v>
      </c>
      <c r="I25" s="49">
        <f t="shared" ca="1" si="71"/>
        <v>166</v>
      </c>
      <c r="J25" s="49">
        <f t="shared" ca="1" si="71"/>
        <v>25</v>
      </c>
      <c r="K25" s="49">
        <f t="shared" ca="1" si="71"/>
        <v>170</v>
      </c>
      <c r="L25" s="49">
        <f t="shared" ca="1" si="71"/>
        <v>164</v>
      </c>
      <c r="M25" s="49">
        <f t="shared" ca="1" si="71"/>
        <v>34</v>
      </c>
      <c r="N25" s="49">
        <f t="shared" ca="1" si="71"/>
        <v>144</v>
      </c>
      <c r="O25" s="49">
        <f t="shared" ca="1" si="71"/>
        <v>171</v>
      </c>
      <c r="P25" s="49">
        <f t="shared" ca="1" si="71"/>
        <v>170</v>
      </c>
      <c r="Q25" s="49">
        <f t="shared" ca="1" si="71"/>
        <v>38</v>
      </c>
      <c r="R25" s="49">
        <f t="shared" ca="1" si="71"/>
        <v>14</v>
      </c>
      <c r="S25" s="49">
        <f t="shared" ca="1" si="71"/>
        <v>147</v>
      </c>
      <c r="T25" s="49">
        <f t="shared" ca="1" si="71"/>
        <v>6</v>
      </c>
      <c r="U25" s="49">
        <f t="shared" ca="1" si="71"/>
        <v>23</v>
      </c>
      <c r="V25" s="49">
        <f t="shared" ca="1" si="71"/>
        <v>154</v>
      </c>
      <c r="W25" s="49">
        <f t="shared" ca="1" si="71"/>
        <v>94</v>
      </c>
      <c r="X25" s="49">
        <f t="shared" ca="1" si="71"/>
        <v>57</v>
      </c>
      <c r="Y25" s="49">
        <f t="shared" ca="1" si="71"/>
        <v>38</v>
      </c>
      <c r="Z25" s="49">
        <f t="shared" ca="1" si="71"/>
        <v>142</v>
      </c>
      <c r="AA25" s="49">
        <f t="shared" ca="1" si="71"/>
        <v>57</v>
      </c>
      <c r="AB25" s="49">
        <f t="shared" ca="1" si="71"/>
        <v>63</v>
      </c>
      <c r="AC25" s="49">
        <f t="shared" ca="1" si="71"/>
        <v>34</v>
      </c>
      <c r="AD25" s="49">
        <f t="shared" ca="1" si="71"/>
        <v>185</v>
      </c>
      <c r="AE25" s="49">
        <f t="shared" ca="1" si="71"/>
        <v>48</v>
      </c>
      <c r="AF25" s="49">
        <f t="shared" ca="1" si="71"/>
        <v>69</v>
      </c>
      <c r="AG25" s="49">
        <f t="shared" ca="1" si="71"/>
        <v>190</v>
      </c>
      <c r="AH25" s="49">
        <f t="shared" ca="1" si="71"/>
        <v>100</v>
      </c>
      <c r="AI25" s="49">
        <f t="shared" ca="1" si="71"/>
        <v>27</v>
      </c>
      <c r="AJ25" s="49">
        <f t="shared" ref="AJ25:BO25" ca="1" si="72">RANDBETWEEN(1, 200)</f>
        <v>30</v>
      </c>
      <c r="AK25" s="49">
        <f t="shared" ca="1" si="72"/>
        <v>142</v>
      </c>
      <c r="AL25" s="49">
        <f t="shared" ca="1" si="72"/>
        <v>35</v>
      </c>
      <c r="AM25" s="49">
        <f t="shared" ca="1" si="72"/>
        <v>82</v>
      </c>
      <c r="AN25" s="49">
        <f t="shared" ca="1" si="72"/>
        <v>163</v>
      </c>
      <c r="AO25" s="49">
        <f t="shared" ca="1" si="72"/>
        <v>188</v>
      </c>
      <c r="AP25" s="49">
        <f t="shared" ca="1" si="72"/>
        <v>193</v>
      </c>
      <c r="AQ25" s="49">
        <f t="shared" ca="1" si="72"/>
        <v>54</v>
      </c>
      <c r="AR25" s="49">
        <f t="shared" ca="1" si="72"/>
        <v>199</v>
      </c>
      <c r="AS25" s="49">
        <f t="shared" ca="1" si="72"/>
        <v>6</v>
      </c>
      <c r="AT25" s="49">
        <f t="shared" ca="1" si="72"/>
        <v>148</v>
      </c>
      <c r="AU25" s="49">
        <f t="shared" ca="1" si="72"/>
        <v>64</v>
      </c>
      <c r="AV25" s="49">
        <f t="shared" ca="1" si="72"/>
        <v>20</v>
      </c>
      <c r="AW25" s="49">
        <f t="shared" ca="1" si="72"/>
        <v>52</v>
      </c>
      <c r="AX25" s="49">
        <f t="shared" ca="1" si="72"/>
        <v>54</v>
      </c>
      <c r="AY25" s="49">
        <f t="shared" ca="1" si="72"/>
        <v>111</v>
      </c>
      <c r="AZ25" s="49">
        <f t="shared" ca="1" si="72"/>
        <v>137</v>
      </c>
      <c r="BA25" s="49">
        <f t="shared" ca="1" si="72"/>
        <v>100</v>
      </c>
      <c r="BB25" s="49">
        <f t="shared" ca="1" si="72"/>
        <v>106</v>
      </c>
      <c r="BC25" s="49">
        <f t="shared" ca="1" si="72"/>
        <v>1</v>
      </c>
      <c r="BD25" s="49">
        <f t="shared" ca="1" si="72"/>
        <v>43</v>
      </c>
      <c r="BE25" s="49">
        <f t="shared" ca="1" si="72"/>
        <v>115</v>
      </c>
      <c r="BF25" s="49">
        <f t="shared" ca="1" si="72"/>
        <v>171</v>
      </c>
      <c r="BG25" s="49">
        <f t="shared" ca="1" si="72"/>
        <v>79</v>
      </c>
      <c r="BH25" s="49">
        <f t="shared" ca="1" si="72"/>
        <v>181</v>
      </c>
      <c r="BI25" s="49">
        <f t="shared" ca="1" si="72"/>
        <v>26</v>
      </c>
      <c r="BJ25" s="49">
        <f t="shared" ca="1" si="72"/>
        <v>63</v>
      </c>
      <c r="BK25" s="49">
        <f t="shared" ca="1" si="72"/>
        <v>2</v>
      </c>
      <c r="BL25" s="49">
        <f t="shared" ca="1" si="72"/>
        <v>159</v>
      </c>
      <c r="BM25" s="49">
        <f t="shared" ca="1" si="72"/>
        <v>107</v>
      </c>
      <c r="BN25" s="49">
        <f t="shared" ca="1" si="72"/>
        <v>142</v>
      </c>
      <c r="BO25" s="49">
        <f t="shared" ca="1" si="72"/>
        <v>192</v>
      </c>
      <c r="BP25" s="49">
        <f t="shared" ref="BP25:CU25" ca="1" si="73">RANDBETWEEN(1, 200)</f>
        <v>68</v>
      </c>
      <c r="BQ25" s="49">
        <f t="shared" ca="1" si="73"/>
        <v>29</v>
      </c>
      <c r="BR25" s="49">
        <f t="shared" ca="1" si="73"/>
        <v>150</v>
      </c>
      <c r="BS25" s="49">
        <f t="shared" ca="1" si="73"/>
        <v>79</v>
      </c>
      <c r="BT25" s="49">
        <f t="shared" ca="1" si="73"/>
        <v>44</v>
      </c>
      <c r="BU25" s="49">
        <f t="shared" ca="1" si="73"/>
        <v>79</v>
      </c>
      <c r="BV25" s="49">
        <f t="shared" ca="1" si="73"/>
        <v>14</v>
      </c>
      <c r="BW25" s="49">
        <f t="shared" ca="1" si="73"/>
        <v>5</v>
      </c>
      <c r="BX25" s="49">
        <f t="shared" ca="1" si="73"/>
        <v>72</v>
      </c>
      <c r="BY25" s="49">
        <f t="shared" ca="1" si="73"/>
        <v>68</v>
      </c>
      <c r="BZ25" s="49">
        <f t="shared" ca="1" si="73"/>
        <v>87</v>
      </c>
      <c r="CA25" s="49">
        <f t="shared" ca="1" si="73"/>
        <v>170</v>
      </c>
      <c r="CB25" s="49">
        <f t="shared" ca="1" si="73"/>
        <v>170</v>
      </c>
      <c r="CC25" s="49">
        <f t="shared" ca="1" si="73"/>
        <v>134</v>
      </c>
      <c r="CD25" s="49">
        <f t="shared" ca="1" si="73"/>
        <v>121</v>
      </c>
      <c r="CE25" s="49">
        <f t="shared" ca="1" si="73"/>
        <v>191</v>
      </c>
      <c r="CF25" s="49">
        <f t="shared" ca="1" si="73"/>
        <v>77</v>
      </c>
      <c r="CG25" s="49">
        <f t="shared" ca="1" si="73"/>
        <v>108</v>
      </c>
      <c r="CH25" s="49">
        <f t="shared" ca="1" si="73"/>
        <v>32</v>
      </c>
      <c r="CI25" s="49">
        <f t="shared" ca="1" si="73"/>
        <v>164</v>
      </c>
      <c r="CJ25" s="49">
        <f t="shared" ca="1" si="73"/>
        <v>142</v>
      </c>
      <c r="CK25" s="49">
        <f t="shared" ca="1" si="73"/>
        <v>138</v>
      </c>
      <c r="CL25" s="49">
        <f t="shared" ca="1" si="73"/>
        <v>94</v>
      </c>
      <c r="CM25" s="49">
        <f t="shared" ca="1" si="73"/>
        <v>192</v>
      </c>
      <c r="CN25" s="49">
        <f t="shared" ca="1" si="73"/>
        <v>26</v>
      </c>
      <c r="CO25" s="49">
        <f t="shared" ca="1" si="73"/>
        <v>26</v>
      </c>
      <c r="CP25" s="49">
        <f t="shared" ca="1" si="73"/>
        <v>2</v>
      </c>
      <c r="CQ25" s="49">
        <f t="shared" ca="1" si="73"/>
        <v>50</v>
      </c>
      <c r="CR25" s="49">
        <f t="shared" ca="1" si="73"/>
        <v>79</v>
      </c>
      <c r="CS25" s="49">
        <f t="shared" ca="1" si="73"/>
        <v>75</v>
      </c>
      <c r="CT25" s="49">
        <f t="shared" ca="1" si="73"/>
        <v>35</v>
      </c>
      <c r="CU25" s="49">
        <f t="shared" ca="1" si="73"/>
        <v>153</v>
      </c>
      <c r="CV25" s="49">
        <f t="shared" ref="CV25:EE25" ca="1" si="74">RANDBETWEEN(1, 200)</f>
        <v>105</v>
      </c>
      <c r="CW25" s="49">
        <f t="shared" ca="1" si="74"/>
        <v>139</v>
      </c>
      <c r="CX25" s="49">
        <f t="shared" ca="1" si="74"/>
        <v>1</v>
      </c>
      <c r="CY25" s="49">
        <f t="shared" ca="1" si="74"/>
        <v>110</v>
      </c>
      <c r="CZ25" s="49">
        <f t="shared" ca="1" si="74"/>
        <v>68</v>
      </c>
      <c r="DA25" s="49">
        <f t="shared" ca="1" si="74"/>
        <v>89</v>
      </c>
      <c r="DB25" s="49">
        <f t="shared" ca="1" si="74"/>
        <v>59</v>
      </c>
      <c r="DC25" s="49">
        <f t="shared" ca="1" si="74"/>
        <v>117</v>
      </c>
      <c r="DD25" s="49">
        <f t="shared" ca="1" si="74"/>
        <v>49</v>
      </c>
      <c r="DE25" s="49">
        <f t="shared" ca="1" si="74"/>
        <v>131</v>
      </c>
      <c r="DF25" s="49">
        <f t="shared" ca="1" si="74"/>
        <v>32</v>
      </c>
      <c r="DG25" s="49">
        <f t="shared" ca="1" si="74"/>
        <v>188</v>
      </c>
      <c r="DH25" s="49">
        <f t="shared" ca="1" si="74"/>
        <v>197</v>
      </c>
      <c r="DI25" s="49">
        <f t="shared" ca="1" si="74"/>
        <v>195</v>
      </c>
      <c r="DJ25" s="49">
        <f t="shared" ca="1" si="74"/>
        <v>174</v>
      </c>
      <c r="DK25" s="49">
        <f t="shared" ca="1" si="74"/>
        <v>140</v>
      </c>
      <c r="DL25" s="49">
        <f t="shared" ca="1" si="74"/>
        <v>154</v>
      </c>
      <c r="DM25" s="49">
        <f t="shared" ca="1" si="74"/>
        <v>60</v>
      </c>
      <c r="DN25" s="49">
        <f t="shared" ca="1" si="74"/>
        <v>21</v>
      </c>
      <c r="DO25" s="49">
        <f t="shared" ca="1" si="74"/>
        <v>173</v>
      </c>
      <c r="DP25" s="49">
        <f t="shared" ca="1" si="74"/>
        <v>181</v>
      </c>
      <c r="DQ25" s="49">
        <f t="shared" ca="1" si="74"/>
        <v>148</v>
      </c>
      <c r="DR25" s="49">
        <f t="shared" ca="1" si="74"/>
        <v>51</v>
      </c>
      <c r="DS25" s="49">
        <f t="shared" ca="1" si="74"/>
        <v>41</v>
      </c>
      <c r="DT25" s="49">
        <f t="shared" ca="1" si="74"/>
        <v>11</v>
      </c>
      <c r="DU25" s="49">
        <f t="shared" ca="1" si="74"/>
        <v>36</v>
      </c>
      <c r="DV25" s="49">
        <f t="shared" ca="1" si="74"/>
        <v>80</v>
      </c>
      <c r="DW25" s="49">
        <f t="shared" ca="1" si="74"/>
        <v>87</v>
      </c>
      <c r="DX25" s="49">
        <f t="shared" ca="1" si="74"/>
        <v>165</v>
      </c>
      <c r="DY25" s="49">
        <f t="shared" ca="1" si="74"/>
        <v>199</v>
      </c>
      <c r="DZ25" s="49">
        <f t="shared" ca="1" si="74"/>
        <v>83</v>
      </c>
      <c r="EA25" s="49">
        <f t="shared" ca="1" si="74"/>
        <v>49</v>
      </c>
      <c r="EB25" s="49">
        <f t="shared" ca="1" si="74"/>
        <v>198</v>
      </c>
      <c r="EC25" s="49">
        <f t="shared" ca="1" si="74"/>
        <v>18</v>
      </c>
      <c r="ED25" s="49">
        <f t="shared" ca="1" si="74"/>
        <v>27</v>
      </c>
      <c r="EE25" s="49">
        <f t="shared" ca="1" si="74"/>
        <v>81</v>
      </c>
    </row>
    <row r="26" spans="1:135" x14ac:dyDescent="0.4">
      <c r="A26" s="29" t="str">
        <f t="shared" si="7"/>
        <v>KPI ID 19 %</v>
      </c>
      <c r="B26" s="47" t="s">
        <v>64</v>
      </c>
      <c r="C26" s="48" t="s">
        <v>21</v>
      </c>
      <c r="D26" s="49">
        <f t="shared" ref="D26:AI26" ca="1" si="75">RANDBETWEEN(20, 45)</f>
        <v>42</v>
      </c>
      <c r="E26" s="49">
        <f t="shared" ca="1" si="75"/>
        <v>25</v>
      </c>
      <c r="F26" s="49">
        <f t="shared" ca="1" si="75"/>
        <v>27</v>
      </c>
      <c r="G26" s="49">
        <f t="shared" ca="1" si="75"/>
        <v>26</v>
      </c>
      <c r="H26" s="49">
        <f t="shared" ca="1" si="75"/>
        <v>27</v>
      </c>
      <c r="I26" s="49">
        <f t="shared" ca="1" si="75"/>
        <v>23</v>
      </c>
      <c r="J26" s="49">
        <f t="shared" ca="1" si="75"/>
        <v>21</v>
      </c>
      <c r="K26" s="49">
        <f t="shared" ca="1" si="75"/>
        <v>45</v>
      </c>
      <c r="L26" s="49">
        <f t="shared" ca="1" si="75"/>
        <v>39</v>
      </c>
      <c r="M26" s="49">
        <f t="shared" ca="1" si="75"/>
        <v>20</v>
      </c>
      <c r="N26" s="49">
        <f t="shared" ca="1" si="75"/>
        <v>38</v>
      </c>
      <c r="O26" s="49">
        <f t="shared" ca="1" si="75"/>
        <v>21</v>
      </c>
      <c r="P26" s="49">
        <f t="shared" ca="1" si="75"/>
        <v>44</v>
      </c>
      <c r="Q26" s="49">
        <f t="shared" ca="1" si="75"/>
        <v>39</v>
      </c>
      <c r="R26" s="49">
        <f t="shared" ca="1" si="75"/>
        <v>28</v>
      </c>
      <c r="S26" s="49">
        <f t="shared" ca="1" si="75"/>
        <v>28</v>
      </c>
      <c r="T26" s="49">
        <f t="shared" ca="1" si="75"/>
        <v>44</v>
      </c>
      <c r="U26" s="49">
        <f t="shared" ca="1" si="75"/>
        <v>28</v>
      </c>
      <c r="V26" s="49">
        <f t="shared" ca="1" si="75"/>
        <v>20</v>
      </c>
      <c r="W26" s="49">
        <f t="shared" ca="1" si="75"/>
        <v>22</v>
      </c>
      <c r="X26" s="49">
        <f t="shared" ca="1" si="75"/>
        <v>24</v>
      </c>
      <c r="Y26" s="49">
        <f t="shared" ca="1" si="75"/>
        <v>45</v>
      </c>
      <c r="Z26" s="49">
        <f t="shared" ca="1" si="75"/>
        <v>29</v>
      </c>
      <c r="AA26" s="49">
        <f t="shared" ca="1" si="75"/>
        <v>34</v>
      </c>
      <c r="AB26" s="49">
        <f t="shared" ca="1" si="75"/>
        <v>24</v>
      </c>
      <c r="AC26" s="49">
        <f t="shared" ca="1" si="75"/>
        <v>41</v>
      </c>
      <c r="AD26" s="49">
        <f t="shared" ca="1" si="75"/>
        <v>27</v>
      </c>
      <c r="AE26" s="49">
        <f t="shared" ca="1" si="75"/>
        <v>45</v>
      </c>
      <c r="AF26" s="49">
        <f t="shared" ca="1" si="75"/>
        <v>25</v>
      </c>
      <c r="AG26" s="49">
        <f t="shared" ca="1" si="75"/>
        <v>37</v>
      </c>
      <c r="AH26" s="49">
        <f t="shared" ca="1" si="75"/>
        <v>26</v>
      </c>
      <c r="AI26" s="49">
        <f t="shared" ca="1" si="75"/>
        <v>44</v>
      </c>
      <c r="AJ26" s="49">
        <f t="shared" ref="AJ26:BO26" ca="1" si="76">RANDBETWEEN(20, 45)</f>
        <v>39</v>
      </c>
      <c r="AK26" s="49">
        <f t="shared" ca="1" si="76"/>
        <v>31</v>
      </c>
      <c r="AL26" s="49">
        <f t="shared" ca="1" si="76"/>
        <v>45</v>
      </c>
      <c r="AM26" s="49">
        <f t="shared" ca="1" si="76"/>
        <v>36</v>
      </c>
      <c r="AN26" s="49">
        <f t="shared" ca="1" si="76"/>
        <v>21</v>
      </c>
      <c r="AO26" s="49">
        <f t="shared" ca="1" si="76"/>
        <v>20</v>
      </c>
      <c r="AP26" s="49">
        <f t="shared" ca="1" si="76"/>
        <v>44</v>
      </c>
      <c r="AQ26" s="49">
        <f t="shared" ca="1" si="76"/>
        <v>23</v>
      </c>
      <c r="AR26" s="49">
        <f t="shared" ca="1" si="76"/>
        <v>23</v>
      </c>
      <c r="AS26" s="49">
        <f t="shared" ca="1" si="76"/>
        <v>30</v>
      </c>
      <c r="AT26" s="49">
        <f t="shared" ca="1" si="76"/>
        <v>27</v>
      </c>
      <c r="AU26" s="49">
        <f t="shared" ca="1" si="76"/>
        <v>34</v>
      </c>
      <c r="AV26" s="49">
        <f t="shared" ca="1" si="76"/>
        <v>40</v>
      </c>
      <c r="AW26" s="49">
        <f t="shared" ca="1" si="76"/>
        <v>37</v>
      </c>
      <c r="AX26" s="49">
        <f t="shared" ca="1" si="76"/>
        <v>27</v>
      </c>
      <c r="AY26" s="49">
        <f t="shared" ca="1" si="76"/>
        <v>26</v>
      </c>
      <c r="AZ26" s="49">
        <f t="shared" ca="1" si="76"/>
        <v>20</v>
      </c>
      <c r="BA26" s="49">
        <f t="shared" ca="1" si="76"/>
        <v>35</v>
      </c>
      <c r="BB26" s="49">
        <f t="shared" ca="1" si="76"/>
        <v>30</v>
      </c>
      <c r="BC26" s="49">
        <f t="shared" ca="1" si="76"/>
        <v>24</v>
      </c>
      <c r="BD26" s="49">
        <f t="shared" ca="1" si="76"/>
        <v>34</v>
      </c>
      <c r="BE26" s="49">
        <f t="shared" ca="1" si="76"/>
        <v>42</v>
      </c>
      <c r="BF26" s="49">
        <f t="shared" ca="1" si="76"/>
        <v>28</v>
      </c>
      <c r="BG26" s="49">
        <f t="shared" ca="1" si="76"/>
        <v>23</v>
      </c>
      <c r="BH26" s="49">
        <f t="shared" ca="1" si="76"/>
        <v>31</v>
      </c>
      <c r="BI26" s="49">
        <f t="shared" ca="1" si="76"/>
        <v>23</v>
      </c>
      <c r="BJ26" s="49">
        <f t="shared" ca="1" si="76"/>
        <v>34</v>
      </c>
      <c r="BK26" s="49">
        <f t="shared" ca="1" si="76"/>
        <v>35</v>
      </c>
      <c r="BL26" s="49">
        <f t="shared" ca="1" si="76"/>
        <v>31</v>
      </c>
      <c r="BM26" s="49">
        <f t="shared" ca="1" si="76"/>
        <v>28</v>
      </c>
      <c r="BN26" s="49">
        <f t="shared" ca="1" si="76"/>
        <v>37</v>
      </c>
      <c r="BO26" s="49">
        <f t="shared" ca="1" si="76"/>
        <v>39</v>
      </c>
      <c r="BP26" s="49">
        <f t="shared" ref="BP26:CU26" ca="1" si="77">RANDBETWEEN(20, 45)</f>
        <v>37</v>
      </c>
      <c r="BQ26" s="49">
        <f t="shared" ca="1" si="77"/>
        <v>32</v>
      </c>
      <c r="BR26" s="49">
        <f t="shared" ca="1" si="77"/>
        <v>29</v>
      </c>
      <c r="BS26" s="49">
        <f t="shared" ca="1" si="77"/>
        <v>36</v>
      </c>
      <c r="BT26" s="49">
        <f t="shared" ca="1" si="77"/>
        <v>33</v>
      </c>
      <c r="BU26" s="49">
        <f t="shared" ca="1" si="77"/>
        <v>35</v>
      </c>
      <c r="BV26" s="49">
        <f t="shared" ca="1" si="77"/>
        <v>40</v>
      </c>
      <c r="BW26" s="49">
        <f t="shared" ca="1" si="77"/>
        <v>20</v>
      </c>
      <c r="BX26" s="49">
        <f t="shared" ca="1" si="77"/>
        <v>23</v>
      </c>
      <c r="BY26" s="49">
        <f t="shared" ca="1" si="77"/>
        <v>22</v>
      </c>
      <c r="BZ26" s="49">
        <f t="shared" ca="1" si="77"/>
        <v>45</v>
      </c>
      <c r="CA26" s="49">
        <f t="shared" ca="1" si="77"/>
        <v>45</v>
      </c>
      <c r="CB26" s="49">
        <f t="shared" ca="1" si="77"/>
        <v>23</v>
      </c>
      <c r="CC26" s="49">
        <f t="shared" ca="1" si="77"/>
        <v>28</v>
      </c>
      <c r="CD26" s="49">
        <f t="shared" ca="1" si="77"/>
        <v>39</v>
      </c>
      <c r="CE26" s="49">
        <f t="shared" ca="1" si="77"/>
        <v>44</v>
      </c>
      <c r="CF26" s="49">
        <f t="shared" ca="1" si="77"/>
        <v>41</v>
      </c>
      <c r="CG26" s="49">
        <f t="shared" ca="1" si="77"/>
        <v>27</v>
      </c>
      <c r="CH26" s="49">
        <f t="shared" ca="1" si="77"/>
        <v>28</v>
      </c>
      <c r="CI26" s="49">
        <f t="shared" ca="1" si="77"/>
        <v>37</v>
      </c>
      <c r="CJ26" s="49">
        <f t="shared" ca="1" si="77"/>
        <v>33</v>
      </c>
      <c r="CK26" s="49">
        <f t="shared" ca="1" si="77"/>
        <v>38</v>
      </c>
      <c r="CL26" s="49">
        <f t="shared" ca="1" si="77"/>
        <v>26</v>
      </c>
      <c r="CM26" s="49">
        <f t="shared" ca="1" si="77"/>
        <v>37</v>
      </c>
      <c r="CN26" s="49">
        <f t="shared" ca="1" si="77"/>
        <v>34</v>
      </c>
      <c r="CO26" s="49">
        <f t="shared" ca="1" si="77"/>
        <v>24</v>
      </c>
      <c r="CP26" s="49">
        <f t="shared" ca="1" si="77"/>
        <v>27</v>
      </c>
      <c r="CQ26" s="49">
        <f t="shared" ca="1" si="77"/>
        <v>24</v>
      </c>
      <c r="CR26" s="49">
        <f t="shared" ca="1" si="77"/>
        <v>32</v>
      </c>
      <c r="CS26" s="49">
        <f t="shared" ca="1" si="77"/>
        <v>30</v>
      </c>
      <c r="CT26" s="49">
        <f t="shared" ca="1" si="77"/>
        <v>33</v>
      </c>
      <c r="CU26" s="49">
        <f t="shared" ca="1" si="77"/>
        <v>39</v>
      </c>
      <c r="CV26" s="49">
        <f t="shared" ref="CV26:DQ26" ca="1" si="78">RANDBETWEEN(20, 45)</f>
        <v>36</v>
      </c>
      <c r="CW26" s="49">
        <f t="shared" ca="1" si="78"/>
        <v>45</v>
      </c>
      <c r="CX26" s="49">
        <f t="shared" ca="1" si="78"/>
        <v>29</v>
      </c>
      <c r="CY26" s="49">
        <f t="shared" ca="1" si="78"/>
        <v>23</v>
      </c>
      <c r="CZ26" s="49">
        <f t="shared" ca="1" si="78"/>
        <v>42</v>
      </c>
      <c r="DA26" s="49">
        <f t="shared" ca="1" si="78"/>
        <v>24</v>
      </c>
      <c r="DB26" s="49">
        <f t="shared" ca="1" si="78"/>
        <v>32</v>
      </c>
      <c r="DC26" s="49">
        <f t="shared" ca="1" si="78"/>
        <v>40</v>
      </c>
      <c r="DD26" s="49">
        <f t="shared" ca="1" si="78"/>
        <v>45</v>
      </c>
      <c r="DE26" s="49">
        <f t="shared" ca="1" si="78"/>
        <v>35</v>
      </c>
      <c r="DF26" s="49">
        <f t="shared" ca="1" si="78"/>
        <v>22</v>
      </c>
      <c r="DG26" s="49">
        <f t="shared" ca="1" si="78"/>
        <v>30</v>
      </c>
      <c r="DH26" s="49">
        <f t="shared" ca="1" si="78"/>
        <v>27</v>
      </c>
      <c r="DI26" s="49">
        <f t="shared" ca="1" si="78"/>
        <v>20</v>
      </c>
      <c r="DJ26" s="49">
        <f t="shared" ca="1" si="78"/>
        <v>20</v>
      </c>
      <c r="DK26" s="49">
        <f t="shared" ca="1" si="78"/>
        <v>41</v>
      </c>
      <c r="DL26" s="49">
        <f t="shared" ca="1" si="78"/>
        <v>28</v>
      </c>
      <c r="DM26" s="49">
        <f t="shared" ca="1" si="78"/>
        <v>35</v>
      </c>
      <c r="DN26" s="49">
        <f t="shared" ca="1" si="78"/>
        <v>28</v>
      </c>
      <c r="DO26" s="49">
        <f t="shared" ca="1" si="78"/>
        <v>36</v>
      </c>
      <c r="DP26" s="49">
        <f t="shared" ca="1" si="78"/>
        <v>43</v>
      </c>
      <c r="DQ26" s="49">
        <f t="shared" ca="1" si="78"/>
        <v>22</v>
      </c>
      <c r="DR26" s="49">
        <f ca="1">RAND()+1</f>
        <v>1.6928378132892168</v>
      </c>
      <c r="DS26" s="49">
        <f t="shared" ref="DS26:EE26" ca="1" si="79">RANDBETWEEN(20, 45)</f>
        <v>44</v>
      </c>
      <c r="DT26" s="49">
        <f t="shared" ca="1" si="79"/>
        <v>42</v>
      </c>
      <c r="DU26" s="49">
        <f t="shared" ca="1" si="79"/>
        <v>25</v>
      </c>
      <c r="DV26" s="49">
        <f t="shared" ca="1" si="79"/>
        <v>43</v>
      </c>
      <c r="DW26" s="49">
        <f t="shared" ca="1" si="79"/>
        <v>27</v>
      </c>
      <c r="DX26" s="49">
        <f t="shared" ca="1" si="79"/>
        <v>39</v>
      </c>
      <c r="DY26" s="49">
        <f t="shared" ca="1" si="79"/>
        <v>25</v>
      </c>
      <c r="DZ26" s="49">
        <f t="shared" ca="1" si="79"/>
        <v>38</v>
      </c>
      <c r="EA26" s="49">
        <f t="shared" ca="1" si="79"/>
        <v>21</v>
      </c>
      <c r="EB26" s="49">
        <f t="shared" ca="1" si="79"/>
        <v>38</v>
      </c>
      <c r="EC26" s="49">
        <f t="shared" ca="1" si="79"/>
        <v>35</v>
      </c>
      <c r="ED26" s="49">
        <f t="shared" ca="1" si="79"/>
        <v>27</v>
      </c>
      <c r="EE26" s="49">
        <f t="shared" ca="1" si="79"/>
        <v>24</v>
      </c>
    </row>
    <row r="27" spans="1:135" x14ac:dyDescent="0.4">
      <c r="A27" s="29" t="str">
        <f t="shared" si="7"/>
        <v>KPI ID 20 %</v>
      </c>
      <c r="B27" s="47" t="s">
        <v>64</v>
      </c>
      <c r="C27" s="48" t="s">
        <v>22</v>
      </c>
      <c r="D27" s="49">
        <f t="shared" ref="D27:AI27" ca="1" si="80">RAND()*0.224</f>
        <v>3.4231567494843275E-2</v>
      </c>
      <c r="E27" s="49">
        <f t="shared" ca="1" si="80"/>
        <v>0.13455097153157772</v>
      </c>
      <c r="F27" s="49">
        <f t="shared" ca="1" si="80"/>
        <v>0.21092219032647491</v>
      </c>
      <c r="G27" s="49">
        <f t="shared" ca="1" si="80"/>
        <v>0.20448427002702821</v>
      </c>
      <c r="H27" s="49">
        <f t="shared" ca="1" si="80"/>
        <v>2.2597252398791512E-2</v>
      </c>
      <c r="I27" s="49">
        <f t="shared" ca="1" si="80"/>
        <v>4.4807585426452773E-2</v>
      </c>
      <c r="J27" s="49">
        <f t="shared" ca="1" si="80"/>
        <v>0.19577317743629205</v>
      </c>
      <c r="K27" s="49">
        <f t="shared" ca="1" si="80"/>
        <v>0.10157329063283943</v>
      </c>
      <c r="L27" s="49">
        <f t="shared" ca="1" si="80"/>
        <v>1.0156722506277487E-2</v>
      </c>
      <c r="M27" s="49">
        <f t="shared" ca="1" si="80"/>
        <v>0.20004141812866971</v>
      </c>
      <c r="N27" s="49">
        <f t="shared" ca="1" si="80"/>
        <v>1.5471381682565656E-2</v>
      </c>
      <c r="O27" s="49">
        <f t="shared" ca="1" si="80"/>
        <v>6.6115391665985219E-3</v>
      </c>
      <c r="P27" s="49">
        <f t="shared" ca="1" si="80"/>
        <v>0.17195460943382582</v>
      </c>
      <c r="Q27" s="49">
        <f t="shared" ca="1" si="80"/>
        <v>0.12171435646934747</v>
      </c>
      <c r="R27" s="49">
        <f t="shared" ca="1" si="80"/>
        <v>0.15363835391086617</v>
      </c>
      <c r="S27" s="49">
        <f t="shared" ca="1" si="80"/>
        <v>0.12491063283390202</v>
      </c>
      <c r="T27" s="49">
        <f t="shared" ca="1" si="80"/>
        <v>0.18126958654792327</v>
      </c>
      <c r="U27" s="49">
        <f t="shared" ca="1" si="80"/>
        <v>6.7815314390502729E-2</v>
      </c>
      <c r="V27" s="49">
        <f t="shared" ca="1" si="80"/>
        <v>9.2627159600477849E-2</v>
      </c>
      <c r="W27" s="49">
        <f t="shared" ca="1" si="80"/>
        <v>0.20639398567133957</v>
      </c>
      <c r="X27" s="49">
        <f t="shared" ca="1" si="80"/>
        <v>0.1132382117952004</v>
      </c>
      <c r="Y27" s="49">
        <f t="shared" ca="1" si="80"/>
        <v>0.20000216187606615</v>
      </c>
      <c r="Z27" s="49">
        <f t="shared" ca="1" si="80"/>
        <v>6.8224787983406513E-3</v>
      </c>
      <c r="AA27" s="49">
        <f t="shared" ca="1" si="80"/>
        <v>8.6639466674704207E-2</v>
      </c>
      <c r="AB27" s="49">
        <f t="shared" ca="1" si="80"/>
        <v>0.10446179248583563</v>
      </c>
      <c r="AC27" s="49">
        <f t="shared" ca="1" si="80"/>
        <v>4.5018266990333539E-2</v>
      </c>
      <c r="AD27" s="49">
        <f t="shared" ca="1" si="80"/>
        <v>8.2669643659938188E-2</v>
      </c>
      <c r="AE27" s="49">
        <f t="shared" ca="1" si="80"/>
        <v>9.09085111629932E-2</v>
      </c>
      <c r="AF27" s="49">
        <f t="shared" ca="1" si="80"/>
        <v>0.16044465966999741</v>
      </c>
      <c r="AG27" s="49">
        <f t="shared" ca="1" si="80"/>
        <v>0.12891898951429079</v>
      </c>
      <c r="AH27" s="49">
        <f t="shared" ca="1" si="80"/>
        <v>9.9254556451510351E-2</v>
      </c>
      <c r="AI27" s="49">
        <f t="shared" ca="1" si="80"/>
        <v>0.1863762399482829</v>
      </c>
      <c r="AJ27" s="49">
        <f t="shared" ref="AJ27:BO27" ca="1" si="81">RAND()*0.224</f>
        <v>0.1668752994671111</v>
      </c>
      <c r="AK27" s="49">
        <f t="shared" ca="1" si="81"/>
        <v>8.0135801971831913E-2</v>
      </c>
      <c r="AL27" s="49">
        <f t="shared" ca="1" si="81"/>
        <v>0.18137623905256153</v>
      </c>
      <c r="AM27" s="49">
        <f t="shared" ca="1" si="81"/>
        <v>0.19857499639771134</v>
      </c>
      <c r="AN27" s="49">
        <f t="shared" ca="1" si="81"/>
        <v>4.178888654094258E-2</v>
      </c>
      <c r="AO27" s="49">
        <f t="shared" ca="1" si="81"/>
        <v>2.1909974413559852E-2</v>
      </c>
      <c r="AP27" s="49">
        <f t="shared" ca="1" si="81"/>
        <v>1.8348303114440641E-2</v>
      </c>
      <c r="AQ27" s="49">
        <f t="shared" ca="1" si="81"/>
        <v>4.8456242329340656E-2</v>
      </c>
      <c r="AR27" s="49">
        <f t="shared" ca="1" si="81"/>
        <v>0.10102622889168641</v>
      </c>
      <c r="AS27" s="49">
        <f t="shared" ca="1" si="81"/>
        <v>0.14354042565393949</v>
      </c>
      <c r="AT27" s="49">
        <f t="shared" ca="1" si="81"/>
        <v>8.2635754692007957E-2</v>
      </c>
      <c r="AU27" s="49">
        <f t="shared" ca="1" si="81"/>
        <v>9.6962928260237918E-2</v>
      </c>
      <c r="AV27" s="49">
        <f t="shared" ca="1" si="81"/>
        <v>0.15524059037221236</v>
      </c>
      <c r="AW27" s="49">
        <f t="shared" ca="1" si="81"/>
        <v>0.16445060271861983</v>
      </c>
      <c r="AX27" s="49">
        <f t="shared" ca="1" si="81"/>
        <v>0.14846751859214172</v>
      </c>
      <c r="AY27" s="49">
        <f t="shared" ca="1" si="81"/>
        <v>4.5209587666655955E-2</v>
      </c>
      <c r="AZ27" s="49">
        <f t="shared" ca="1" si="81"/>
        <v>0.20487202170226756</v>
      </c>
      <c r="BA27" s="49">
        <f t="shared" ca="1" si="81"/>
        <v>4.0738476230146495E-2</v>
      </c>
      <c r="BB27" s="49">
        <f t="shared" ca="1" si="81"/>
        <v>1.7328838435632862E-2</v>
      </c>
      <c r="BC27" s="49">
        <f t="shared" ca="1" si="81"/>
        <v>5.3314242330544631E-2</v>
      </c>
      <c r="BD27" s="49">
        <f t="shared" ca="1" si="81"/>
        <v>3.7095429145198359E-2</v>
      </c>
      <c r="BE27" s="49">
        <f t="shared" ca="1" si="81"/>
        <v>8.1284066535069088E-2</v>
      </c>
      <c r="BF27" s="49">
        <f t="shared" ca="1" si="81"/>
        <v>0.20338678872474172</v>
      </c>
      <c r="BG27" s="49">
        <f t="shared" ca="1" si="81"/>
        <v>0.16382884252224936</v>
      </c>
      <c r="BH27" s="49">
        <f t="shared" ca="1" si="81"/>
        <v>2.9544955575186136E-2</v>
      </c>
      <c r="BI27" s="49">
        <f t="shared" ca="1" si="81"/>
        <v>0.11170797673959344</v>
      </c>
      <c r="BJ27" s="49">
        <f t="shared" ca="1" si="81"/>
        <v>8.7756260615149295E-2</v>
      </c>
      <c r="BK27" s="49">
        <f t="shared" ca="1" si="81"/>
        <v>0.10062732239589733</v>
      </c>
      <c r="BL27" s="49">
        <f t="shared" ca="1" si="81"/>
        <v>5.351640547573068E-2</v>
      </c>
      <c r="BM27" s="49">
        <f t="shared" ca="1" si="81"/>
        <v>0.20555090090250408</v>
      </c>
      <c r="BN27" s="49">
        <f t="shared" ca="1" si="81"/>
        <v>0.12069458353752539</v>
      </c>
      <c r="BO27" s="49">
        <f t="shared" ca="1" si="81"/>
        <v>0.20352729883652987</v>
      </c>
      <c r="BP27" s="49">
        <f t="shared" ref="BP27:CU27" ca="1" si="82">RAND()*0.224</f>
        <v>0.13951932190194233</v>
      </c>
      <c r="BQ27" s="49">
        <f t="shared" ca="1" si="82"/>
        <v>4.0112782782314275E-2</v>
      </c>
      <c r="BR27" s="49">
        <f t="shared" ca="1" si="82"/>
        <v>4.8643853520087044E-2</v>
      </c>
      <c r="BS27" s="49">
        <f t="shared" ca="1" si="82"/>
        <v>0.18141518625493991</v>
      </c>
      <c r="BT27" s="49">
        <f t="shared" ca="1" si="82"/>
        <v>6.7751162961899425E-2</v>
      </c>
      <c r="BU27" s="49">
        <f t="shared" ca="1" si="82"/>
        <v>0.21309080311228115</v>
      </c>
      <c r="BV27" s="49">
        <f t="shared" ca="1" si="82"/>
        <v>0.13214855939625306</v>
      </c>
      <c r="BW27" s="49">
        <f t="shared" ca="1" si="82"/>
        <v>0.17064735523082739</v>
      </c>
      <c r="BX27" s="49">
        <f t="shared" ca="1" si="82"/>
        <v>0.12281561179065334</v>
      </c>
      <c r="BY27" s="49">
        <f t="shared" ca="1" si="82"/>
        <v>0.17536498947221696</v>
      </c>
      <c r="BZ27" s="49">
        <f t="shared" ca="1" si="82"/>
        <v>7.5977659707514439E-2</v>
      </c>
      <c r="CA27" s="49">
        <f t="shared" ca="1" si="82"/>
        <v>9.2585123748051154E-2</v>
      </c>
      <c r="CB27" s="49">
        <f t="shared" ca="1" si="82"/>
        <v>0.1810810779636918</v>
      </c>
      <c r="CC27" s="49">
        <f t="shared" ca="1" si="82"/>
        <v>0.15104811327252196</v>
      </c>
      <c r="CD27" s="49">
        <f t="shared" ca="1" si="82"/>
        <v>0.16646669221500091</v>
      </c>
      <c r="CE27" s="49">
        <f t="shared" ca="1" si="82"/>
        <v>5.3637867023746372E-2</v>
      </c>
      <c r="CF27" s="49">
        <f t="shared" ca="1" si="82"/>
        <v>0.17434464232339181</v>
      </c>
      <c r="CG27" s="49">
        <f t="shared" ca="1" si="82"/>
        <v>0.20275922814869363</v>
      </c>
      <c r="CH27" s="49">
        <f t="shared" ca="1" si="82"/>
        <v>0.17221958370684606</v>
      </c>
      <c r="CI27" s="49">
        <f t="shared" ca="1" si="82"/>
        <v>0.12932539753834682</v>
      </c>
      <c r="CJ27" s="49">
        <f t="shared" ca="1" si="82"/>
        <v>7.0553601358959564E-2</v>
      </c>
      <c r="CK27" s="49">
        <f t="shared" ca="1" si="82"/>
        <v>0.10730428740691336</v>
      </c>
      <c r="CL27" s="49">
        <f t="shared" ca="1" si="82"/>
        <v>8.023507900970353E-2</v>
      </c>
      <c r="CM27" s="49">
        <f t="shared" ca="1" si="82"/>
        <v>0.20776974008448651</v>
      </c>
      <c r="CN27" s="49">
        <f t="shared" ca="1" si="82"/>
        <v>3.8913878106169392E-2</v>
      </c>
      <c r="CO27" s="49">
        <f t="shared" ca="1" si="82"/>
        <v>0.10360535196087939</v>
      </c>
      <c r="CP27" s="49">
        <f t="shared" ca="1" si="82"/>
        <v>0.14168132580356851</v>
      </c>
      <c r="CQ27" s="49">
        <f t="shared" ca="1" si="82"/>
        <v>9.3464130477306819E-3</v>
      </c>
      <c r="CR27" s="49">
        <f t="shared" ca="1" si="82"/>
        <v>4.8519616487564879E-2</v>
      </c>
      <c r="CS27" s="49">
        <f t="shared" ca="1" si="82"/>
        <v>0.19225697179262061</v>
      </c>
      <c r="CT27" s="49">
        <f t="shared" ca="1" si="82"/>
        <v>9.2439210568386707E-2</v>
      </c>
      <c r="CU27" s="49">
        <f t="shared" ca="1" si="82"/>
        <v>4.05556628475994E-2</v>
      </c>
      <c r="CV27" s="49">
        <f t="shared" ref="CV27:EE27" ca="1" si="83">RAND()*0.224</f>
        <v>9.8000790484315203E-2</v>
      </c>
      <c r="CW27" s="49">
        <f t="shared" ca="1" si="83"/>
        <v>0.18349830233432585</v>
      </c>
      <c r="CX27" s="49">
        <f t="shared" ca="1" si="83"/>
        <v>6.0766492041048571E-3</v>
      </c>
      <c r="CY27" s="49">
        <f t="shared" ca="1" si="83"/>
        <v>6.0786223930777969E-2</v>
      </c>
      <c r="CZ27" s="49">
        <f t="shared" ca="1" si="83"/>
        <v>0.17983539608784224</v>
      </c>
      <c r="DA27" s="49">
        <f t="shared" ca="1" si="83"/>
        <v>1.4631585217100824E-2</v>
      </c>
      <c r="DB27" s="49">
        <f t="shared" ca="1" si="83"/>
        <v>3.1829127501809766E-2</v>
      </c>
      <c r="DC27" s="49">
        <f t="shared" ca="1" si="83"/>
        <v>0.2080789463208681</v>
      </c>
      <c r="DD27" s="49">
        <f t="shared" ca="1" si="83"/>
        <v>0.17686021760861126</v>
      </c>
      <c r="DE27" s="49">
        <f t="shared" ca="1" si="83"/>
        <v>3.6539348838242176E-2</v>
      </c>
      <c r="DF27" s="49">
        <f t="shared" ca="1" si="83"/>
        <v>2.3889866981909702E-2</v>
      </c>
      <c r="DG27" s="49">
        <f t="shared" ca="1" si="83"/>
        <v>8.0631367993564559E-2</v>
      </c>
      <c r="DH27" s="49">
        <f t="shared" ca="1" si="83"/>
        <v>2.2264429543749725E-2</v>
      </c>
      <c r="DI27" s="49">
        <f t="shared" ca="1" si="83"/>
        <v>7.8696302596089271E-2</v>
      </c>
      <c r="DJ27" s="49">
        <f t="shared" ca="1" si="83"/>
        <v>0.13273988722590707</v>
      </c>
      <c r="DK27" s="49">
        <f t="shared" ca="1" si="83"/>
        <v>0.12178111357227493</v>
      </c>
      <c r="DL27" s="49">
        <f t="shared" ca="1" si="83"/>
        <v>2.6223330406621524E-2</v>
      </c>
      <c r="DM27" s="49">
        <f t="shared" ca="1" si="83"/>
        <v>0.15261592177790656</v>
      </c>
      <c r="DN27" s="49">
        <f t="shared" ca="1" si="83"/>
        <v>0.13363693161083393</v>
      </c>
      <c r="DO27" s="49">
        <f t="shared" ca="1" si="83"/>
        <v>6.0075400804996362E-2</v>
      </c>
      <c r="DP27" s="49">
        <f t="shared" ca="1" si="83"/>
        <v>0.12162367076821293</v>
      </c>
      <c r="DQ27" s="49">
        <f t="shared" ca="1" si="83"/>
        <v>0.15811467251588143</v>
      </c>
      <c r="DR27" s="49">
        <f t="shared" ca="1" si="83"/>
        <v>7.9257505510721953E-3</v>
      </c>
      <c r="DS27" s="49">
        <f t="shared" ca="1" si="83"/>
        <v>0.15190641971926397</v>
      </c>
      <c r="DT27" s="49">
        <f t="shared" ca="1" si="83"/>
        <v>0.18514185635945757</v>
      </c>
      <c r="DU27" s="49">
        <f t="shared" ca="1" si="83"/>
        <v>4.1756752660275107E-2</v>
      </c>
      <c r="DV27" s="49">
        <f t="shared" ca="1" si="83"/>
        <v>0.2231456956302911</v>
      </c>
      <c r="DW27" s="49">
        <f t="shared" ca="1" si="83"/>
        <v>0.17575150257023686</v>
      </c>
      <c r="DX27" s="49">
        <f t="shared" ca="1" si="83"/>
        <v>3.533289391833281E-2</v>
      </c>
      <c r="DY27" s="49">
        <f t="shared" ca="1" si="83"/>
        <v>1.250958243559575E-2</v>
      </c>
      <c r="DZ27" s="49">
        <f t="shared" ca="1" si="83"/>
        <v>4.7657716006909822E-4</v>
      </c>
      <c r="EA27" s="49">
        <f t="shared" ca="1" si="83"/>
        <v>0.19453856599172265</v>
      </c>
      <c r="EB27" s="49">
        <f t="shared" ca="1" si="83"/>
        <v>3.9885131020930623E-3</v>
      </c>
      <c r="EC27" s="49">
        <f t="shared" ca="1" si="83"/>
        <v>5.136440511102381E-2</v>
      </c>
      <c r="ED27" s="49">
        <f t="shared" ca="1" si="83"/>
        <v>2.7286107544872668E-2</v>
      </c>
      <c r="EE27" s="49">
        <f t="shared" ca="1" si="83"/>
        <v>1.0071971656315888E-2</v>
      </c>
    </row>
    <row r="28" spans="1:135" x14ac:dyDescent="0.4">
      <c r="A28" s="29" t="str">
        <f t="shared" si="7"/>
        <v>KPI ID 21 %</v>
      </c>
      <c r="B28" s="47" t="s">
        <v>64</v>
      </c>
      <c r="C28" s="48" t="s">
        <v>23</v>
      </c>
      <c r="D28" s="49">
        <f t="shared" ref="D28:AI28" ca="1" si="84">RAND()</f>
        <v>0.72448473810209402</v>
      </c>
      <c r="E28" s="49">
        <f t="shared" ca="1" si="84"/>
        <v>0.97532221278435705</v>
      </c>
      <c r="F28" s="49">
        <f t="shared" ca="1" si="84"/>
        <v>0.10584205942445246</v>
      </c>
      <c r="G28" s="49">
        <f t="shared" ca="1" si="84"/>
        <v>0.59692022196101269</v>
      </c>
      <c r="H28" s="49">
        <f t="shared" ca="1" si="84"/>
        <v>0.30374075762267805</v>
      </c>
      <c r="I28" s="49">
        <f t="shared" ca="1" si="84"/>
        <v>0.43371181738425102</v>
      </c>
      <c r="J28" s="49">
        <f t="shared" ca="1" si="84"/>
        <v>0.36308858252067389</v>
      </c>
      <c r="K28" s="49">
        <f t="shared" ca="1" si="84"/>
        <v>0.64007859792277233</v>
      </c>
      <c r="L28" s="49">
        <f t="shared" ca="1" si="84"/>
        <v>0.12287341208848357</v>
      </c>
      <c r="M28" s="49">
        <f t="shared" ca="1" si="84"/>
        <v>0.61772126129425331</v>
      </c>
      <c r="N28" s="49">
        <f t="shared" ca="1" si="84"/>
        <v>0.52773503871351479</v>
      </c>
      <c r="O28" s="49">
        <f t="shared" ca="1" si="84"/>
        <v>0.64558653898750928</v>
      </c>
      <c r="P28" s="49">
        <f t="shared" ca="1" si="84"/>
        <v>0.92473609277410274</v>
      </c>
      <c r="Q28" s="49">
        <f t="shared" ca="1" si="84"/>
        <v>0.33084752349139224</v>
      </c>
      <c r="R28" s="49">
        <f t="shared" ca="1" si="84"/>
        <v>0.55406202082045874</v>
      </c>
      <c r="S28" s="49">
        <f t="shared" ca="1" si="84"/>
        <v>0.72628582056358693</v>
      </c>
      <c r="T28" s="49">
        <f t="shared" ca="1" si="84"/>
        <v>0.58718212909606671</v>
      </c>
      <c r="U28" s="49">
        <f t="shared" ca="1" si="84"/>
        <v>0.39223348155513138</v>
      </c>
      <c r="V28" s="49">
        <f t="shared" ca="1" si="84"/>
        <v>0.5210087594232975</v>
      </c>
      <c r="W28" s="49">
        <f t="shared" ca="1" si="84"/>
        <v>0.30938171348706045</v>
      </c>
      <c r="X28" s="49">
        <f t="shared" ca="1" si="84"/>
        <v>0.12319048448547609</v>
      </c>
      <c r="Y28" s="49">
        <f t="shared" ca="1" si="84"/>
        <v>0.56673709962704344</v>
      </c>
      <c r="Z28" s="49">
        <f t="shared" ca="1" si="84"/>
        <v>0.1317134919435019</v>
      </c>
      <c r="AA28" s="49">
        <f t="shared" ca="1" si="84"/>
        <v>0.67932342102940391</v>
      </c>
      <c r="AB28" s="49">
        <f t="shared" ca="1" si="84"/>
        <v>5.7599613819932061E-2</v>
      </c>
      <c r="AC28" s="49">
        <f t="shared" ca="1" si="84"/>
        <v>2.7145168630785976E-2</v>
      </c>
      <c r="AD28" s="49">
        <f t="shared" ca="1" si="84"/>
        <v>0.11450386732772444</v>
      </c>
      <c r="AE28" s="49">
        <f t="shared" ca="1" si="84"/>
        <v>0.12216720540754011</v>
      </c>
      <c r="AF28" s="49">
        <f t="shared" ca="1" si="84"/>
        <v>0.11568896680105734</v>
      </c>
      <c r="AG28" s="49">
        <f t="shared" ca="1" si="84"/>
        <v>0.21903126892600011</v>
      </c>
      <c r="AH28" s="49">
        <f t="shared" ca="1" si="84"/>
        <v>0.18266122725879741</v>
      </c>
      <c r="AI28" s="49">
        <f t="shared" ca="1" si="84"/>
        <v>0.91787380422228049</v>
      </c>
      <c r="AJ28" s="49">
        <f t="shared" ref="AJ28:BO28" ca="1" si="85">RAND()</f>
        <v>0.44781498693314514</v>
      </c>
      <c r="AK28" s="49">
        <f t="shared" ca="1" si="85"/>
        <v>0.23113165272999214</v>
      </c>
      <c r="AL28" s="49">
        <f t="shared" ca="1" si="85"/>
        <v>0.96073954096483971</v>
      </c>
      <c r="AM28" s="49">
        <f t="shared" ca="1" si="85"/>
        <v>0.61375231971709354</v>
      </c>
      <c r="AN28" s="49">
        <f t="shared" ca="1" si="85"/>
        <v>0.95921323347480369</v>
      </c>
      <c r="AO28" s="49">
        <f t="shared" ca="1" si="85"/>
        <v>1.2667335733417273E-3</v>
      </c>
      <c r="AP28" s="49">
        <f t="shared" ca="1" si="85"/>
        <v>0.51017467113736259</v>
      </c>
      <c r="AQ28" s="49">
        <f t="shared" ca="1" si="85"/>
        <v>0.66776794668905626</v>
      </c>
      <c r="AR28" s="49">
        <f t="shared" ca="1" si="85"/>
        <v>0.58085721271768276</v>
      </c>
      <c r="AS28" s="49">
        <f t="shared" ca="1" si="85"/>
        <v>0.2524359604669788</v>
      </c>
      <c r="AT28" s="49">
        <f t="shared" ca="1" si="85"/>
        <v>3.7180086513322941E-2</v>
      </c>
      <c r="AU28" s="49">
        <f t="shared" ca="1" si="85"/>
        <v>0.88270201109203139</v>
      </c>
      <c r="AV28" s="49">
        <f t="shared" ca="1" si="85"/>
        <v>0.7084868748710057</v>
      </c>
      <c r="AW28" s="49">
        <f t="shared" ca="1" si="85"/>
        <v>0.65467632551708377</v>
      </c>
      <c r="AX28" s="49">
        <f t="shared" ca="1" si="85"/>
        <v>0.70068275969504656</v>
      </c>
      <c r="AY28" s="49">
        <f t="shared" ca="1" si="85"/>
        <v>0.55242318273362512</v>
      </c>
      <c r="AZ28" s="49">
        <f t="shared" ca="1" si="85"/>
        <v>0.69957362438999837</v>
      </c>
      <c r="BA28" s="49">
        <f t="shared" ca="1" si="85"/>
        <v>0.25289213965688095</v>
      </c>
      <c r="BB28" s="49">
        <f t="shared" ca="1" si="85"/>
        <v>0.67266846724896634</v>
      </c>
      <c r="BC28" s="49">
        <f t="shared" ca="1" si="85"/>
        <v>0.56102726630384647</v>
      </c>
      <c r="BD28" s="49">
        <f t="shared" ca="1" si="85"/>
        <v>0.19421353011635556</v>
      </c>
      <c r="BE28" s="49">
        <f t="shared" ca="1" si="85"/>
        <v>0.16392483194913299</v>
      </c>
      <c r="BF28" s="49">
        <f t="shared" ca="1" si="85"/>
        <v>0.34686001126640253</v>
      </c>
      <c r="BG28" s="49">
        <f t="shared" ca="1" si="85"/>
        <v>0.87336034569224641</v>
      </c>
      <c r="BH28" s="49">
        <f t="shared" ca="1" si="85"/>
        <v>0.38501458471206862</v>
      </c>
      <c r="BI28" s="49">
        <f t="shared" ca="1" si="85"/>
        <v>0.55076084368865119</v>
      </c>
      <c r="BJ28" s="49">
        <f t="shared" ca="1" si="85"/>
        <v>0.83307051965527579</v>
      </c>
      <c r="BK28" s="49">
        <f t="shared" ca="1" si="85"/>
        <v>0.58288194139974525</v>
      </c>
      <c r="BL28" s="49">
        <f t="shared" ca="1" si="85"/>
        <v>0.13520030223742618</v>
      </c>
      <c r="BM28" s="49">
        <f t="shared" ca="1" si="85"/>
        <v>0.26518972359047621</v>
      </c>
      <c r="BN28" s="49">
        <f t="shared" ca="1" si="85"/>
        <v>0.49802540414524188</v>
      </c>
      <c r="BO28" s="49">
        <f t="shared" ca="1" si="85"/>
        <v>0.51217170549337487</v>
      </c>
      <c r="BP28" s="49">
        <f t="shared" ref="BP28:CU28" ca="1" si="86">RAND()</f>
        <v>0.38940622819788995</v>
      </c>
      <c r="BQ28" s="49">
        <f t="shared" ca="1" si="86"/>
        <v>0.42767059769716342</v>
      </c>
      <c r="BR28" s="49">
        <f t="shared" ca="1" si="86"/>
        <v>0.68622140934078824</v>
      </c>
      <c r="BS28" s="49">
        <f t="shared" ca="1" si="86"/>
        <v>0.33239941150205232</v>
      </c>
      <c r="BT28" s="49">
        <f t="shared" ca="1" si="86"/>
        <v>0.23876303087825401</v>
      </c>
      <c r="BU28" s="49">
        <f t="shared" ca="1" si="86"/>
        <v>0.28771737297851196</v>
      </c>
      <c r="BV28" s="49">
        <f t="shared" ca="1" si="86"/>
        <v>0.36779366529881585</v>
      </c>
      <c r="BW28" s="49">
        <f t="shared" ca="1" si="86"/>
        <v>0.41051761831189915</v>
      </c>
      <c r="BX28" s="49">
        <f t="shared" ca="1" si="86"/>
        <v>0.56009226096309328</v>
      </c>
      <c r="BY28" s="49">
        <f t="shared" ca="1" si="86"/>
        <v>0.81366083446569204</v>
      </c>
      <c r="BZ28" s="49">
        <f t="shared" ca="1" si="86"/>
        <v>0.82110309562204009</v>
      </c>
      <c r="CA28" s="49">
        <f t="shared" ca="1" si="86"/>
        <v>0.21659931951462352</v>
      </c>
      <c r="CB28" s="49">
        <f t="shared" ca="1" si="86"/>
        <v>0.14167823076131958</v>
      </c>
      <c r="CC28" s="49">
        <f t="shared" ca="1" si="86"/>
        <v>0.1672472309380757</v>
      </c>
      <c r="CD28" s="49">
        <f t="shared" ca="1" si="86"/>
        <v>9.0913937387868127E-2</v>
      </c>
      <c r="CE28" s="49">
        <f t="shared" ca="1" si="86"/>
        <v>0.15978612233389311</v>
      </c>
      <c r="CF28" s="49">
        <f t="shared" ca="1" si="86"/>
        <v>2.0244929782400112E-2</v>
      </c>
      <c r="CG28" s="49">
        <f t="shared" ca="1" si="86"/>
        <v>0.67010344499611985</v>
      </c>
      <c r="CH28" s="49">
        <f t="shared" ca="1" si="86"/>
        <v>0.95717571398557733</v>
      </c>
      <c r="CI28" s="49">
        <f t="shared" ca="1" si="86"/>
        <v>3.7837235856761464E-2</v>
      </c>
      <c r="CJ28" s="49">
        <f t="shared" ca="1" si="86"/>
        <v>0.82335785174347276</v>
      </c>
      <c r="CK28" s="49">
        <f t="shared" ca="1" si="86"/>
        <v>2.2195550670002118E-2</v>
      </c>
      <c r="CL28" s="49">
        <f t="shared" ca="1" si="86"/>
        <v>0.99949855120741138</v>
      </c>
      <c r="CM28" s="49">
        <f t="shared" ca="1" si="86"/>
        <v>0.73052766512252931</v>
      </c>
      <c r="CN28" s="49">
        <f t="shared" ca="1" si="86"/>
        <v>0.89297052105781316</v>
      </c>
      <c r="CO28" s="49">
        <f t="shared" ca="1" si="86"/>
        <v>0.24570983721011497</v>
      </c>
      <c r="CP28" s="49">
        <f t="shared" ca="1" si="86"/>
        <v>0.43997336157745615</v>
      </c>
      <c r="CQ28" s="49">
        <f t="shared" ca="1" si="86"/>
        <v>0.21337640992487517</v>
      </c>
      <c r="CR28" s="49">
        <f t="shared" ca="1" si="86"/>
        <v>0.3085109770716864</v>
      </c>
      <c r="CS28" s="49">
        <f t="shared" ca="1" si="86"/>
        <v>0.18486581985563533</v>
      </c>
      <c r="CT28" s="49">
        <f t="shared" ca="1" si="86"/>
        <v>0.97683060642304942</v>
      </c>
      <c r="CU28" s="49">
        <f t="shared" ca="1" si="86"/>
        <v>0.81535212846538008</v>
      </c>
      <c r="CV28" s="49">
        <f t="shared" ref="CV28:EE28" ca="1" si="87">RAND()</f>
        <v>0.63878372889894952</v>
      </c>
      <c r="CW28" s="49">
        <f t="shared" ca="1" si="87"/>
        <v>0.32962606120450211</v>
      </c>
      <c r="CX28" s="49">
        <f t="shared" ca="1" si="87"/>
        <v>0.28030273703279318</v>
      </c>
      <c r="CY28" s="49">
        <f t="shared" ca="1" si="87"/>
        <v>0.41857172073952653</v>
      </c>
      <c r="CZ28" s="49">
        <f t="shared" ca="1" si="87"/>
        <v>0.46250783644004101</v>
      </c>
      <c r="DA28" s="49">
        <f t="shared" ca="1" si="87"/>
        <v>0.34584965608812734</v>
      </c>
      <c r="DB28" s="49">
        <f t="shared" ca="1" si="87"/>
        <v>0.99554621303011959</v>
      </c>
      <c r="DC28" s="49">
        <f t="shared" ca="1" si="87"/>
        <v>0.68078744189072771</v>
      </c>
      <c r="DD28" s="49">
        <f t="shared" ca="1" si="87"/>
        <v>0.25892747432450813</v>
      </c>
      <c r="DE28" s="49">
        <f t="shared" ca="1" si="87"/>
        <v>0.84705547623945587</v>
      </c>
      <c r="DF28" s="49">
        <f t="shared" ca="1" si="87"/>
        <v>0.91316679604145923</v>
      </c>
      <c r="DG28" s="49">
        <f t="shared" ca="1" si="87"/>
        <v>2.1590564765784803E-2</v>
      </c>
      <c r="DH28" s="49">
        <f t="shared" ca="1" si="87"/>
        <v>0.25019901399225242</v>
      </c>
      <c r="DI28" s="49">
        <f t="shared" ca="1" si="87"/>
        <v>0.58436302638852577</v>
      </c>
      <c r="DJ28" s="49">
        <f t="shared" ca="1" si="87"/>
        <v>0.72930000587589738</v>
      </c>
      <c r="DK28" s="49">
        <f t="shared" ca="1" si="87"/>
        <v>0.87805267904996276</v>
      </c>
      <c r="DL28" s="49">
        <f t="shared" ca="1" si="87"/>
        <v>0.3952469509216795</v>
      </c>
      <c r="DM28" s="49">
        <f t="shared" ca="1" si="87"/>
        <v>0.70582908645678322</v>
      </c>
      <c r="DN28" s="49">
        <f t="shared" ca="1" si="87"/>
        <v>0.73979282833793769</v>
      </c>
      <c r="DO28" s="49">
        <f t="shared" ca="1" si="87"/>
        <v>0.88390342931298993</v>
      </c>
      <c r="DP28" s="49">
        <f t="shared" ca="1" si="87"/>
        <v>0.77135387298997948</v>
      </c>
      <c r="DQ28" s="49">
        <f t="shared" ca="1" si="87"/>
        <v>0.63216154829690452</v>
      </c>
      <c r="DR28" s="49">
        <f t="shared" ca="1" si="87"/>
        <v>0.41424295617502493</v>
      </c>
      <c r="DS28" s="49">
        <f t="shared" ca="1" si="87"/>
        <v>0.38519459972020487</v>
      </c>
      <c r="DT28" s="49">
        <f t="shared" ca="1" si="87"/>
        <v>0.37591872781843483</v>
      </c>
      <c r="DU28" s="49">
        <f t="shared" ca="1" si="87"/>
        <v>0.28297234882169586</v>
      </c>
      <c r="DV28" s="49">
        <f t="shared" ca="1" si="87"/>
        <v>6.6555472738499266E-2</v>
      </c>
      <c r="DW28" s="49">
        <f t="shared" ca="1" si="87"/>
        <v>0.27817667730364359</v>
      </c>
      <c r="DX28" s="49">
        <f t="shared" ca="1" si="87"/>
        <v>0.93776175662055539</v>
      </c>
      <c r="DY28" s="49">
        <f t="shared" ca="1" si="87"/>
        <v>0.54509255176761762</v>
      </c>
      <c r="DZ28" s="49">
        <f t="shared" ca="1" si="87"/>
        <v>0.77100567820624133</v>
      </c>
      <c r="EA28" s="49">
        <f t="shared" ca="1" si="87"/>
        <v>0.49019976122328035</v>
      </c>
      <c r="EB28" s="49">
        <f t="shared" ca="1" si="87"/>
        <v>0.12081524596631998</v>
      </c>
      <c r="EC28" s="49">
        <f t="shared" ca="1" si="87"/>
        <v>0.44361997700077727</v>
      </c>
      <c r="ED28" s="49">
        <f t="shared" ca="1" si="87"/>
        <v>0.13235142894000329</v>
      </c>
      <c r="EE28" s="49">
        <f t="shared" ca="1" si="87"/>
        <v>0.93015494239875807</v>
      </c>
    </row>
    <row r="29" spans="1:135" x14ac:dyDescent="0.4">
      <c r="A29" s="29" t="str">
        <f t="shared" si="7"/>
        <v>KPI ID 22</v>
      </c>
      <c r="B29" s="47" t="s">
        <v>64</v>
      </c>
      <c r="C29" s="48" t="s">
        <v>24</v>
      </c>
      <c r="D29" s="49">
        <f t="shared" ref="D29:AI29" ca="1" si="88">RAND()+1</f>
        <v>1.620648408253863</v>
      </c>
      <c r="E29" s="49">
        <f t="shared" ca="1" si="88"/>
        <v>1.4792488894697744</v>
      </c>
      <c r="F29" s="49">
        <f t="shared" ca="1" si="88"/>
        <v>1.0447673580291632</v>
      </c>
      <c r="G29" s="49">
        <f t="shared" ca="1" si="88"/>
        <v>1.6733235968370388</v>
      </c>
      <c r="H29" s="49">
        <f t="shared" ca="1" si="88"/>
        <v>1.1594876013456743</v>
      </c>
      <c r="I29" s="49">
        <f t="shared" ca="1" si="88"/>
        <v>1.107295954503055</v>
      </c>
      <c r="J29" s="49">
        <f t="shared" ca="1" si="88"/>
        <v>1.4594908333678309</v>
      </c>
      <c r="K29" s="49">
        <f t="shared" ca="1" si="88"/>
        <v>1.8076095745784517</v>
      </c>
      <c r="L29" s="49">
        <f t="shared" ca="1" si="88"/>
        <v>1.0175023725655774</v>
      </c>
      <c r="M29" s="49">
        <f t="shared" ca="1" si="88"/>
        <v>1.3556314387812032</v>
      </c>
      <c r="N29" s="49">
        <f t="shared" ca="1" si="88"/>
        <v>1.2390872931793746</v>
      </c>
      <c r="O29" s="49">
        <f t="shared" ca="1" si="88"/>
        <v>1.7225901201397995</v>
      </c>
      <c r="P29" s="49">
        <f t="shared" ca="1" si="88"/>
        <v>1.4140204004243171</v>
      </c>
      <c r="Q29" s="49">
        <f t="shared" ca="1" si="88"/>
        <v>1.0824763150686112</v>
      </c>
      <c r="R29" s="49">
        <f t="shared" ca="1" si="88"/>
        <v>1.1793926013827702</v>
      </c>
      <c r="S29" s="49">
        <f t="shared" ca="1" si="88"/>
        <v>1.9417423968275629</v>
      </c>
      <c r="T29" s="49">
        <f t="shared" ca="1" si="88"/>
        <v>1.0248442110864064</v>
      </c>
      <c r="U29" s="49">
        <f t="shared" ca="1" si="88"/>
        <v>1.2657366217206472</v>
      </c>
      <c r="V29" s="49">
        <f t="shared" ca="1" si="88"/>
        <v>1.8350644968579035</v>
      </c>
      <c r="W29" s="49">
        <f t="shared" ca="1" si="88"/>
        <v>1.4022887998128306</v>
      </c>
      <c r="X29" s="49">
        <f t="shared" ca="1" si="88"/>
        <v>1.9733174681986938</v>
      </c>
      <c r="Y29" s="49">
        <f t="shared" ca="1" si="88"/>
        <v>1.9462654337006857</v>
      </c>
      <c r="Z29" s="49">
        <f t="shared" ca="1" si="88"/>
        <v>1.1043522468287055</v>
      </c>
      <c r="AA29" s="49">
        <f t="shared" ca="1" si="88"/>
        <v>1.6741024994563407</v>
      </c>
      <c r="AB29" s="49">
        <f t="shared" ca="1" si="88"/>
        <v>1.8884507213064037</v>
      </c>
      <c r="AC29" s="49">
        <f t="shared" ca="1" si="88"/>
        <v>1.8723514649512483</v>
      </c>
      <c r="AD29" s="49">
        <f t="shared" ca="1" si="88"/>
        <v>1.6472897214495688</v>
      </c>
      <c r="AE29" s="49">
        <f t="shared" ca="1" si="88"/>
        <v>1.6337650878759773</v>
      </c>
      <c r="AF29" s="49">
        <f t="shared" ca="1" si="88"/>
        <v>1.4137253264980141</v>
      </c>
      <c r="AG29" s="49">
        <f t="shared" ca="1" si="88"/>
        <v>1.0636479387969404</v>
      </c>
      <c r="AH29" s="49">
        <f t="shared" ca="1" si="88"/>
        <v>1.6254464835868725</v>
      </c>
      <c r="AI29" s="49">
        <f t="shared" ca="1" si="88"/>
        <v>1.8074957264803415</v>
      </c>
      <c r="AJ29" s="49">
        <f t="shared" ref="AJ29:BO29" ca="1" si="89">RAND()+1</f>
        <v>1.2127173880134254</v>
      </c>
      <c r="AK29" s="49">
        <f t="shared" ca="1" si="89"/>
        <v>1.6661780686284842</v>
      </c>
      <c r="AL29" s="49">
        <f t="shared" ca="1" si="89"/>
        <v>1.3120171664558042</v>
      </c>
      <c r="AM29" s="49">
        <f t="shared" ca="1" si="89"/>
        <v>1.0230358242896549</v>
      </c>
      <c r="AN29" s="49">
        <f t="shared" ca="1" si="89"/>
        <v>1.3490778080078014</v>
      </c>
      <c r="AO29" s="49">
        <f t="shared" ca="1" si="89"/>
        <v>1.4357496489271091</v>
      </c>
      <c r="AP29" s="49">
        <f t="shared" ca="1" si="89"/>
        <v>1.7672212920178278</v>
      </c>
      <c r="AQ29" s="49">
        <f t="shared" ca="1" si="89"/>
        <v>1.9470571858674748</v>
      </c>
      <c r="AR29" s="49">
        <f t="shared" ca="1" si="89"/>
        <v>1.0302260819726619</v>
      </c>
      <c r="AS29" s="49">
        <f t="shared" ca="1" si="89"/>
        <v>1.9843058959932236</v>
      </c>
      <c r="AT29" s="49">
        <f t="shared" ca="1" si="89"/>
        <v>1.6958599412067363</v>
      </c>
      <c r="AU29" s="49">
        <f t="shared" ca="1" si="89"/>
        <v>1.8822965899582274</v>
      </c>
      <c r="AV29" s="49">
        <f t="shared" ca="1" si="89"/>
        <v>1.4888334920108033</v>
      </c>
      <c r="AW29" s="49">
        <f t="shared" ca="1" si="89"/>
        <v>1.1647661087706451</v>
      </c>
      <c r="AX29" s="49">
        <f t="shared" ca="1" si="89"/>
        <v>1.0150351265435504</v>
      </c>
      <c r="AY29" s="49">
        <f t="shared" ca="1" si="89"/>
        <v>1.7998407239567742</v>
      </c>
      <c r="AZ29" s="49">
        <f t="shared" ca="1" si="89"/>
        <v>1.5996407699178832</v>
      </c>
      <c r="BA29" s="49">
        <f t="shared" ca="1" si="89"/>
        <v>1.2274026973161469</v>
      </c>
      <c r="BB29" s="49">
        <f t="shared" ca="1" si="89"/>
        <v>1.8055548636943719</v>
      </c>
      <c r="BC29" s="49">
        <f t="shared" ca="1" si="89"/>
        <v>1.2966476053055367</v>
      </c>
      <c r="BD29" s="49">
        <f t="shared" ca="1" si="89"/>
        <v>1.0148728841517185</v>
      </c>
      <c r="BE29" s="49">
        <f t="shared" ca="1" si="89"/>
        <v>1.219638246700171</v>
      </c>
      <c r="BF29" s="49">
        <f t="shared" ca="1" si="89"/>
        <v>1.2350773948698466</v>
      </c>
      <c r="BG29" s="49">
        <f t="shared" ca="1" si="89"/>
        <v>1.5432045587664405</v>
      </c>
      <c r="BH29" s="49">
        <f t="shared" ca="1" si="89"/>
        <v>1.5506477034041493</v>
      </c>
      <c r="BI29" s="49">
        <f t="shared" ca="1" si="89"/>
        <v>1.6999280511698602</v>
      </c>
      <c r="BJ29" s="49">
        <f t="shared" ca="1" si="89"/>
        <v>1.2574610695801498</v>
      </c>
      <c r="BK29" s="49">
        <f t="shared" ca="1" si="89"/>
        <v>1.6229011255080197</v>
      </c>
      <c r="BL29" s="49">
        <f t="shared" ca="1" si="89"/>
        <v>1.4410845778916936</v>
      </c>
      <c r="BM29" s="49">
        <f t="shared" ca="1" si="89"/>
        <v>1.6202760713518973</v>
      </c>
      <c r="BN29" s="49">
        <f t="shared" ca="1" si="89"/>
        <v>1.4698054208115461</v>
      </c>
      <c r="BO29" s="49">
        <f t="shared" ca="1" si="89"/>
        <v>1.9868816237578244</v>
      </c>
      <c r="BP29" s="49">
        <f t="shared" ref="BP29:CU29" ca="1" si="90">RAND()+1</f>
        <v>1.0337698876535621</v>
      </c>
      <c r="BQ29" s="49">
        <f t="shared" ca="1" si="90"/>
        <v>1.1381368950502802</v>
      </c>
      <c r="BR29" s="49">
        <f t="shared" ca="1" si="90"/>
        <v>1.1711684728083298</v>
      </c>
      <c r="BS29" s="49">
        <f t="shared" ca="1" si="90"/>
        <v>1.7608188057514784</v>
      </c>
      <c r="BT29" s="49">
        <f t="shared" ca="1" si="90"/>
        <v>1.4571101491747809</v>
      </c>
      <c r="BU29" s="49">
        <f t="shared" ca="1" si="90"/>
        <v>1.2837499303229198</v>
      </c>
      <c r="BV29" s="49">
        <f t="shared" ca="1" si="90"/>
        <v>1.3087581859361941</v>
      </c>
      <c r="BW29" s="49">
        <f t="shared" ca="1" si="90"/>
        <v>1.2349052522109396</v>
      </c>
      <c r="BX29" s="49">
        <f t="shared" ca="1" si="90"/>
        <v>1.6137399271351274</v>
      </c>
      <c r="BY29" s="49">
        <f t="shared" ca="1" si="90"/>
        <v>1.9659065932616016</v>
      </c>
      <c r="BZ29" s="49">
        <f t="shared" ca="1" si="90"/>
        <v>1.6240037834096221</v>
      </c>
      <c r="CA29" s="49">
        <f t="shared" ca="1" si="90"/>
        <v>1.1079991280788475</v>
      </c>
      <c r="CB29" s="49">
        <f t="shared" ca="1" si="90"/>
        <v>1.5886254255481949</v>
      </c>
      <c r="CC29" s="49">
        <f t="shared" ca="1" si="90"/>
        <v>1.0133206638360055</v>
      </c>
      <c r="CD29" s="49">
        <f t="shared" ca="1" si="90"/>
        <v>1.959520768560971</v>
      </c>
      <c r="CE29" s="49">
        <f t="shared" ca="1" si="90"/>
        <v>1.3021054501699521</v>
      </c>
      <c r="CF29" s="49">
        <f t="shared" ca="1" si="90"/>
        <v>1.1777812375622925</v>
      </c>
      <c r="CG29" s="49">
        <f t="shared" ca="1" si="90"/>
        <v>1.1869108148840084</v>
      </c>
      <c r="CH29" s="49">
        <f t="shared" ca="1" si="90"/>
        <v>1.4593938276901381</v>
      </c>
      <c r="CI29" s="49">
        <f t="shared" ca="1" si="90"/>
        <v>1.3804374855841552</v>
      </c>
      <c r="CJ29" s="49">
        <f t="shared" ca="1" si="90"/>
        <v>1.4022918689070005</v>
      </c>
      <c r="CK29" s="49">
        <f t="shared" ca="1" si="90"/>
        <v>1.6567999518308598</v>
      </c>
      <c r="CL29" s="49">
        <f t="shared" ca="1" si="90"/>
        <v>1.0947025959764525</v>
      </c>
      <c r="CM29" s="49">
        <f t="shared" ca="1" si="90"/>
        <v>1.3733747042019242</v>
      </c>
      <c r="CN29" s="49">
        <f t="shared" ca="1" si="90"/>
        <v>1.9546592728442547</v>
      </c>
      <c r="CO29" s="49">
        <f t="shared" ca="1" si="90"/>
        <v>1.687570729171195</v>
      </c>
      <c r="CP29" s="49">
        <f t="shared" ca="1" si="90"/>
        <v>1.5353411821440077</v>
      </c>
      <c r="CQ29" s="49">
        <f t="shared" ca="1" si="90"/>
        <v>1.3489986295349632</v>
      </c>
      <c r="CR29" s="49">
        <f t="shared" ca="1" si="90"/>
        <v>1.1614206487084351</v>
      </c>
      <c r="CS29" s="49">
        <f t="shared" ca="1" si="90"/>
        <v>1.7033711672858396</v>
      </c>
      <c r="CT29" s="49">
        <f t="shared" ca="1" si="90"/>
        <v>1.5899881737256556</v>
      </c>
      <c r="CU29" s="49">
        <f t="shared" ca="1" si="90"/>
        <v>1.2210416640131265</v>
      </c>
      <c r="CV29" s="49">
        <f t="shared" ref="CV29:DP29" ca="1" si="91">RAND()+1</f>
        <v>1.5636723230229324</v>
      </c>
      <c r="CW29" s="49">
        <f t="shared" ca="1" si="91"/>
        <v>1.196977639950727</v>
      </c>
      <c r="CX29" s="49">
        <f t="shared" ca="1" si="91"/>
        <v>1.6204211374278443</v>
      </c>
      <c r="CY29" s="49">
        <f t="shared" ca="1" si="91"/>
        <v>1.9124875296249715</v>
      </c>
      <c r="CZ29" s="49">
        <f t="shared" ca="1" si="91"/>
        <v>1.5326974431006433</v>
      </c>
      <c r="DA29" s="49">
        <f t="shared" ca="1" si="91"/>
        <v>1.3741155522429738</v>
      </c>
      <c r="DB29" s="49">
        <f t="shared" ca="1" si="91"/>
        <v>1.0230080729032631</v>
      </c>
      <c r="DC29" s="49">
        <f t="shared" ca="1" si="91"/>
        <v>1.5885204243702935</v>
      </c>
      <c r="DD29" s="49">
        <f t="shared" ca="1" si="91"/>
        <v>1.6771007765424795</v>
      </c>
      <c r="DE29" s="49">
        <f t="shared" ca="1" si="91"/>
        <v>1.7299247294125943</v>
      </c>
      <c r="DF29" s="49">
        <f t="shared" ca="1" si="91"/>
        <v>1.6015670108626114</v>
      </c>
      <c r="DG29" s="49">
        <f t="shared" ca="1" si="91"/>
        <v>1.4108260215847239</v>
      </c>
      <c r="DH29" s="49">
        <f t="shared" ca="1" si="91"/>
        <v>1.5420485990024173</v>
      </c>
      <c r="DI29" s="49">
        <f t="shared" ca="1" si="91"/>
        <v>1.8237733043371818</v>
      </c>
      <c r="DJ29" s="49">
        <f t="shared" ca="1" si="91"/>
        <v>1.6575428321908605</v>
      </c>
      <c r="DK29" s="49">
        <f t="shared" ca="1" si="91"/>
        <v>1.2940099820613593</v>
      </c>
      <c r="DL29" s="49">
        <f t="shared" ca="1" si="91"/>
        <v>1.6569396477794851</v>
      </c>
      <c r="DM29" s="49">
        <f t="shared" ca="1" si="91"/>
        <v>1.0201855588744901</v>
      </c>
      <c r="DN29" s="49">
        <f t="shared" ca="1" si="91"/>
        <v>1.0804162512228994</v>
      </c>
      <c r="DO29" s="49">
        <f t="shared" ca="1" si="91"/>
        <v>1.9488193847920727</v>
      </c>
      <c r="DP29" s="49">
        <f t="shared" ca="1" si="91"/>
        <v>1.5504772588059681</v>
      </c>
      <c r="DQ29" s="49">
        <f ca="1">RANDBETWEEN(20, 45)</f>
        <v>41</v>
      </c>
      <c r="DR29" s="49">
        <f t="shared" ref="DR29:EE29" ca="1" si="92">RAND()+1</f>
        <v>1.6276966897548095</v>
      </c>
      <c r="DS29" s="49">
        <f t="shared" ca="1" si="92"/>
        <v>1.0494510925187308</v>
      </c>
      <c r="DT29" s="49">
        <f t="shared" ca="1" si="92"/>
        <v>1.8043332177823372</v>
      </c>
      <c r="DU29" s="49">
        <f t="shared" ca="1" si="92"/>
        <v>1.8823466658258026</v>
      </c>
      <c r="DV29" s="49">
        <f t="shared" ca="1" si="92"/>
        <v>1.1698620587454736</v>
      </c>
      <c r="DW29" s="49">
        <f t="shared" ca="1" si="92"/>
        <v>1.896647552710383</v>
      </c>
      <c r="DX29" s="49">
        <f t="shared" ca="1" si="92"/>
        <v>1.3042410350307394</v>
      </c>
      <c r="DY29" s="49">
        <f t="shared" ca="1" si="92"/>
        <v>1.3303122627093442</v>
      </c>
      <c r="DZ29" s="49">
        <f t="shared" ca="1" si="92"/>
        <v>1.5826421896740803</v>
      </c>
      <c r="EA29" s="49">
        <f t="shared" ca="1" si="92"/>
        <v>1.8029597491755436</v>
      </c>
      <c r="EB29" s="49">
        <f t="shared" ca="1" si="92"/>
        <v>1.1746241696420403</v>
      </c>
      <c r="EC29" s="49">
        <f t="shared" ca="1" si="92"/>
        <v>1.4914883438870119</v>
      </c>
      <c r="ED29" s="49">
        <f t="shared" ca="1" si="92"/>
        <v>1.5366188472253397</v>
      </c>
      <c r="EE29" s="49">
        <f t="shared" ca="1" si="92"/>
        <v>1.0799548584898822</v>
      </c>
    </row>
    <row r="30" spans="1:135" x14ac:dyDescent="0.4">
      <c r="A30" s="29" t="str">
        <f t="shared" si="7"/>
        <v>KPI ID 23 R</v>
      </c>
      <c r="B30" s="47" t="s">
        <v>64</v>
      </c>
      <c r="C30" s="48" t="s">
        <v>25</v>
      </c>
      <c r="D30" s="49">
        <f t="shared" ref="D30:AI30" ca="1" si="93">RANDBETWEEN(1, 200)</f>
        <v>92</v>
      </c>
      <c r="E30" s="49">
        <f t="shared" ca="1" si="93"/>
        <v>39</v>
      </c>
      <c r="F30" s="49">
        <f t="shared" ca="1" si="93"/>
        <v>186</v>
      </c>
      <c r="G30" s="49">
        <f t="shared" ca="1" si="93"/>
        <v>45</v>
      </c>
      <c r="H30" s="49">
        <f t="shared" ca="1" si="93"/>
        <v>19</v>
      </c>
      <c r="I30" s="49">
        <f t="shared" ca="1" si="93"/>
        <v>123</v>
      </c>
      <c r="J30" s="49">
        <f t="shared" ca="1" si="93"/>
        <v>33</v>
      </c>
      <c r="K30" s="49">
        <f t="shared" ca="1" si="93"/>
        <v>159</v>
      </c>
      <c r="L30" s="49">
        <f t="shared" ca="1" si="93"/>
        <v>23</v>
      </c>
      <c r="M30" s="49">
        <f t="shared" ca="1" si="93"/>
        <v>181</v>
      </c>
      <c r="N30" s="49">
        <f t="shared" ca="1" si="93"/>
        <v>185</v>
      </c>
      <c r="O30" s="49">
        <f t="shared" ca="1" si="93"/>
        <v>116</v>
      </c>
      <c r="P30" s="49">
        <f t="shared" ca="1" si="93"/>
        <v>190</v>
      </c>
      <c r="Q30" s="49">
        <f t="shared" ca="1" si="93"/>
        <v>154</v>
      </c>
      <c r="R30" s="49">
        <f t="shared" ca="1" si="93"/>
        <v>197</v>
      </c>
      <c r="S30" s="49">
        <f t="shared" ca="1" si="93"/>
        <v>158</v>
      </c>
      <c r="T30" s="49">
        <f t="shared" ca="1" si="93"/>
        <v>167</v>
      </c>
      <c r="U30" s="49">
        <f t="shared" ca="1" si="93"/>
        <v>98</v>
      </c>
      <c r="V30" s="49">
        <f t="shared" ca="1" si="93"/>
        <v>23</v>
      </c>
      <c r="W30" s="49">
        <f t="shared" ca="1" si="93"/>
        <v>140</v>
      </c>
      <c r="X30" s="49">
        <f t="shared" ca="1" si="93"/>
        <v>165</v>
      </c>
      <c r="Y30" s="49">
        <f t="shared" ca="1" si="93"/>
        <v>200</v>
      </c>
      <c r="Z30" s="49">
        <f t="shared" ca="1" si="93"/>
        <v>33</v>
      </c>
      <c r="AA30" s="49">
        <f t="shared" ca="1" si="93"/>
        <v>6</v>
      </c>
      <c r="AB30" s="49">
        <f t="shared" ca="1" si="93"/>
        <v>39</v>
      </c>
      <c r="AC30" s="49">
        <f t="shared" ca="1" si="93"/>
        <v>200</v>
      </c>
      <c r="AD30" s="49">
        <f t="shared" ca="1" si="93"/>
        <v>166</v>
      </c>
      <c r="AE30" s="49">
        <f t="shared" ca="1" si="93"/>
        <v>171</v>
      </c>
      <c r="AF30" s="49">
        <f t="shared" ca="1" si="93"/>
        <v>105</v>
      </c>
      <c r="AG30" s="49">
        <f t="shared" ca="1" si="93"/>
        <v>111</v>
      </c>
      <c r="AH30" s="49">
        <f t="shared" ca="1" si="93"/>
        <v>55</v>
      </c>
      <c r="AI30" s="49">
        <f t="shared" ca="1" si="93"/>
        <v>103</v>
      </c>
      <c r="AJ30" s="49">
        <f t="shared" ref="AJ30:BO30" ca="1" si="94">RANDBETWEEN(1, 200)</f>
        <v>1</v>
      </c>
      <c r="AK30" s="49">
        <f t="shared" ca="1" si="94"/>
        <v>68</v>
      </c>
      <c r="AL30" s="49">
        <f t="shared" ca="1" si="94"/>
        <v>165</v>
      </c>
      <c r="AM30" s="49">
        <f t="shared" ca="1" si="94"/>
        <v>38</v>
      </c>
      <c r="AN30" s="49">
        <f t="shared" ca="1" si="94"/>
        <v>8</v>
      </c>
      <c r="AO30" s="49">
        <f t="shared" ca="1" si="94"/>
        <v>46</v>
      </c>
      <c r="AP30" s="49">
        <f t="shared" ca="1" si="94"/>
        <v>82</v>
      </c>
      <c r="AQ30" s="49">
        <f t="shared" ca="1" si="94"/>
        <v>82</v>
      </c>
      <c r="AR30" s="49">
        <f t="shared" ca="1" si="94"/>
        <v>47</v>
      </c>
      <c r="AS30" s="49">
        <f t="shared" ca="1" si="94"/>
        <v>58</v>
      </c>
      <c r="AT30" s="49">
        <f t="shared" ca="1" si="94"/>
        <v>42</v>
      </c>
      <c r="AU30" s="49">
        <f t="shared" ca="1" si="94"/>
        <v>172</v>
      </c>
      <c r="AV30" s="49">
        <f t="shared" ca="1" si="94"/>
        <v>3</v>
      </c>
      <c r="AW30" s="49">
        <f t="shared" ca="1" si="94"/>
        <v>12</v>
      </c>
      <c r="AX30" s="49">
        <f t="shared" ca="1" si="94"/>
        <v>121</v>
      </c>
      <c r="AY30" s="49">
        <f t="shared" ca="1" si="94"/>
        <v>55</v>
      </c>
      <c r="AZ30" s="49">
        <f t="shared" ca="1" si="94"/>
        <v>33</v>
      </c>
      <c r="BA30" s="49">
        <f t="shared" ca="1" si="94"/>
        <v>86</v>
      </c>
      <c r="BB30" s="49">
        <f t="shared" ca="1" si="94"/>
        <v>167</v>
      </c>
      <c r="BC30" s="49">
        <f t="shared" ca="1" si="94"/>
        <v>178</v>
      </c>
      <c r="BD30" s="49">
        <f t="shared" ca="1" si="94"/>
        <v>84</v>
      </c>
      <c r="BE30" s="49">
        <f t="shared" ca="1" si="94"/>
        <v>196</v>
      </c>
      <c r="BF30" s="49">
        <f t="shared" ca="1" si="94"/>
        <v>42</v>
      </c>
      <c r="BG30" s="49">
        <f t="shared" ca="1" si="94"/>
        <v>177</v>
      </c>
      <c r="BH30" s="49">
        <f t="shared" ca="1" si="94"/>
        <v>40</v>
      </c>
      <c r="BI30" s="49">
        <f t="shared" ca="1" si="94"/>
        <v>197</v>
      </c>
      <c r="BJ30" s="49">
        <f t="shared" ca="1" si="94"/>
        <v>20</v>
      </c>
      <c r="BK30" s="49">
        <f t="shared" ca="1" si="94"/>
        <v>199</v>
      </c>
      <c r="BL30" s="49">
        <f t="shared" ca="1" si="94"/>
        <v>98</v>
      </c>
      <c r="BM30" s="49">
        <f t="shared" ca="1" si="94"/>
        <v>169</v>
      </c>
      <c r="BN30" s="49">
        <f t="shared" ca="1" si="94"/>
        <v>62</v>
      </c>
      <c r="BO30" s="49">
        <f t="shared" ca="1" si="94"/>
        <v>64</v>
      </c>
      <c r="BP30" s="49">
        <f t="shared" ref="BP30:CU30" ca="1" si="95">RANDBETWEEN(1, 200)</f>
        <v>105</v>
      </c>
      <c r="BQ30" s="49">
        <f t="shared" ca="1" si="95"/>
        <v>63</v>
      </c>
      <c r="BR30" s="49">
        <f t="shared" ca="1" si="95"/>
        <v>20</v>
      </c>
      <c r="BS30" s="49">
        <f t="shared" ca="1" si="95"/>
        <v>1</v>
      </c>
      <c r="BT30" s="49">
        <f t="shared" ca="1" si="95"/>
        <v>107</v>
      </c>
      <c r="BU30" s="49">
        <f t="shared" ca="1" si="95"/>
        <v>164</v>
      </c>
      <c r="BV30" s="49">
        <f t="shared" ca="1" si="95"/>
        <v>54</v>
      </c>
      <c r="BW30" s="49">
        <f t="shared" ca="1" si="95"/>
        <v>109</v>
      </c>
      <c r="BX30" s="49">
        <f t="shared" ca="1" si="95"/>
        <v>67</v>
      </c>
      <c r="BY30" s="49">
        <f t="shared" ca="1" si="95"/>
        <v>191</v>
      </c>
      <c r="BZ30" s="49">
        <f t="shared" ca="1" si="95"/>
        <v>61</v>
      </c>
      <c r="CA30" s="49">
        <f t="shared" ca="1" si="95"/>
        <v>83</v>
      </c>
      <c r="CB30" s="49">
        <f t="shared" ca="1" si="95"/>
        <v>82</v>
      </c>
      <c r="CC30" s="49">
        <f t="shared" ca="1" si="95"/>
        <v>114</v>
      </c>
      <c r="CD30" s="49">
        <f t="shared" ca="1" si="95"/>
        <v>111</v>
      </c>
      <c r="CE30" s="49">
        <f t="shared" ca="1" si="95"/>
        <v>38</v>
      </c>
      <c r="CF30" s="49">
        <f t="shared" ca="1" si="95"/>
        <v>170</v>
      </c>
      <c r="CG30" s="49">
        <f t="shared" ca="1" si="95"/>
        <v>117</v>
      </c>
      <c r="CH30" s="49">
        <f t="shared" ca="1" si="95"/>
        <v>103</v>
      </c>
      <c r="CI30" s="49">
        <f t="shared" ca="1" si="95"/>
        <v>171</v>
      </c>
      <c r="CJ30" s="49">
        <f t="shared" ca="1" si="95"/>
        <v>61</v>
      </c>
      <c r="CK30" s="49">
        <f t="shared" ca="1" si="95"/>
        <v>154</v>
      </c>
      <c r="CL30" s="49">
        <f t="shared" ca="1" si="95"/>
        <v>138</v>
      </c>
      <c r="CM30" s="49">
        <f t="shared" ca="1" si="95"/>
        <v>176</v>
      </c>
      <c r="CN30" s="49">
        <f t="shared" ca="1" si="95"/>
        <v>53</v>
      </c>
      <c r="CO30" s="49">
        <f t="shared" ca="1" si="95"/>
        <v>5</v>
      </c>
      <c r="CP30" s="49">
        <f t="shared" ca="1" si="95"/>
        <v>40</v>
      </c>
      <c r="CQ30" s="49">
        <f t="shared" ca="1" si="95"/>
        <v>177</v>
      </c>
      <c r="CR30" s="49">
        <f t="shared" ca="1" si="95"/>
        <v>37</v>
      </c>
      <c r="CS30" s="49">
        <f t="shared" ca="1" si="95"/>
        <v>109</v>
      </c>
      <c r="CT30" s="49">
        <f t="shared" ca="1" si="95"/>
        <v>54</v>
      </c>
      <c r="CU30" s="49">
        <f t="shared" ca="1" si="95"/>
        <v>144</v>
      </c>
      <c r="CV30" s="49">
        <f t="shared" ref="CV30:EE30" ca="1" si="96">RANDBETWEEN(1, 200)</f>
        <v>109</v>
      </c>
      <c r="CW30" s="49">
        <f t="shared" ca="1" si="96"/>
        <v>122</v>
      </c>
      <c r="CX30" s="49">
        <f t="shared" ca="1" si="96"/>
        <v>24</v>
      </c>
      <c r="CY30" s="49">
        <f t="shared" ca="1" si="96"/>
        <v>29</v>
      </c>
      <c r="CZ30" s="49">
        <f t="shared" ca="1" si="96"/>
        <v>13</v>
      </c>
      <c r="DA30" s="49">
        <f t="shared" ca="1" si="96"/>
        <v>155</v>
      </c>
      <c r="DB30" s="49">
        <f t="shared" ca="1" si="96"/>
        <v>102</v>
      </c>
      <c r="DC30" s="49">
        <f t="shared" ca="1" si="96"/>
        <v>46</v>
      </c>
      <c r="DD30" s="49">
        <f t="shared" ca="1" si="96"/>
        <v>43</v>
      </c>
      <c r="DE30" s="49">
        <f t="shared" ca="1" si="96"/>
        <v>104</v>
      </c>
      <c r="DF30" s="49">
        <f t="shared" ca="1" si="96"/>
        <v>145</v>
      </c>
      <c r="DG30" s="49">
        <f t="shared" ca="1" si="96"/>
        <v>98</v>
      </c>
      <c r="DH30" s="49">
        <f t="shared" ca="1" si="96"/>
        <v>47</v>
      </c>
      <c r="DI30" s="49">
        <f t="shared" ca="1" si="96"/>
        <v>169</v>
      </c>
      <c r="DJ30" s="49">
        <f t="shared" ca="1" si="96"/>
        <v>132</v>
      </c>
      <c r="DK30" s="49">
        <f t="shared" ca="1" si="96"/>
        <v>16</v>
      </c>
      <c r="DL30" s="49">
        <f t="shared" ca="1" si="96"/>
        <v>90</v>
      </c>
      <c r="DM30" s="49">
        <f t="shared" ca="1" si="96"/>
        <v>28</v>
      </c>
      <c r="DN30" s="49">
        <f t="shared" ca="1" si="96"/>
        <v>194</v>
      </c>
      <c r="DO30" s="49">
        <f t="shared" ca="1" si="96"/>
        <v>130</v>
      </c>
      <c r="DP30" s="49">
        <f t="shared" ca="1" si="96"/>
        <v>77</v>
      </c>
      <c r="DQ30" s="49">
        <f t="shared" ca="1" si="96"/>
        <v>120</v>
      </c>
      <c r="DR30" s="49">
        <f t="shared" ca="1" si="96"/>
        <v>53</v>
      </c>
      <c r="DS30" s="49">
        <f t="shared" ca="1" si="96"/>
        <v>125</v>
      </c>
      <c r="DT30" s="49">
        <f t="shared" ca="1" si="96"/>
        <v>57</v>
      </c>
      <c r="DU30" s="49">
        <f t="shared" ca="1" si="96"/>
        <v>4</v>
      </c>
      <c r="DV30" s="49">
        <f t="shared" ca="1" si="96"/>
        <v>186</v>
      </c>
      <c r="DW30" s="49">
        <f t="shared" ca="1" si="96"/>
        <v>86</v>
      </c>
      <c r="DX30" s="49">
        <f t="shared" ca="1" si="96"/>
        <v>19</v>
      </c>
      <c r="DY30" s="49">
        <f t="shared" ca="1" si="96"/>
        <v>179</v>
      </c>
      <c r="DZ30" s="49">
        <f t="shared" ca="1" si="96"/>
        <v>99</v>
      </c>
      <c r="EA30" s="49">
        <f t="shared" ca="1" si="96"/>
        <v>10</v>
      </c>
      <c r="EB30" s="49">
        <f t="shared" ca="1" si="96"/>
        <v>46</v>
      </c>
      <c r="EC30" s="49">
        <f t="shared" ca="1" si="96"/>
        <v>96</v>
      </c>
      <c r="ED30" s="49">
        <f t="shared" ca="1" si="96"/>
        <v>41</v>
      </c>
      <c r="EE30" s="49">
        <f t="shared" ca="1" si="96"/>
        <v>2</v>
      </c>
    </row>
    <row r="31" spans="1:135" x14ac:dyDescent="0.4">
      <c r="A31" s="29" t="str">
        <f t="shared" si="7"/>
        <v>KPI ID 24</v>
      </c>
      <c r="B31" s="47" t="s">
        <v>64</v>
      </c>
      <c r="C31" s="48" t="s">
        <v>26</v>
      </c>
      <c r="D31" s="49">
        <f t="shared" ref="D31:AI31" ca="1" si="97">RANDBETWEEN(20, 45)</f>
        <v>32</v>
      </c>
      <c r="E31" s="49">
        <f t="shared" ca="1" si="97"/>
        <v>21</v>
      </c>
      <c r="F31" s="49">
        <f t="shared" ca="1" si="97"/>
        <v>33</v>
      </c>
      <c r="G31" s="49">
        <f t="shared" ca="1" si="97"/>
        <v>38</v>
      </c>
      <c r="H31" s="49">
        <f t="shared" ca="1" si="97"/>
        <v>45</v>
      </c>
      <c r="I31" s="49">
        <f t="shared" ca="1" si="97"/>
        <v>25</v>
      </c>
      <c r="J31" s="49">
        <f t="shared" ca="1" si="97"/>
        <v>39</v>
      </c>
      <c r="K31" s="49">
        <f t="shared" ca="1" si="97"/>
        <v>45</v>
      </c>
      <c r="L31" s="49">
        <f t="shared" ca="1" si="97"/>
        <v>43</v>
      </c>
      <c r="M31" s="49">
        <f t="shared" ca="1" si="97"/>
        <v>28</v>
      </c>
      <c r="N31" s="49">
        <f t="shared" ca="1" si="97"/>
        <v>33</v>
      </c>
      <c r="O31" s="49">
        <f t="shared" ca="1" si="97"/>
        <v>43</v>
      </c>
      <c r="P31" s="49">
        <f t="shared" ca="1" si="97"/>
        <v>27</v>
      </c>
      <c r="Q31" s="49">
        <f t="shared" ca="1" si="97"/>
        <v>45</v>
      </c>
      <c r="R31" s="49">
        <f t="shared" ca="1" si="97"/>
        <v>33</v>
      </c>
      <c r="S31" s="49">
        <f t="shared" ca="1" si="97"/>
        <v>39</v>
      </c>
      <c r="T31" s="49">
        <f t="shared" ca="1" si="97"/>
        <v>43</v>
      </c>
      <c r="U31" s="49">
        <f t="shared" ca="1" si="97"/>
        <v>43</v>
      </c>
      <c r="V31" s="49">
        <f t="shared" ca="1" si="97"/>
        <v>22</v>
      </c>
      <c r="W31" s="49">
        <f t="shared" ca="1" si="97"/>
        <v>31</v>
      </c>
      <c r="X31" s="49">
        <f t="shared" ca="1" si="97"/>
        <v>43</v>
      </c>
      <c r="Y31" s="49">
        <f t="shared" ca="1" si="97"/>
        <v>25</v>
      </c>
      <c r="Z31" s="49">
        <f t="shared" ca="1" si="97"/>
        <v>20</v>
      </c>
      <c r="AA31" s="49">
        <f t="shared" ca="1" si="97"/>
        <v>20</v>
      </c>
      <c r="AB31" s="49">
        <f t="shared" ca="1" si="97"/>
        <v>35</v>
      </c>
      <c r="AC31" s="49">
        <f t="shared" ca="1" si="97"/>
        <v>41</v>
      </c>
      <c r="AD31" s="49">
        <f t="shared" ca="1" si="97"/>
        <v>45</v>
      </c>
      <c r="AE31" s="49">
        <f t="shared" ca="1" si="97"/>
        <v>45</v>
      </c>
      <c r="AF31" s="49">
        <f t="shared" ca="1" si="97"/>
        <v>29</v>
      </c>
      <c r="AG31" s="49">
        <f t="shared" ca="1" si="97"/>
        <v>24</v>
      </c>
      <c r="AH31" s="49">
        <f t="shared" ca="1" si="97"/>
        <v>26</v>
      </c>
      <c r="AI31" s="49">
        <f t="shared" ca="1" si="97"/>
        <v>39</v>
      </c>
      <c r="AJ31" s="49">
        <f t="shared" ref="AJ31:BO31" ca="1" si="98">RANDBETWEEN(20, 45)</f>
        <v>33</v>
      </c>
      <c r="AK31" s="49">
        <f t="shared" ca="1" si="98"/>
        <v>37</v>
      </c>
      <c r="AL31" s="49">
        <f t="shared" ca="1" si="98"/>
        <v>31</v>
      </c>
      <c r="AM31" s="49">
        <f t="shared" ca="1" si="98"/>
        <v>41</v>
      </c>
      <c r="AN31" s="49">
        <f t="shared" ca="1" si="98"/>
        <v>44</v>
      </c>
      <c r="AO31" s="49">
        <f t="shared" ca="1" si="98"/>
        <v>28</v>
      </c>
      <c r="AP31" s="49">
        <f t="shared" ca="1" si="98"/>
        <v>25</v>
      </c>
      <c r="AQ31" s="49">
        <f t="shared" ca="1" si="98"/>
        <v>29</v>
      </c>
      <c r="AR31" s="49">
        <f t="shared" ca="1" si="98"/>
        <v>35</v>
      </c>
      <c r="AS31" s="49">
        <f t="shared" ca="1" si="98"/>
        <v>30</v>
      </c>
      <c r="AT31" s="49">
        <f t="shared" ca="1" si="98"/>
        <v>37</v>
      </c>
      <c r="AU31" s="49">
        <f t="shared" ca="1" si="98"/>
        <v>21</v>
      </c>
      <c r="AV31" s="49">
        <f t="shared" ca="1" si="98"/>
        <v>33</v>
      </c>
      <c r="AW31" s="49">
        <f t="shared" ca="1" si="98"/>
        <v>24</v>
      </c>
      <c r="AX31" s="49">
        <f t="shared" ca="1" si="98"/>
        <v>45</v>
      </c>
      <c r="AY31" s="49">
        <f t="shared" ca="1" si="98"/>
        <v>24</v>
      </c>
      <c r="AZ31" s="49">
        <f t="shared" ca="1" si="98"/>
        <v>23</v>
      </c>
      <c r="BA31" s="49">
        <f t="shared" ca="1" si="98"/>
        <v>45</v>
      </c>
      <c r="BB31" s="49">
        <f t="shared" ca="1" si="98"/>
        <v>21</v>
      </c>
      <c r="BC31" s="49">
        <f t="shared" ca="1" si="98"/>
        <v>35</v>
      </c>
      <c r="BD31" s="49">
        <f t="shared" ca="1" si="98"/>
        <v>29</v>
      </c>
      <c r="BE31" s="49">
        <f t="shared" ca="1" si="98"/>
        <v>45</v>
      </c>
      <c r="BF31" s="49">
        <f t="shared" ca="1" si="98"/>
        <v>34</v>
      </c>
      <c r="BG31" s="49">
        <f t="shared" ca="1" si="98"/>
        <v>36</v>
      </c>
      <c r="BH31" s="49">
        <f t="shared" ca="1" si="98"/>
        <v>21</v>
      </c>
      <c r="BI31" s="49">
        <f t="shared" ca="1" si="98"/>
        <v>40</v>
      </c>
      <c r="BJ31" s="49">
        <f t="shared" ca="1" si="98"/>
        <v>24</v>
      </c>
      <c r="BK31" s="49">
        <f t="shared" ca="1" si="98"/>
        <v>40</v>
      </c>
      <c r="BL31" s="49">
        <f t="shared" ca="1" si="98"/>
        <v>32</v>
      </c>
      <c r="BM31" s="49">
        <f t="shared" ca="1" si="98"/>
        <v>43</v>
      </c>
      <c r="BN31" s="49">
        <f t="shared" ca="1" si="98"/>
        <v>39</v>
      </c>
      <c r="BO31" s="49">
        <f t="shared" ca="1" si="98"/>
        <v>42</v>
      </c>
      <c r="BP31" s="49">
        <f t="shared" ref="BP31:CU31" ca="1" si="99">RANDBETWEEN(20, 45)</f>
        <v>45</v>
      </c>
      <c r="BQ31" s="49">
        <f t="shared" ca="1" si="99"/>
        <v>39</v>
      </c>
      <c r="BR31" s="49">
        <f t="shared" ca="1" si="99"/>
        <v>34</v>
      </c>
      <c r="BS31" s="49">
        <f t="shared" ca="1" si="99"/>
        <v>35</v>
      </c>
      <c r="BT31" s="49">
        <f t="shared" ca="1" si="99"/>
        <v>40</v>
      </c>
      <c r="BU31" s="49">
        <f t="shared" ca="1" si="99"/>
        <v>36</v>
      </c>
      <c r="BV31" s="49">
        <f t="shared" ca="1" si="99"/>
        <v>30</v>
      </c>
      <c r="BW31" s="49">
        <f t="shared" ca="1" si="99"/>
        <v>45</v>
      </c>
      <c r="BX31" s="49">
        <f t="shared" ca="1" si="99"/>
        <v>36</v>
      </c>
      <c r="BY31" s="49">
        <f t="shared" ca="1" si="99"/>
        <v>21</v>
      </c>
      <c r="BZ31" s="49">
        <f t="shared" ca="1" si="99"/>
        <v>36</v>
      </c>
      <c r="CA31" s="49">
        <f t="shared" ca="1" si="99"/>
        <v>31</v>
      </c>
      <c r="CB31" s="49">
        <f t="shared" ca="1" si="99"/>
        <v>20</v>
      </c>
      <c r="CC31" s="49">
        <f t="shared" ca="1" si="99"/>
        <v>31</v>
      </c>
      <c r="CD31" s="49">
        <f t="shared" ca="1" si="99"/>
        <v>31</v>
      </c>
      <c r="CE31" s="49">
        <f t="shared" ca="1" si="99"/>
        <v>37</v>
      </c>
      <c r="CF31" s="49">
        <f t="shared" ca="1" si="99"/>
        <v>41</v>
      </c>
      <c r="CG31" s="49">
        <f t="shared" ca="1" si="99"/>
        <v>34</v>
      </c>
      <c r="CH31" s="49">
        <f t="shared" ca="1" si="99"/>
        <v>31</v>
      </c>
      <c r="CI31" s="49">
        <f t="shared" ca="1" si="99"/>
        <v>38</v>
      </c>
      <c r="CJ31" s="49">
        <f t="shared" ca="1" si="99"/>
        <v>34</v>
      </c>
      <c r="CK31" s="49">
        <f t="shared" ca="1" si="99"/>
        <v>29</v>
      </c>
      <c r="CL31" s="49">
        <f t="shared" ca="1" si="99"/>
        <v>32</v>
      </c>
      <c r="CM31" s="49">
        <f t="shared" ca="1" si="99"/>
        <v>39</v>
      </c>
      <c r="CN31" s="49">
        <f t="shared" ca="1" si="99"/>
        <v>24</v>
      </c>
      <c r="CO31" s="49">
        <f t="shared" ca="1" si="99"/>
        <v>38</v>
      </c>
      <c r="CP31" s="49">
        <f t="shared" ca="1" si="99"/>
        <v>24</v>
      </c>
      <c r="CQ31" s="49">
        <f t="shared" ca="1" si="99"/>
        <v>23</v>
      </c>
      <c r="CR31" s="49">
        <f t="shared" ca="1" si="99"/>
        <v>22</v>
      </c>
      <c r="CS31" s="49">
        <f t="shared" ca="1" si="99"/>
        <v>21</v>
      </c>
      <c r="CT31" s="49">
        <f t="shared" ca="1" si="99"/>
        <v>22</v>
      </c>
      <c r="CU31" s="49">
        <f t="shared" ca="1" si="99"/>
        <v>32</v>
      </c>
      <c r="CV31" s="49">
        <f t="shared" ref="CV31:DM31" ca="1" si="100">RANDBETWEEN(20, 45)</f>
        <v>29</v>
      </c>
      <c r="CW31" s="49">
        <f t="shared" ca="1" si="100"/>
        <v>30</v>
      </c>
      <c r="CX31" s="49">
        <f t="shared" ca="1" si="100"/>
        <v>44</v>
      </c>
      <c r="CY31" s="49">
        <f t="shared" ca="1" si="100"/>
        <v>34</v>
      </c>
      <c r="CZ31" s="49">
        <f t="shared" ca="1" si="100"/>
        <v>27</v>
      </c>
      <c r="DA31" s="49">
        <f t="shared" ca="1" si="100"/>
        <v>27</v>
      </c>
      <c r="DB31" s="49">
        <f t="shared" ca="1" si="100"/>
        <v>32</v>
      </c>
      <c r="DC31" s="49">
        <f t="shared" ca="1" si="100"/>
        <v>35</v>
      </c>
      <c r="DD31" s="49">
        <f t="shared" ca="1" si="100"/>
        <v>20</v>
      </c>
      <c r="DE31" s="49">
        <f t="shared" ca="1" si="100"/>
        <v>39</v>
      </c>
      <c r="DF31" s="49">
        <f t="shared" ca="1" si="100"/>
        <v>30</v>
      </c>
      <c r="DG31" s="49">
        <f t="shared" ca="1" si="100"/>
        <v>40</v>
      </c>
      <c r="DH31" s="49">
        <f t="shared" ca="1" si="100"/>
        <v>22</v>
      </c>
      <c r="DI31" s="49">
        <f t="shared" ca="1" si="100"/>
        <v>38</v>
      </c>
      <c r="DJ31" s="49">
        <f t="shared" ca="1" si="100"/>
        <v>37</v>
      </c>
      <c r="DK31" s="49">
        <f t="shared" ca="1" si="100"/>
        <v>34</v>
      </c>
      <c r="DL31" s="49">
        <f t="shared" ca="1" si="100"/>
        <v>31</v>
      </c>
      <c r="DM31" s="49">
        <f t="shared" ca="1" si="100"/>
        <v>29</v>
      </c>
      <c r="DN31" s="49">
        <f ca="1">RAND()+1</f>
        <v>1.3978559338100158</v>
      </c>
      <c r="DO31" s="49">
        <f t="shared" ref="DO31:ED31" ca="1" si="101">RANDBETWEEN(20, 45)</f>
        <v>25</v>
      </c>
      <c r="DP31" s="49">
        <f t="shared" ca="1" si="101"/>
        <v>35</v>
      </c>
      <c r="DQ31" s="49">
        <f t="shared" ca="1" si="101"/>
        <v>30</v>
      </c>
      <c r="DR31" s="49">
        <f t="shared" ca="1" si="101"/>
        <v>42</v>
      </c>
      <c r="DS31" s="49">
        <f t="shared" ca="1" si="101"/>
        <v>39</v>
      </c>
      <c r="DT31" s="49">
        <f t="shared" ca="1" si="101"/>
        <v>38</v>
      </c>
      <c r="DU31" s="49">
        <f t="shared" ca="1" si="101"/>
        <v>21</v>
      </c>
      <c r="DV31" s="49">
        <f t="shared" ca="1" si="101"/>
        <v>38</v>
      </c>
      <c r="DW31" s="49">
        <f t="shared" ca="1" si="101"/>
        <v>45</v>
      </c>
      <c r="DX31" s="49">
        <f t="shared" ca="1" si="101"/>
        <v>36</v>
      </c>
      <c r="DY31" s="49">
        <f t="shared" ca="1" si="101"/>
        <v>34</v>
      </c>
      <c r="DZ31" s="49">
        <f t="shared" ca="1" si="101"/>
        <v>37</v>
      </c>
      <c r="EA31" s="49">
        <f t="shared" ca="1" si="101"/>
        <v>31</v>
      </c>
      <c r="EB31" s="49">
        <f t="shared" ca="1" si="101"/>
        <v>25</v>
      </c>
      <c r="EC31" s="49">
        <f t="shared" ca="1" si="101"/>
        <v>37</v>
      </c>
      <c r="ED31" s="49">
        <f t="shared" ca="1" si="101"/>
        <v>29</v>
      </c>
      <c r="EE31" s="49">
        <f ca="1">RAND()</f>
        <v>0.9602548954585598</v>
      </c>
    </row>
    <row r="32" spans="1:135" x14ac:dyDescent="0.4">
      <c r="A32" s="29" t="str">
        <f t="shared" si="7"/>
        <v>KPI ID 25 R</v>
      </c>
      <c r="B32" s="47" t="s">
        <v>64</v>
      </c>
      <c r="C32" s="48" t="s">
        <v>27</v>
      </c>
      <c r="D32" s="49">
        <f t="shared" ref="D32:AI32" ca="1" si="102">RANDBETWEEN(1, 33)</f>
        <v>10</v>
      </c>
      <c r="E32" s="49">
        <f t="shared" ca="1" si="102"/>
        <v>1</v>
      </c>
      <c r="F32" s="49">
        <f t="shared" ca="1" si="102"/>
        <v>9</v>
      </c>
      <c r="G32" s="49">
        <f t="shared" ca="1" si="102"/>
        <v>2</v>
      </c>
      <c r="H32" s="49">
        <f t="shared" ca="1" si="102"/>
        <v>31</v>
      </c>
      <c r="I32" s="49">
        <f t="shared" ca="1" si="102"/>
        <v>6</v>
      </c>
      <c r="J32" s="49">
        <f t="shared" ca="1" si="102"/>
        <v>28</v>
      </c>
      <c r="K32" s="49">
        <f t="shared" ca="1" si="102"/>
        <v>22</v>
      </c>
      <c r="L32" s="49">
        <f t="shared" ca="1" si="102"/>
        <v>11</v>
      </c>
      <c r="M32" s="49">
        <f t="shared" ca="1" si="102"/>
        <v>27</v>
      </c>
      <c r="N32" s="49">
        <f t="shared" ca="1" si="102"/>
        <v>8</v>
      </c>
      <c r="O32" s="49">
        <f t="shared" ca="1" si="102"/>
        <v>3</v>
      </c>
      <c r="P32" s="49">
        <f t="shared" ca="1" si="102"/>
        <v>10</v>
      </c>
      <c r="Q32" s="49">
        <f t="shared" ca="1" si="102"/>
        <v>8</v>
      </c>
      <c r="R32" s="49">
        <f t="shared" ca="1" si="102"/>
        <v>32</v>
      </c>
      <c r="S32" s="49">
        <f t="shared" ca="1" si="102"/>
        <v>25</v>
      </c>
      <c r="T32" s="49">
        <f t="shared" ca="1" si="102"/>
        <v>20</v>
      </c>
      <c r="U32" s="49">
        <f t="shared" ca="1" si="102"/>
        <v>30</v>
      </c>
      <c r="V32" s="49">
        <f t="shared" ca="1" si="102"/>
        <v>19</v>
      </c>
      <c r="W32" s="49">
        <f t="shared" ca="1" si="102"/>
        <v>31</v>
      </c>
      <c r="X32" s="49">
        <f t="shared" ca="1" si="102"/>
        <v>27</v>
      </c>
      <c r="Y32" s="49">
        <f t="shared" ca="1" si="102"/>
        <v>18</v>
      </c>
      <c r="Z32" s="49">
        <f t="shared" ca="1" si="102"/>
        <v>13</v>
      </c>
      <c r="AA32" s="49">
        <f t="shared" ca="1" si="102"/>
        <v>24</v>
      </c>
      <c r="AB32" s="49">
        <f t="shared" ca="1" si="102"/>
        <v>33</v>
      </c>
      <c r="AC32" s="49">
        <f t="shared" ca="1" si="102"/>
        <v>24</v>
      </c>
      <c r="AD32" s="49">
        <f t="shared" ca="1" si="102"/>
        <v>15</v>
      </c>
      <c r="AE32" s="49">
        <f t="shared" ca="1" si="102"/>
        <v>4</v>
      </c>
      <c r="AF32" s="49">
        <f t="shared" ca="1" si="102"/>
        <v>32</v>
      </c>
      <c r="AG32" s="49">
        <f t="shared" ca="1" si="102"/>
        <v>13</v>
      </c>
      <c r="AH32" s="49">
        <f t="shared" ca="1" si="102"/>
        <v>16</v>
      </c>
      <c r="AI32" s="49">
        <f t="shared" ca="1" si="102"/>
        <v>14</v>
      </c>
      <c r="AJ32" s="49">
        <f t="shared" ref="AJ32:BO32" ca="1" si="103">RANDBETWEEN(1, 33)</f>
        <v>27</v>
      </c>
      <c r="AK32" s="49">
        <f t="shared" ca="1" si="103"/>
        <v>6</v>
      </c>
      <c r="AL32" s="49">
        <f t="shared" ca="1" si="103"/>
        <v>24</v>
      </c>
      <c r="AM32" s="49">
        <f t="shared" ca="1" si="103"/>
        <v>33</v>
      </c>
      <c r="AN32" s="49">
        <f t="shared" ca="1" si="103"/>
        <v>2</v>
      </c>
      <c r="AO32" s="49">
        <f t="shared" ca="1" si="103"/>
        <v>23</v>
      </c>
      <c r="AP32" s="49">
        <f t="shared" ca="1" si="103"/>
        <v>25</v>
      </c>
      <c r="AQ32" s="49">
        <f t="shared" ca="1" si="103"/>
        <v>28</v>
      </c>
      <c r="AR32" s="49">
        <f t="shared" ca="1" si="103"/>
        <v>15</v>
      </c>
      <c r="AS32" s="49">
        <f t="shared" ca="1" si="103"/>
        <v>30</v>
      </c>
      <c r="AT32" s="49">
        <f t="shared" ca="1" si="103"/>
        <v>21</v>
      </c>
      <c r="AU32" s="49">
        <f t="shared" ca="1" si="103"/>
        <v>25</v>
      </c>
      <c r="AV32" s="49">
        <f t="shared" ca="1" si="103"/>
        <v>26</v>
      </c>
      <c r="AW32" s="49">
        <f t="shared" ca="1" si="103"/>
        <v>17</v>
      </c>
      <c r="AX32" s="49">
        <f t="shared" ca="1" si="103"/>
        <v>24</v>
      </c>
      <c r="AY32" s="49">
        <f t="shared" ca="1" si="103"/>
        <v>12</v>
      </c>
      <c r="AZ32" s="49">
        <f t="shared" ca="1" si="103"/>
        <v>19</v>
      </c>
      <c r="BA32" s="49">
        <f t="shared" ca="1" si="103"/>
        <v>7</v>
      </c>
      <c r="BB32" s="49">
        <f t="shared" ca="1" si="103"/>
        <v>26</v>
      </c>
      <c r="BC32" s="49">
        <f t="shared" ca="1" si="103"/>
        <v>27</v>
      </c>
      <c r="BD32" s="49">
        <f t="shared" ca="1" si="103"/>
        <v>1</v>
      </c>
      <c r="BE32" s="49">
        <f t="shared" ca="1" si="103"/>
        <v>17</v>
      </c>
      <c r="BF32" s="49">
        <f t="shared" ca="1" si="103"/>
        <v>11</v>
      </c>
      <c r="BG32" s="49">
        <f t="shared" ca="1" si="103"/>
        <v>3</v>
      </c>
      <c r="BH32" s="49">
        <f t="shared" ca="1" si="103"/>
        <v>18</v>
      </c>
      <c r="BI32" s="49">
        <f t="shared" ca="1" si="103"/>
        <v>24</v>
      </c>
      <c r="BJ32" s="49">
        <f t="shared" ca="1" si="103"/>
        <v>24</v>
      </c>
      <c r="BK32" s="49">
        <f t="shared" ca="1" si="103"/>
        <v>32</v>
      </c>
      <c r="BL32" s="49">
        <f t="shared" ca="1" si="103"/>
        <v>4</v>
      </c>
      <c r="BM32" s="49">
        <f t="shared" ca="1" si="103"/>
        <v>10</v>
      </c>
      <c r="BN32" s="49">
        <f t="shared" ca="1" si="103"/>
        <v>20</v>
      </c>
      <c r="BO32" s="49">
        <f t="shared" ca="1" si="103"/>
        <v>25</v>
      </c>
      <c r="BP32" s="49">
        <f t="shared" ref="BP32:CU32" ca="1" si="104">RANDBETWEEN(1, 33)</f>
        <v>2</v>
      </c>
      <c r="BQ32" s="49">
        <f t="shared" ca="1" si="104"/>
        <v>21</v>
      </c>
      <c r="BR32" s="49">
        <f t="shared" ca="1" si="104"/>
        <v>15</v>
      </c>
      <c r="BS32" s="49">
        <f t="shared" ca="1" si="104"/>
        <v>33</v>
      </c>
      <c r="BT32" s="49">
        <f t="shared" ca="1" si="104"/>
        <v>20</v>
      </c>
      <c r="BU32" s="49">
        <f t="shared" ca="1" si="104"/>
        <v>19</v>
      </c>
      <c r="BV32" s="49">
        <f t="shared" ca="1" si="104"/>
        <v>20</v>
      </c>
      <c r="BW32" s="49">
        <f t="shared" ca="1" si="104"/>
        <v>9</v>
      </c>
      <c r="BX32" s="49">
        <f t="shared" ca="1" si="104"/>
        <v>7</v>
      </c>
      <c r="BY32" s="49">
        <f t="shared" ca="1" si="104"/>
        <v>15</v>
      </c>
      <c r="BZ32" s="49">
        <f t="shared" ca="1" si="104"/>
        <v>23</v>
      </c>
      <c r="CA32" s="49">
        <f t="shared" ca="1" si="104"/>
        <v>16</v>
      </c>
      <c r="CB32" s="49">
        <f t="shared" ca="1" si="104"/>
        <v>31</v>
      </c>
      <c r="CC32" s="49">
        <f t="shared" ca="1" si="104"/>
        <v>1</v>
      </c>
      <c r="CD32" s="49">
        <f t="shared" ca="1" si="104"/>
        <v>6</v>
      </c>
      <c r="CE32" s="49">
        <f t="shared" ca="1" si="104"/>
        <v>20</v>
      </c>
      <c r="CF32" s="49">
        <f t="shared" ca="1" si="104"/>
        <v>6</v>
      </c>
      <c r="CG32" s="49">
        <f t="shared" ca="1" si="104"/>
        <v>31</v>
      </c>
      <c r="CH32" s="49">
        <f t="shared" ca="1" si="104"/>
        <v>2</v>
      </c>
      <c r="CI32" s="49">
        <f t="shared" ca="1" si="104"/>
        <v>32</v>
      </c>
      <c r="CJ32" s="49">
        <f t="shared" ca="1" si="104"/>
        <v>7</v>
      </c>
      <c r="CK32" s="49">
        <f t="shared" ca="1" si="104"/>
        <v>23</v>
      </c>
      <c r="CL32" s="49">
        <f t="shared" ca="1" si="104"/>
        <v>27</v>
      </c>
      <c r="CM32" s="49">
        <f t="shared" ca="1" si="104"/>
        <v>15</v>
      </c>
      <c r="CN32" s="49">
        <f t="shared" ca="1" si="104"/>
        <v>16</v>
      </c>
      <c r="CO32" s="49">
        <f t="shared" ca="1" si="104"/>
        <v>14</v>
      </c>
      <c r="CP32" s="49">
        <f t="shared" ca="1" si="104"/>
        <v>21</v>
      </c>
      <c r="CQ32" s="49">
        <f t="shared" ca="1" si="104"/>
        <v>24</v>
      </c>
      <c r="CR32" s="49">
        <f t="shared" ca="1" si="104"/>
        <v>25</v>
      </c>
      <c r="CS32" s="49">
        <f t="shared" ca="1" si="104"/>
        <v>25</v>
      </c>
      <c r="CT32" s="49">
        <f t="shared" ca="1" si="104"/>
        <v>21</v>
      </c>
      <c r="CU32" s="49">
        <f t="shared" ca="1" si="104"/>
        <v>4</v>
      </c>
      <c r="CV32" s="49">
        <f t="shared" ref="CV32:EE32" ca="1" si="105">RANDBETWEEN(1, 33)</f>
        <v>13</v>
      </c>
      <c r="CW32" s="49">
        <f t="shared" ca="1" si="105"/>
        <v>11</v>
      </c>
      <c r="CX32" s="49">
        <f t="shared" ca="1" si="105"/>
        <v>2</v>
      </c>
      <c r="CY32" s="49">
        <f t="shared" ca="1" si="105"/>
        <v>12</v>
      </c>
      <c r="CZ32" s="49">
        <f t="shared" ca="1" si="105"/>
        <v>28</v>
      </c>
      <c r="DA32" s="49">
        <f t="shared" ca="1" si="105"/>
        <v>23</v>
      </c>
      <c r="DB32" s="49">
        <f t="shared" ca="1" si="105"/>
        <v>29</v>
      </c>
      <c r="DC32" s="49">
        <f t="shared" ca="1" si="105"/>
        <v>5</v>
      </c>
      <c r="DD32" s="49">
        <f t="shared" ca="1" si="105"/>
        <v>27</v>
      </c>
      <c r="DE32" s="49">
        <f t="shared" ca="1" si="105"/>
        <v>26</v>
      </c>
      <c r="DF32" s="49">
        <f t="shared" ca="1" si="105"/>
        <v>4</v>
      </c>
      <c r="DG32" s="49">
        <f t="shared" ca="1" si="105"/>
        <v>18</v>
      </c>
      <c r="DH32" s="49">
        <f t="shared" ca="1" si="105"/>
        <v>18</v>
      </c>
      <c r="DI32" s="49">
        <f t="shared" ca="1" si="105"/>
        <v>5</v>
      </c>
      <c r="DJ32" s="49">
        <f t="shared" ca="1" si="105"/>
        <v>30</v>
      </c>
      <c r="DK32" s="49">
        <f t="shared" ca="1" si="105"/>
        <v>13</v>
      </c>
      <c r="DL32" s="49">
        <f t="shared" ca="1" si="105"/>
        <v>3</v>
      </c>
      <c r="DM32" s="49">
        <f t="shared" ca="1" si="105"/>
        <v>22</v>
      </c>
      <c r="DN32" s="49">
        <f t="shared" ca="1" si="105"/>
        <v>21</v>
      </c>
      <c r="DO32" s="49">
        <f t="shared" ca="1" si="105"/>
        <v>28</v>
      </c>
      <c r="DP32" s="49">
        <f t="shared" ca="1" si="105"/>
        <v>10</v>
      </c>
      <c r="DQ32" s="49">
        <f t="shared" ca="1" si="105"/>
        <v>27</v>
      </c>
      <c r="DR32" s="49">
        <f t="shared" ca="1" si="105"/>
        <v>29</v>
      </c>
      <c r="DS32" s="49">
        <f t="shared" ca="1" si="105"/>
        <v>17</v>
      </c>
      <c r="DT32" s="49">
        <f t="shared" ca="1" si="105"/>
        <v>6</v>
      </c>
      <c r="DU32" s="49">
        <f t="shared" ca="1" si="105"/>
        <v>25</v>
      </c>
      <c r="DV32" s="49">
        <f t="shared" ca="1" si="105"/>
        <v>15</v>
      </c>
      <c r="DW32" s="49">
        <f t="shared" ca="1" si="105"/>
        <v>16</v>
      </c>
      <c r="DX32" s="49">
        <f t="shared" ca="1" si="105"/>
        <v>31</v>
      </c>
      <c r="DY32" s="49">
        <f t="shared" ca="1" si="105"/>
        <v>4</v>
      </c>
      <c r="DZ32" s="49">
        <f t="shared" ca="1" si="105"/>
        <v>33</v>
      </c>
      <c r="EA32" s="49">
        <f t="shared" ca="1" si="105"/>
        <v>18</v>
      </c>
      <c r="EB32" s="49">
        <f t="shared" ca="1" si="105"/>
        <v>14</v>
      </c>
      <c r="EC32" s="49">
        <f t="shared" ca="1" si="105"/>
        <v>1</v>
      </c>
      <c r="ED32" s="49">
        <f t="shared" ca="1" si="105"/>
        <v>20</v>
      </c>
      <c r="EE32" s="49">
        <f t="shared" ca="1" si="105"/>
        <v>29</v>
      </c>
    </row>
    <row r="33" spans="1:135" x14ac:dyDescent="0.4">
      <c r="A33" s="29" t="str">
        <f t="shared" si="7"/>
        <v>KPI ID 26</v>
      </c>
      <c r="B33" s="47" t="s">
        <v>64</v>
      </c>
      <c r="C33" s="48" t="s">
        <v>28</v>
      </c>
      <c r="D33" s="49">
        <f t="shared" ref="D33:AI33" ca="1" si="106">RANDBETWEEN(0, 45)</f>
        <v>18</v>
      </c>
      <c r="E33" s="49">
        <f t="shared" ca="1" si="106"/>
        <v>26</v>
      </c>
      <c r="F33" s="49">
        <f t="shared" ca="1" si="106"/>
        <v>4</v>
      </c>
      <c r="G33" s="49">
        <f t="shared" ca="1" si="106"/>
        <v>32</v>
      </c>
      <c r="H33" s="49">
        <f t="shared" ca="1" si="106"/>
        <v>16</v>
      </c>
      <c r="I33" s="49">
        <f t="shared" ca="1" si="106"/>
        <v>27</v>
      </c>
      <c r="J33" s="49">
        <f t="shared" ca="1" si="106"/>
        <v>3</v>
      </c>
      <c r="K33" s="49">
        <f t="shared" ca="1" si="106"/>
        <v>19</v>
      </c>
      <c r="L33" s="49">
        <f t="shared" ca="1" si="106"/>
        <v>9</v>
      </c>
      <c r="M33" s="49">
        <f t="shared" ca="1" si="106"/>
        <v>35</v>
      </c>
      <c r="N33" s="49">
        <f t="shared" ca="1" si="106"/>
        <v>33</v>
      </c>
      <c r="O33" s="49">
        <f t="shared" ca="1" si="106"/>
        <v>0</v>
      </c>
      <c r="P33" s="49">
        <f t="shared" ca="1" si="106"/>
        <v>11</v>
      </c>
      <c r="Q33" s="49">
        <f t="shared" ca="1" si="106"/>
        <v>17</v>
      </c>
      <c r="R33" s="49">
        <f t="shared" ca="1" si="106"/>
        <v>5</v>
      </c>
      <c r="S33" s="49">
        <f t="shared" ca="1" si="106"/>
        <v>31</v>
      </c>
      <c r="T33" s="49">
        <f t="shared" ca="1" si="106"/>
        <v>5</v>
      </c>
      <c r="U33" s="49">
        <f t="shared" ca="1" si="106"/>
        <v>40</v>
      </c>
      <c r="V33" s="49">
        <f t="shared" ca="1" si="106"/>
        <v>35</v>
      </c>
      <c r="W33" s="49">
        <f t="shared" ca="1" si="106"/>
        <v>41</v>
      </c>
      <c r="X33" s="49">
        <f t="shared" ca="1" si="106"/>
        <v>34</v>
      </c>
      <c r="Y33" s="49">
        <f t="shared" ca="1" si="106"/>
        <v>29</v>
      </c>
      <c r="Z33" s="49">
        <f t="shared" ca="1" si="106"/>
        <v>29</v>
      </c>
      <c r="AA33" s="49">
        <f t="shared" ca="1" si="106"/>
        <v>32</v>
      </c>
      <c r="AB33" s="49">
        <f t="shared" ca="1" si="106"/>
        <v>45</v>
      </c>
      <c r="AC33" s="49">
        <f t="shared" ca="1" si="106"/>
        <v>20</v>
      </c>
      <c r="AD33" s="49">
        <f t="shared" ca="1" si="106"/>
        <v>11</v>
      </c>
      <c r="AE33" s="49">
        <f t="shared" ca="1" si="106"/>
        <v>42</v>
      </c>
      <c r="AF33" s="49">
        <f t="shared" ca="1" si="106"/>
        <v>7</v>
      </c>
      <c r="AG33" s="49">
        <f t="shared" ca="1" si="106"/>
        <v>26</v>
      </c>
      <c r="AH33" s="49">
        <f t="shared" ca="1" si="106"/>
        <v>22</v>
      </c>
      <c r="AI33" s="49">
        <f t="shared" ca="1" si="106"/>
        <v>36</v>
      </c>
      <c r="AJ33" s="49">
        <f t="shared" ref="AJ33:BO33" ca="1" si="107">RANDBETWEEN(0, 45)</f>
        <v>28</v>
      </c>
      <c r="AK33" s="49">
        <f t="shared" ca="1" si="107"/>
        <v>19</v>
      </c>
      <c r="AL33" s="49">
        <f t="shared" ca="1" si="107"/>
        <v>36</v>
      </c>
      <c r="AM33" s="49">
        <f t="shared" ca="1" si="107"/>
        <v>15</v>
      </c>
      <c r="AN33" s="49">
        <f t="shared" ca="1" si="107"/>
        <v>20</v>
      </c>
      <c r="AO33" s="49">
        <f t="shared" ca="1" si="107"/>
        <v>40</v>
      </c>
      <c r="AP33" s="49">
        <f t="shared" ca="1" si="107"/>
        <v>45</v>
      </c>
      <c r="AQ33" s="49">
        <f t="shared" ca="1" si="107"/>
        <v>21</v>
      </c>
      <c r="AR33" s="49">
        <f t="shared" ca="1" si="107"/>
        <v>7</v>
      </c>
      <c r="AS33" s="49">
        <f t="shared" ca="1" si="107"/>
        <v>8</v>
      </c>
      <c r="AT33" s="49">
        <f t="shared" ca="1" si="107"/>
        <v>34</v>
      </c>
      <c r="AU33" s="49">
        <f t="shared" ca="1" si="107"/>
        <v>5</v>
      </c>
      <c r="AV33" s="49">
        <f t="shared" ca="1" si="107"/>
        <v>31</v>
      </c>
      <c r="AW33" s="49">
        <f t="shared" ca="1" si="107"/>
        <v>40</v>
      </c>
      <c r="AX33" s="49">
        <f t="shared" ca="1" si="107"/>
        <v>1</v>
      </c>
      <c r="AY33" s="49">
        <f t="shared" ca="1" si="107"/>
        <v>30</v>
      </c>
      <c r="AZ33" s="49">
        <f t="shared" ca="1" si="107"/>
        <v>4</v>
      </c>
      <c r="BA33" s="49">
        <f t="shared" ca="1" si="107"/>
        <v>6</v>
      </c>
      <c r="BB33" s="49">
        <f t="shared" ca="1" si="107"/>
        <v>22</v>
      </c>
      <c r="BC33" s="49">
        <f t="shared" ca="1" si="107"/>
        <v>11</v>
      </c>
      <c r="BD33" s="49">
        <f t="shared" ca="1" si="107"/>
        <v>14</v>
      </c>
      <c r="BE33" s="49">
        <f t="shared" ca="1" si="107"/>
        <v>16</v>
      </c>
      <c r="BF33" s="49">
        <f t="shared" ca="1" si="107"/>
        <v>28</v>
      </c>
      <c r="BG33" s="49">
        <f t="shared" ca="1" si="107"/>
        <v>16</v>
      </c>
      <c r="BH33" s="49">
        <f t="shared" ca="1" si="107"/>
        <v>15</v>
      </c>
      <c r="BI33" s="49">
        <f t="shared" ca="1" si="107"/>
        <v>23</v>
      </c>
      <c r="BJ33" s="49">
        <f t="shared" ca="1" si="107"/>
        <v>30</v>
      </c>
      <c r="BK33" s="49">
        <f t="shared" ca="1" si="107"/>
        <v>24</v>
      </c>
      <c r="BL33" s="49">
        <f t="shared" ca="1" si="107"/>
        <v>44</v>
      </c>
      <c r="BM33" s="49">
        <f t="shared" ca="1" si="107"/>
        <v>32</v>
      </c>
      <c r="BN33" s="49">
        <f t="shared" ca="1" si="107"/>
        <v>16</v>
      </c>
      <c r="BO33" s="49">
        <f t="shared" ca="1" si="107"/>
        <v>37</v>
      </c>
      <c r="BP33" s="49">
        <f t="shared" ref="BP33:CU33" ca="1" si="108">RANDBETWEEN(0, 45)</f>
        <v>5</v>
      </c>
      <c r="BQ33" s="49">
        <f t="shared" ca="1" si="108"/>
        <v>36</v>
      </c>
      <c r="BR33" s="49">
        <f t="shared" ca="1" si="108"/>
        <v>41</v>
      </c>
      <c r="BS33" s="49">
        <f t="shared" ca="1" si="108"/>
        <v>2</v>
      </c>
      <c r="BT33" s="49">
        <f t="shared" ca="1" si="108"/>
        <v>29</v>
      </c>
      <c r="BU33" s="49">
        <f t="shared" ca="1" si="108"/>
        <v>27</v>
      </c>
      <c r="BV33" s="49">
        <f t="shared" ca="1" si="108"/>
        <v>38</v>
      </c>
      <c r="BW33" s="49">
        <f t="shared" ca="1" si="108"/>
        <v>0</v>
      </c>
      <c r="BX33" s="49">
        <f t="shared" ca="1" si="108"/>
        <v>25</v>
      </c>
      <c r="BY33" s="49">
        <f t="shared" ca="1" si="108"/>
        <v>28</v>
      </c>
      <c r="BZ33" s="49">
        <f t="shared" ca="1" si="108"/>
        <v>0</v>
      </c>
      <c r="CA33" s="49">
        <f t="shared" ca="1" si="108"/>
        <v>24</v>
      </c>
      <c r="CB33" s="49">
        <f t="shared" ca="1" si="108"/>
        <v>0</v>
      </c>
      <c r="CC33" s="49">
        <f t="shared" ca="1" si="108"/>
        <v>12</v>
      </c>
      <c r="CD33" s="49">
        <f t="shared" ca="1" si="108"/>
        <v>18</v>
      </c>
      <c r="CE33" s="49">
        <f t="shared" ca="1" si="108"/>
        <v>7</v>
      </c>
      <c r="CF33" s="49">
        <f t="shared" ca="1" si="108"/>
        <v>13</v>
      </c>
      <c r="CG33" s="49">
        <f t="shared" ca="1" si="108"/>
        <v>5</v>
      </c>
      <c r="CH33" s="49">
        <f t="shared" ca="1" si="108"/>
        <v>24</v>
      </c>
      <c r="CI33" s="49">
        <f t="shared" ca="1" si="108"/>
        <v>33</v>
      </c>
      <c r="CJ33" s="49">
        <f t="shared" ca="1" si="108"/>
        <v>13</v>
      </c>
      <c r="CK33" s="49">
        <f t="shared" ca="1" si="108"/>
        <v>23</v>
      </c>
      <c r="CL33" s="49">
        <f t="shared" ca="1" si="108"/>
        <v>0</v>
      </c>
      <c r="CM33" s="49">
        <f t="shared" ca="1" si="108"/>
        <v>20</v>
      </c>
      <c r="CN33" s="49">
        <f t="shared" ca="1" si="108"/>
        <v>3</v>
      </c>
      <c r="CO33" s="49">
        <f t="shared" ca="1" si="108"/>
        <v>12</v>
      </c>
      <c r="CP33" s="49">
        <f t="shared" ca="1" si="108"/>
        <v>37</v>
      </c>
      <c r="CQ33" s="49">
        <f t="shared" ca="1" si="108"/>
        <v>23</v>
      </c>
      <c r="CR33" s="49">
        <f t="shared" ca="1" si="108"/>
        <v>8</v>
      </c>
      <c r="CS33" s="49">
        <f t="shared" ca="1" si="108"/>
        <v>38</v>
      </c>
      <c r="CT33" s="49">
        <f t="shared" ca="1" si="108"/>
        <v>4</v>
      </c>
      <c r="CU33" s="49">
        <f t="shared" ca="1" si="108"/>
        <v>30</v>
      </c>
      <c r="CV33" s="49">
        <f t="shared" ref="CV33:EE33" ca="1" si="109">RANDBETWEEN(0, 45)</f>
        <v>5</v>
      </c>
      <c r="CW33" s="49">
        <f t="shared" ca="1" si="109"/>
        <v>21</v>
      </c>
      <c r="CX33" s="49">
        <f t="shared" ca="1" si="109"/>
        <v>6</v>
      </c>
      <c r="CY33" s="49">
        <f t="shared" ca="1" si="109"/>
        <v>33</v>
      </c>
      <c r="CZ33" s="49">
        <f t="shared" ca="1" si="109"/>
        <v>39</v>
      </c>
      <c r="DA33" s="49">
        <f t="shared" ca="1" si="109"/>
        <v>14</v>
      </c>
      <c r="DB33" s="49">
        <f t="shared" ca="1" si="109"/>
        <v>15</v>
      </c>
      <c r="DC33" s="49">
        <f t="shared" ca="1" si="109"/>
        <v>12</v>
      </c>
      <c r="DD33" s="49">
        <f t="shared" ca="1" si="109"/>
        <v>31</v>
      </c>
      <c r="DE33" s="49">
        <f t="shared" ca="1" si="109"/>
        <v>22</v>
      </c>
      <c r="DF33" s="49">
        <f t="shared" ca="1" si="109"/>
        <v>45</v>
      </c>
      <c r="DG33" s="49">
        <f t="shared" ca="1" si="109"/>
        <v>44</v>
      </c>
      <c r="DH33" s="49">
        <f t="shared" ca="1" si="109"/>
        <v>37</v>
      </c>
      <c r="DI33" s="49">
        <f t="shared" ca="1" si="109"/>
        <v>15</v>
      </c>
      <c r="DJ33" s="49">
        <f t="shared" ca="1" si="109"/>
        <v>12</v>
      </c>
      <c r="DK33" s="49">
        <f t="shared" ca="1" si="109"/>
        <v>40</v>
      </c>
      <c r="DL33" s="49">
        <f t="shared" ca="1" si="109"/>
        <v>41</v>
      </c>
      <c r="DM33" s="49">
        <f t="shared" ca="1" si="109"/>
        <v>36</v>
      </c>
      <c r="DN33" s="49">
        <f t="shared" ca="1" si="109"/>
        <v>41</v>
      </c>
      <c r="DO33" s="49">
        <f t="shared" ca="1" si="109"/>
        <v>36</v>
      </c>
      <c r="DP33" s="49">
        <f t="shared" ca="1" si="109"/>
        <v>1</v>
      </c>
      <c r="DQ33" s="49">
        <f t="shared" ca="1" si="109"/>
        <v>29</v>
      </c>
      <c r="DR33" s="49">
        <f t="shared" ca="1" si="109"/>
        <v>8</v>
      </c>
      <c r="DS33" s="49">
        <f t="shared" ca="1" si="109"/>
        <v>3</v>
      </c>
      <c r="DT33" s="49">
        <f t="shared" ca="1" si="109"/>
        <v>1</v>
      </c>
      <c r="DU33" s="49">
        <f t="shared" ca="1" si="109"/>
        <v>27</v>
      </c>
      <c r="DV33" s="49">
        <f t="shared" ca="1" si="109"/>
        <v>19</v>
      </c>
      <c r="DW33" s="49">
        <f t="shared" ca="1" si="109"/>
        <v>30</v>
      </c>
      <c r="DX33" s="49">
        <f t="shared" ca="1" si="109"/>
        <v>15</v>
      </c>
      <c r="DY33" s="49">
        <f t="shared" ca="1" si="109"/>
        <v>22</v>
      </c>
      <c r="DZ33" s="49">
        <f t="shared" ca="1" si="109"/>
        <v>24</v>
      </c>
      <c r="EA33" s="49">
        <f t="shared" ca="1" si="109"/>
        <v>43</v>
      </c>
      <c r="EB33" s="49">
        <f t="shared" ca="1" si="109"/>
        <v>44</v>
      </c>
      <c r="EC33" s="49">
        <f t="shared" ca="1" si="109"/>
        <v>3</v>
      </c>
      <c r="ED33" s="49">
        <f t="shared" ca="1" si="109"/>
        <v>29</v>
      </c>
      <c r="EE33" s="49">
        <f t="shared" ca="1" si="109"/>
        <v>18</v>
      </c>
    </row>
    <row r="34" spans="1:135" x14ac:dyDescent="0.4">
      <c r="A34" s="29" t="str">
        <f t="shared" si="7"/>
        <v>KPI ID 27</v>
      </c>
      <c r="B34" s="47" t="s">
        <v>64</v>
      </c>
      <c r="C34" s="48" t="s">
        <v>29</v>
      </c>
      <c r="D34" s="49">
        <f t="shared" ref="D34:AI34" ca="1" si="110">RAND()</f>
        <v>0.60838298233108334</v>
      </c>
      <c r="E34" s="49">
        <f t="shared" ca="1" si="110"/>
        <v>0.71096644857887326</v>
      </c>
      <c r="F34" s="49">
        <f t="shared" ca="1" si="110"/>
        <v>4.2295218695714176E-2</v>
      </c>
      <c r="G34" s="49">
        <f t="shared" ca="1" si="110"/>
        <v>0.84436105840126519</v>
      </c>
      <c r="H34" s="49">
        <f t="shared" ca="1" si="110"/>
        <v>0.50068912040468083</v>
      </c>
      <c r="I34" s="49">
        <f t="shared" ca="1" si="110"/>
        <v>0.39254907048784715</v>
      </c>
      <c r="J34" s="49">
        <f t="shared" ca="1" si="110"/>
        <v>8.5679821592115624E-2</v>
      </c>
      <c r="K34" s="49">
        <f t="shared" ca="1" si="110"/>
        <v>0.91785618041362227</v>
      </c>
      <c r="L34" s="49">
        <f t="shared" ca="1" si="110"/>
        <v>0.10086074975075232</v>
      </c>
      <c r="M34" s="49">
        <f t="shared" ca="1" si="110"/>
        <v>7.4379056410892597E-2</v>
      </c>
      <c r="N34" s="49">
        <f t="shared" ca="1" si="110"/>
        <v>0.56974610478377874</v>
      </c>
      <c r="O34" s="49">
        <f t="shared" ca="1" si="110"/>
        <v>0.90964720487745021</v>
      </c>
      <c r="P34" s="49">
        <f t="shared" ca="1" si="110"/>
        <v>0.67994021540303051</v>
      </c>
      <c r="Q34" s="49">
        <f t="shared" ca="1" si="110"/>
        <v>0.19313336924068536</v>
      </c>
      <c r="R34" s="49">
        <f t="shared" ca="1" si="110"/>
        <v>0.48615722349599177</v>
      </c>
      <c r="S34" s="49">
        <f t="shared" ca="1" si="110"/>
        <v>0.31680791886635129</v>
      </c>
      <c r="T34" s="49">
        <f t="shared" ca="1" si="110"/>
        <v>0.2950632399435108</v>
      </c>
      <c r="U34" s="49">
        <f t="shared" ca="1" si="110"/>
        <v>0.78441088200672482</v>
      </c>
      <c r="V34" s="49">
        <f t="shared" ca="1" si="110"/>
        <v>0.63346625403361378</v>
      </c>
      <c r="W34" s="49">
        <f t="shared" ca="1" si="110"/>
        <v>1.9502563583381094E-2</v>
      </c>
      <c r="X34" s="49">
        <f t="shared" ca="1" si="110"/>
        <v>0.20173976706271401</v>
      </c>
      <c r="Y34" s="49">
        <f t="shared" ca="1" si="110"/>
        <v>9.3753421956960792E-2</v>
      </c>
      <c r="Z34" s="49">
        <f t="shared" ca="1" si="110"/>
        <v>0.59945298017444837</v>
      </c>
      <c r="AA34" s="49">
        <f t="shared" ca="1" si="110"/>
        <v>7.6362883180802532E-2</v>
      </c>
      <c r="AB34" s="49">
        <f t="shared" ca="1" si="110"/>
        <v>0.45727826660580162</v>
      </c>
      <c r="AC34" s="49">
        <f t="shared" ca="1" si="110"/>
        <v>0.22828962779221296</v>
      </c>
      <c r="AD34" s="49">
        <f t="shared" ca="1" si="110"/>
        <v>0.94775684963380136</v>
      </c>
      <c r="AE34" s="49">
        <f t="shared" ca="1" si="110"/>
        <v>0.12924420946830795</v>
      </c>
      <c r="AF34" s="49">
        <f t="shared" ca="1" si="110"/>
        <v>0.21202652421711388</v>
      </c>
      <c r="AG34" s="49">
        <f t="shared" ca="1" si="110"/>
        <v>0.58618008130946364</v>
      </c>
      <c r="AH34" s="49">
        <f t="shared" ca="1" si="110"/>
        <v>0.74891154874519583</v>
      </c>
      <c r="AI34" s="49">
        <f t="shared" ca="1" si="110"/>
        <v>0.35551137334623351</v>
      </c>
      <c r="AJ34" s="49">
        <f t="shared" ref="AJ34:BO34" ca="1" si="111">RAND()</f>
        <v>0.58673846839458688</v>
      </c>
      <c r="AK34" s="49">
        <f t="shared" ca="1" si="111"/>
        <v>0.2942441523101903</v>
      </c>
      <c r="AL34" s="49">
        <f t="shared" ca="1" si="111"/>
        <v>0.46299084087041986</v>
      </c>
      <c r="AM34" s="49">
        <f t="shared" ca="1" si="111"/>
        <v>0.6510340276597234</v>
      </c>
      <c r="AN34" s="49">
        <f t="shared" ca="1" si="111"/>
        <v>0.42560678097128546</v>
      </c>
      <c r="AO34" s="49">
        <f t="shared" ca="1" si="111"/>
        <v>0.33731054785468684</v>
      </c>
      <c r="AP34" s="49">
        <f t="shared" ca="1" si="111"/>
        <v>5.3644706673467879E-2</v>
      </c>
      <c r="AQ34" s="49">
        <f t="shared" ca="1" si="111"/>
        <v>0.26670221476941613</v>
      </c>
      <c r="AR34" s="49">
        <f t="shared" ca="1" si="111"/>
        <v>0.79241787911021699</v>
      </c>
      <c r="AS34" s="49">
        <f t="shared" ca="1" si="111"/>
        <v>0.12529392101938353</v>
      </c>
      <c r="AT34" s="49">
        <f t="shared" ca="1" si="111"/>
        <v>0.32580766369761827</v>
      </c>
      <c r="AU34" s="49">
        <f t="shared" ca="1" si="111"/>
        <v>0.17206716032900782</v>
      </c>
      <c r="AV34" s="49">
        <f t="shared" ca="1" si="111"/>
        <v>0.72482010376642481</v>
      </c>
      <c r="AW34" s="49">
        <f t="shared" ca="1" si="111"/>
        <v>0.29418447928066249</v>
      </c>
      <c r="AX34" s="49">
        <f t="shared" ca="1" si="111"/>
        <v>6.5708924646760147E-2</v>
      </c>
      <c r="AY34" s="49">
        <f t="shared" ca="1" si="111"/>
        <v>0.71016159316454397</v>
      </c>
      <c r="AZ34" s="49">
        <f t="shared" ca="1" si="111"/>
        <v>0.92599377660985926</v>
      </c>
      <c r="BA34" s="49">
        <f t="shared" ca="1" si="111"/>
        <v>0.31575449848588355</v>
      </c>
      <c r="BB34" s="49">
        <f t="shared" ca="1" si="111"/>
        <v>0.46243342655830211</v>
      </c>
      <c r="BC34" s="49">
        <f t="shared" ca="1" si="111"/>
        <v>0.25211346855565653</v>
      </c>
      <c r="BD34" s="49">
        <f t="shared" ca="1" si="111"/>
        <v>2.1855967716346569E-3</v>
      </c>
      <c r="BE34" s="49">
        <f t="shared" ca="1" si="111"/>
        <v>0.8686243289451262</v>
      </c>
      <c r="BF34" s="49">
        <f t="shared" ca="1" si="111"/>
        <v>0.48106205757188647</v>
      </c>
      <c r="BG34" s="49">
        <f t="shared" ca="1" si="111"/>
        <v>0.22300626419019365</v>
      </c>
      <c r="BH34" s="49">
        <f t="shared" ca="1" si="111"/>
        <v>0.76808696274528998</v>
      </c>
      <c r="BI34" s="49">
        <f t="shared" ca="1" si="111"/>
        <v>0.43980589615616128</v>
      </c>
      <c r="BJ34" s="49">
        <f t="shared" ca="1" si="111"/>
        <v>0.20002550607798331</v>
      </c>
      <c r="BK34" s="49">
        <f t="shared" ca="1" si="111"/>
        <v>0.81928092848105949</v>
      </c>
      <c r="BL34" s="49">
        <f t="shared" ca="1" si="111"/>
        <v>0.78735387497174103</v>
      </c>
      <c r="BM34" s="49">
        <f t="shared" ca="1" si="111"/>
        <v>0.14000860988460229</v>
      </c>
      <c r="BN34" s="49">
        <f t="shared" ca="1" si="111"/>
        <v>1.0436105977816856E-2</v>
      </c>
      <c r="BO34" s="49">
        <f t="shared" ca="1" si="111"/>
        <v>0.20335070508673214</v>
      </c>
      <c r="BP34" s="49">
        <f t="shared" ref="BP34:CU34" ca="1" si="112">RAND()</f>
        <v>0.17649909195201563</v>
      </c>
      <c r="BQ34" s="49">
        <f t="shared" ca="1" si="112"/>
        <v>0.21254928006202611</v>
      </c>
      <c r="BR34" s="49">
        <f t="shared" ca="1" si="112"/>
        <v>0.29925973412042384</v>
      </c>
      <c r="BS34" s="49">
        <f t="shared" ca="1" si="112"/>
        <v>0.26246648996623934</v>
      </c>
      <c r="BT34" s="49">
        <f t="shared" ca="1" si="112"/>
        <v>0.49320701467730044</v>
      </c>
      <c r="BU34" s="49">
        <f t="shared" ca="1" si="112"/>
        <v>0.64013606769548426</v>
      </c>
      <c r="BV34" s="49">
        <f t="shared" ca="1" si="112"/>
        <v>0.15846229939125123</v>
      </c>
      <c r="BW34" s="49">
        <f t="shared" ca="1" si="112"/>
        <v>0.58805034155513436</v>
      </c>
      <c r="BX34" s="49">
        <f t="shared" ca="1" si="112"/>
        <v>5.4708189764770543E-3</v>
      </c>
      <c r="BY34" s="49">
        <f t="shared" ca="1" si="112"/>
        <v>0.63010917293687296</v>
      </c>
      <c r="BZ34" s="49">
        <f t="shared" ca="1" si="112"/>
        <v>0.18534760367916292</v>
      </c>
      <c r="CA34" s="49">
        <f t="shared" ca="1" si="112"/>
        <v>8.8753983873961495E-2</v>
      </c>
      <c r="CB34" s="49">
        <f t="shared" ca="1" si="112"/>
        <v>0.39005544701185901</v>
      </c>
      <c r="CC34" s="49">
        <f t="shared" ca="1" si="112"/>
        <v>0.70475539988318214</v>
      </c>
      <c r="CD34" s="49">
        <f t="shared" ca="1" si="112"/>
        <v>6.2978061221268034E-2</v>
      </c>
      <c r="CE34" s="49">
        <f t="shared" ca="1" si="112"/>
        <v>0.66320222566086184</v>
      </c>
      <c r="CF34" s="49">
        <f t="shared" ca="1" si="112"/>
        <v>0.22875081894061211</v>
      </c>
      <c r="CG34" s="49">
        <f t="shared" ca="1" si="112"/>
        <v>0.8343070097877503</v>
      </c>
      <c r="CH34" s="49">
        <f t="shared" ca="1" si="112"/>
        <v>0.75201883056134655</v>
      </c>
      <c r="CI34" s="49">
        <f t="shared" ca="1" si="112"/>
        <v>0.54077200498237166</v>
      </c>
      <c r="CJ34" s="49">
        <f t="shared" ca="1" si="112"/>
        <v>0.19930338736560915</v>
      </c>
      <c r="CK34" s="49">
        <f t="shared" ca="1" si="112"/>
        <v>0.52439951846996447</v>
      </c>
      <c r="CL34" s="49">
        <f t="shared" ca="1" si="112"/>
        <v>7.8401276221670257E-2</v>
      </c>
      <c r="CM34" s="49">
        <f t="shared" ca="1" si="112"/>
        <v>0.4425227111674227</v>
      </c>
      <c r="CN34" s="49">
        <f t="shared" ca="1" si="112"/>
        <v>0.81043912545124264</v>
      </c>
      <c r="CO34" s="49">
        <f t="shared" ca="1" si="112"/>
        <v>2.0021602547604433E-2</v>
      </c>
      <c r="CP34" s="49">
        <f t="shared" ca="1" si="112"/>
        <v>0.51135819599028121</v>
      </c>
      <c r="CQ34" s="49">
        <f t="shared" ca="1" si="112"/>
        <v>0.32673505172499417</v>
      </c>
      <c r="CR34" s="49">
        <f t="shared" ca="1" si="112"/>
        <v>0.29804965573564823</v>
      </c>
      <c r="CS34" s="49">
        <f t="shared" ca="1" si="112"/>
        <v>0.9264269240616485</v>
      </c>
      <c r="CT34" s="49">
        <f t="shared" ca="1" si="112"/>
        <v>8.4238560970886112E-2</v>
      </c>
      <c r="CU34" s="49">
        <f t="shared" ca="1" si="112"/>
        <v>0.16913302049054857</v>
      </c>
      <c r="CV34" s="49">
        <f t="shared" ref="CV34:EE34" ca="1" si="113">RAND()</f>
        <v>0.71534272851673475</v>
      </c>
      <c r="CW34" s="49">
        <f t="shared" ca="1" si="113"/>
        <v>0.97000905002066384</v>
      </c>
      <c r="CX34" s="49">
        <f t="shared" ca="1" si="113"/>
        <v>0.28012080884138335</v>
      </c>
      <c r="CY34" s="49">
        <f t="shared" ca="1" si="113"/>
        <v>0.70788048666445536</v>
      </c>
      <c r="CZ34" s="49">
        <f t="shared" ca="1" si="113"/>
        <v>0.53320631491606774</v>
      </c>
      <c r="DA34" s="49">
        <f t="shared" ca="1" si="113"/>
        <v>0.55530066421790603</v>
      </c>
      <c r="DB34" s="49">
        <f t="shared" ca="1" si="113"/>
        <v>0.50233495836111097</v>
      </c>
      <c r="DC34" s="49">
        <f t="shared" ca="1" si="113"/>
        <v>0.68451984046497327</v>
      </c>
      <c r="DD34" s="49">
        <f t="shared" ca="1" si="113"/>
        <v>0.84056467299533311</v>
      </c>
      <c r="DE34" s="49">
        <f t="shared" ca="1" si="113"/>
        <v>0.11145375704151816</v>
      </c>
      <c r="DF34" s="49">
        <f t="shared" ca="1" si="113"/>
        <v>0.88982547588445582</v>
      </c>
      <c r="DG34" s="49">
        <f t="shared" ca="1" si="113"/>
        <v>0.97644490013710916</v>
      </c>
      <c r="DH34" s="49">
        <f t="shared" ca="1" si="113"/>
        <v>0.94936170995855929</v>
      </c>
      <c r="DI34" s="49">
        <f t="shared" ca="1" si="113"/>
        <v>0.69831405945551162</v>
      </c>
      <c r="DJ34" s="49">
        <f t="shared" ca="1" si="113"/>
        <v>0.62571799889308077</v>
      </c>
      <c r="DK34" s="49">
        <f t="shared" ca="1" si="113"/>
        <v>0.98020742517407</v>
      </c>
      <c r="DL34" s="49">
        <f t="shared" ca="1" si="113"/>
        <v>0.35773109078951415</v>
      </c>
      <c r="DM34" s="49">
        <f t="shared" ca="1" si="113"/>
        <v>0.38263214626905784</v>
      </c>
      <c r="DN34" s="49">
        <f t="shared" ca="1" si="113"/>
        <v>0.31930143813001299</v>
      </c>
      <c r="DO34" s="49">
        <f t="shared" ca="1" si="113"/>
        <v>0.54697716996448997</v>
      </c>
      <c r="DP34" s="49">
        <f t="shared" ca="1" si="113"/>
        <v>0.74163798304046047</v>
      </c>
      <c r="DQ34" s="49">
        <f t="shared" ca="1" si="113"/>
        <v>0.91306928107668772</v>
      </c>
      <c r="DR34" s="49">
        <f t="shared" ca="1" si="113"/>
        <v>0.96737555277648524</v>
      </c>
      <c r="DS34" s="49">
        <f t="shared" ca="1" si="113"/>
        <v>0.2227332591478085</v>
      </c>
      <c r="DT34" s="49">
        <f t="shared" ca="1" si="113"/>
        <v>0.41043279487644391</v>
      </c>
      <c r="DU34" s="49">
        <f t="shared" ca="1" si="113"/>
        <v>0.47124929966590845</v>
      </c>
      <c r="DV34" s="49">
        <f t="shared" ca="1" si="113"/>
        <v>0.71188550627393621</v>
      </c>
      <c r="DW34" s="49">
        <f t="shared" ca="1" si="113"/>
        <v>0.98796802180672594</v>
      </c>
      <c r="DX34" s="49">
        <f t="shared" ca="1" si="113"/>
        <v>0.5976657057505893</v>
      </c>
      <c r="DY34" s="49">
        <f t="shared" ca="1" si="113"/>
        <v>0.38949103056548184</v>
      </c>
      <c r="DZ34" s="49">
        <f t="shared" ca="1" si="113"/>
        <v>0.78226524568374112</v>
      </c>
      <c r="EA34" s="49">
        <f t="shared" ca="1" si="113"/>
        <v>0.6951258925673155</v>
      </c>
      <c r="EB34" s="49">
        <f t="shared" ca="1" si="113"/>
        <v>0.91927010105974605</v>
      </c>
      <c r="EC34" s="49">
        <f t="shared" ca="1" si="113"/>
        <v>2.5988952039921576E-2</v>
      </c>
      <c r="ED34" s="49">
        <f t="shared" ca="1" si="113"/>
        <v>0.30281089505292613</v>
      </c>
      <c r="EE34" s="49">
        <f t="shared" ca="1" si="113"/>
        <v>0.84818056196449076</v>
      </c>
    </row>
    <row r="35" spans="1:135" x14ac:dyDescent="0.4">
      <c r="A35" s="29" t="str">
        <f t="shared" si="7"/>
        <v>KPI ID 28 %</v>
      </c>
      <c r="B35" s="47" t="s">
        <v>64</v>
      </c>
      <c r="C35" s="48" t="s">
        <v>30</v>
      </c>
      <c r="D35" s="49">
        <f t="shared" ref="D35:AI35" ca="1" si="114">RAND()+1</f>
        <v>1.891287275848055</v>
      </c>
      <c r="E35" s="49">
        <f t="shared" ca="1" si="114"/>
        <v>1.262600612963964</v>
      </c>
      <c r="F35" s="49">
        <f t="shared" ca="1" si="114"/>
        <v>1.1565963374627901</v>
      </c>
      <c r="G35" s="49">
        <f t="shared" ca="1" si="114"/>
        <v>1.6632009711438243</v>
      </c>
      <c r="H35" s="49">
        <f t="shared" ca="1" si="114"/>
        <v>1.8903018193410122</v>
      </c>
      <c r="I35" s="49">
        <f t="shared" ca="1" si="114"/>
        <v>1.4484856952089489</v>
      </c>
      <c r="J35" s="49">
        <f t="shared" ca="1" si="114"/>
        <v>1.9739256111672479</v>
      </c>
      <c r="K35" s="49">
        <f t="shared" ca="1" si="114"/>
        <v>1.4208075314144457</v>
      </c>
      <c r="L35" s="49">
        <f t="shared" ca="1" si="114"/>
        <v>1.7891838317579223</v>
      </c>
      <c r="M35" s="49">
        <f t="shared" ca="1" si="114"/>
        <v>1.9092036710314175</v>
      </c>
      <c r="N35" s="49">
        <f t="shared" ca="1" si="114"/>
        <v>1.3540750502986625</v>
      </c>
      <c r="O35" s="49">
        <f t="shared" ca="1" si="114"/>
        <v>1.0679431318139083</v>
      </c>
      <c r="P35" s="49">
        <f t="shared" ca="1" si="114"/>
        <v>1.9342474785654429</v>
      </c>
      <c r="Q35" s="49">
        <f t="shared" ca="1" si="114"/>
        <v>1.5805379712304011</v>
      </c>
      <c r="R35" s="49">
        <f t="shared" ca="1" si="114"/>
        <v>1.8060011777736142</v>
      </c>
      <c r="S35" s="49">
        <f t="shared" ca="1" si="114"/>
        <v>1.220151864537701</v>
      </c>
      <c r="T35" s="49">
        <f t="shared" ca="1" si="114"/>
        <v>1.0132720184190744</v>
      </c>
      <c r="U35" s="49">
        <f t="shared" ca="1" si="114"/>
        <v>1.4605509036728654</v>
      </c>
      <c r="V35" s="49">
        <f t="shared" ca="1" si="114"/>
        <v>1.0947695198428862</v>
      </c>
      <c r="W35" s="49">
        <f t="shared" ca="1" si="114"/>
        <v>1.7137937451204641</v>
      </c>
      <c r="X35" s="49">
        <f t="shared" ca="1" si="114"/>
        <v>1.8501235590721858</v>
      </c>
      <c r="Y35" s="49">
        <f t="shared" ca="1" si="114"/>
        <v>1.697359441246602</v>
      </c>
      <c r="Z35" s="49">
        <f t="shared" ca="1" si="114"/>
        <v>1.7585891242493505</v>
      </c>
      <c r="AA35" s="49">
        <f t="shared" ca="1" si="114"/>
        <v>1.9975977563725698</v>
      </c>
      <c r="AB35" s="49">
        <f t="shared" ca="1" si="114"/>
        <v>1.9220131395790214</v>
      </c>
      <c r="AC35" s="49">
        <f t="shared" ca="1" si="114"/>
        <v>1.3031245621925325</v>
      </c>
      <c r="AD35" s="49">
        <f t="shared" ca="1" si="114"/>
        <v>1.4854960848022625</v>
      </c>
      <c r="AE35" s="49">
        <f t="shared" ca="1" si="114"/>
        <v>1.4321114014557943</v>
      </c>
      <c r="AF35" s="49">
        <f t="shared" ca="1" si="114"/>
        <v>1.3889624298108028</v>
      </c>
      <c r="AG35" s="49">
        <f t="shared" ca="1" si="114"/>
        <v>1.6554718691236254</v>
      </c>
      <c r="AH35" s="49">
        <f t="shared" ca="1" si="114"/>
        <v>1.0749414438516971</v>
      </c>
      <c r="AI35" s="49">
        <f t="shared" ca="1" si="114"/>
        <v>1.3304551720253799</v>
      </c>
      <c r="AJ35" s="49">
        <f t="shared" ref="AJ35:BO35" ca="1" si="115">RAND()+1</f>
        <v>1.5960291635085895</v>
      </c>
      <c r="AK35" s="49">
        <f t="shared" ca="1" si="115"/>
        <v>1.0003875007815703</v>
      </c>
      <c r="AL35" s="49">
        <f t="shared" ca="1" si="115"/>
        <v>1.8145985004764926</v>
      </c>
      <c r="AM35" s="49">
        <f t="shared" ca="1" si="115"/>
        <v>1.8312617355950485</v>
      </c>
      <c r="AN35" s="49">
        <f t="shared" ca="1" si="115"/>
        <v>1.0162904220027222</v>
      </c>
      <c r="AO35" s="49">
        <f t="shared" ca="1" si="115"/>
        <v>1.7327922114938032</v>
      </c>
      <c r="AP35" s="49">
        <f t="shared" ca="1" si="115"/>
        <v>1.587184803442069</v>
      </c>
      <c r="AQ35" s="49">
        <f t="shared" ca="1" si="115"/>
        <v>1.1459557990822062</v>
      </c>
      <c r="AR35" s="49">
        <f t="shared" ca="1" si="115"/>
        <v>1.1883901842185072</v>
      </c>
      <c r="AS35" s="49">
        <f t="shared" ca="1" si="115"/>
        <v>1.4660410154302825</v>
      </c>
      <c r="AT35" s="49">
        <f t="shared" ca="1" si="115"/>
        <v>1.7134693596238564</v>
      </c>
      <c r="AU35" s="49">
        <f t="shared" ca="1" si="115"/>
        <v>1.1781377645734863</v>
      </c>
      <c r="AV35" s="49">
        <f t="shared" ca="1" si="115"/>
        <v>1.7162974090115177</v>
      </c>
      <c r="AW35" s="49">
        <f t="shared" ca="1" si="115"/>
        <v>1.102769538855457</v>
      </c>
      <c r="AX35" s="49">
        <f t="shared" ca="1" si="115"/>
        <v>1.1935717658344909</v>
      </c>
      <c r="AY35" s="49">
        <f t="shared" ca="1" si="115"/>
        <v>1.2653978259322256</v>
      </c>
      <c r="AZ35" s="49">
        <f t="shared" ca="1" si="115"/>
        <v>1.7143403566761619</v>
      </c>
      <c r="BA35" s="49">
        <f t="shared" ca="1" si="115"/>
        <v>1.0521109138917408</v>
      </c>
      <c r="BB35" s="49">
        <f t="shared" ca="1" si="115"/>
        <v>1.0701135356232563</v>
      </c>
      <c r="BC35" s="49">
        <f t="shared" ca="1" si="115"/>
        <v>1.7091918420689991</v>
      </c>
      <c r="BD35" s="49">
        <f t="shared" ca="1" si="115"/>
        <v>1.9977747732607603</v>
      </c>
      <c r="BE35" s="49">
        <f t="shared" ca="1" si="115"/>
        <v>1.8481652532633788</v>
      </c>
      <c r="BF35" s="49">
        <f t="shared" ca="1" si="115"/>
        <v>1.4952974289395156</v>
      </c>
      <c r="BG35" s="49">
        <f t="shared" ca="1" si="115"/>
        <v>1.9386084334716929</v>
      </c>
      <c r="BH35" s="49">
        <f t="shared" ca="1" si="115"/>
        <v>1.1797648184633798</v>
      </c>
      <c r="BI35" s="49">
        <f t="shared" ca="1" si="115"/>
        <v>1.8334000312444636</v>
      </c>
      <c r="BJ35" s="49">
        <f t="shared" ca="1" si="115"/>
        <v>1.7768084083803948</v>
      </c>
      <c r="BK35" s="49">
        <f t="shared" ca="1" si="115"/>
        <v>1.1207098671255717</v>
      </c>
      <c r="BL35" s="49">
        <f t="shared" ca="1" si="115"/>
        <v>1.0165201854957941</v>
      </c>
      <c r="BM35" s="49">
        <f t="shared" ca="1" si="115"/>
        <v>1.5021293582044204</v>
      </c>
      <c r="BN35" s="49">
        <f t="shared" ca="1" si="115"/>
        <v>1.0936078778163585</v>
      </c>
      <c r="BO35" s="49">
        <f t="shared" ca="1" si="115"/>
        <v>1.2587610387424881</v>
      </c>
      <c r="BP35" s="49">
        <f t="shared" ref="BP35:CU35" ca="1" si="116">RAND()+1</f>
        <v>1.4069840638145346</v>
      </c>
      <c r="BQ35" s="49">
        <f t="shared" ca="1" si="116"/>
        <v>1.8088752919257092</v>
      </c>
      <c r="BR35" s="49">
        <f t="shared" ca="1" si="116"/>
        <v>1.7867665153955974</v>
      </c>
      <c r="BS35" s="49">
        <f t="shared" ca="1" si="116"/>
        <v>1.874325115315524</v>
      </c>
      <c r="BT35" s="49">
        <f t="shared" ca="1" si="116"/>
        <v>1.6675429514883695</v>
      </c>
      <c r="BU35" s="49">
        <f t="shared" ca="1" si="116"/>
        <v>1.6350297125176509</v>
      </c>
      <c r="BV35" s="49">
        <f t="shared" ca="1" si="116"/>
        <v>1.9296363877834763</v>
      </c>
      <c r="BW35" s="49">
        <f t="shared" ca="1" si="116"/>
        <v>1.4902868673506553</v>
      </c>
      <c r="BX35" s="49">
        <f t="shared" ca="1" si="116"/>
        <v>1.3554926498627342</v>
      </c>
      <c r="BY35" s="49">
        <f t="shared" ca="1" si="116"/>
        <v>1.0898123535524946</v>
      </c>
      <c r="BZ35" s="49">
        <f t="shared" ca="1" si="116"/>
        <v>1.9611791798560398</v>
      </c>
      <c r="CA35" s="49">
        <f t="shared" ca="1" si="116"/>
        <v>1.0173567200888669</v>
      </c>
      <c r="CB35" s="49">
        <f t="shared" ca="1" si="116"/>
        <v>1.4409038038065001</v>
      </c>
      <c r="CC35" s="49">
        <f t="shared" ca="1" si="116"/>
        <v>1.4059709999668422</v>
      </c>
      <c r="CD35" s="49">
        <f t="shared" ca="1" si="116"/>
        <v>1.7977785593668814</v>
      </c>
      <c r="CE35" s="49">
        <f t="shared" ca="1" si="116"/>
        <v>1.6423199571685085</v>
      </c>
      <c r="CF35" s="49">
        <f t="shared" ca="1" si="116"/>
        <v>1.1869678529709216</v>
      </c>
      <c r="CG35" s="49">
        <f t="shared" ca="1" si="116"/>
        <v>1.4732230752468118</v>
      </c>
      <c r="CH35" s="49">
        <f t="shared" ca="1" si="116"/>
        <v>1.525414171188475</v>
      </c>
      <c r="CI35" s="49">
        <f t="shared" ca="1" si="116"/>
        <v>1.0574875629523559</v>
      </c>
      <c r="CJ35" s="49">
        <f t="shared" ca="1" si="116"/>
        <v>1.3693619898141258</v>
      </c>
      <c r="CK35" s="49">
        <f t="shared" ca="1" si="116"/>
        <v>1.7151230281240233</v>
      </c>
      <c r="CL35" s="49">
        <f t="shared" ca="1" si="116"/>
        <v>1.786546314556817</v>
      </c>
      <c r="CM35" s="49">
        <f t="shared" ca="1" si="116"/>
        <v>1.023239420263812</v>
      </c>
      <c r="CN35" s="49">
        <f t="shared" ca="1" si="116"/>
        <v>1.0655170791637889</v>
      </c>
      <c r="CO35" s="49">
        <f t="shared" ca="1" si="116"/>
        <v>1.8184663915699113</v>
      </c>
      <c r="CP35" s="49">
        <f t="shared" ca="1" si="116"/>
        <v>1.545654559095414</v>
      </c>
      <c r="CQ35" s="49">
        <f t="shared" ca="1" si="116"/>
        <v>1.0531154164295318</v>
      </c>
      <c r="CR35" s="49">
        <f t="shared" ca="1" si="116"/>
        <v>1.2614165839192459</v>
      </c>
      <c r="CS35" s="49">
        <f t="shared" ca="1" si="116"/>
        <v>1.1338310189152736</v>
      </c>
      <c r="CT35" s="49">
        <f t="shared" ca="1" si="116"/>
        <v>1.1947180484315063</v>
      </c>
      <c r="CU35" s="49">
        <f t="shared" ca="1" si="116"/>
        <v>1.1510428408637585</v>
      </c>
      <c r="CV35" s="49">
        <f t="shared" ref="CV35:EE35" ca="1" si="117">RAND()+1</f>
        <v>1.8058490038177779</v>
      </c>
      <c r="CW35" s="49">
        <f t="shared" ca="1" si="117"/>
        <v>1.0773188609238511</v>
      </c>
      <c r="CX35" s="49">
        <f t="shared" ca="1" si="117"/>
        <v>1.4337343295377383</v>
      </c>
      <c r="CY35" s="49">
        <f t="shared" ca="1" si="117"/>
        <v>1.8389395620243241</v>
      </c>
      <c r="CZ35" s="49">
        <f t="shared" ca="1" si="117"/>
        <v>1.0896460973475213</v>
      </c>
      <c r="DA35" s="49">
        <f t="shared" ca="1" si="117"/>
        <v>1.0448539103839216</v>
      </c>
      <c r="DB35" s="49">
        <f t="shared" ca="1" si="117"/>
        <v>1.4174579146216826</v>
      </c>
      <c r="DC35" s="49">
        <f t="shared" ca="1" si="117"/>
        <v>1.4538444846505121</v>
      </c>
      <c r="DD35" s="49">
        <f t="shared" ca="1" si="117"/>
        <v>1.0175717494488052</v>
      </c>
      <c r="DE35" s="49">
        <f t="shared" ca="1" si="117"/>
        <v>1.6578138420835753</v>
      </c>
      <c r="DF35" s="49">
        <f t="shared" ca="1" si="117"/>
        <v>1.8395454889363938</v>
      </c>
      <c r="DG35" s="49">
        <f t="shared" ca="1" si="117"/>
        <v>1.7886342186456234</v>
      </c>
      <c r="DH35" s="49">
        <f t="shared" ca="1" si="117"/>
        <v>1.499485618680233</v>
      </c>
      <c r="DI35" s="49">
        <f t="shared" ca="1" si="117"/>
        <v>1.0982801428130671</v>
      </c>
      <c r="DJ35" s="49">
        <f t="shared" ca="1" si="117"/>
        <v>1.8137218596355829</v>
      </c>
      <c r="DK35" s="49">
        <f t="shared" ca="1" si="117"/>
        <v>1.6930834972920454</v>
      </c>
      <c r="DL35" s="49">
        <f t="shared" ca="1" si="117"/>
        <v>1.0655441879061427</v>
      </c>
      <c r="DM35" s="49">
        <f t="shared" ca="1" si="117"/>
        <v>1.8790634591685489</v>
      </c>
      <c r="DN35" s="49">
        <f t="shared" ca="1" si="117"/>
        <v>1.4699061331938157</v>
      </c>
      <c r="DO35" s="49">
        <f t="shared" ca="1" si="117"/>
        <v>1.6700659156524975</v>
      </c>
      <c r="DP35" s="49">
        <f t="shared" ca="1" si="117"/>
        <v>1.8152721974321073</v>
      </c>
      <c r="DQ35" s="49">
        <f t="shared" ca="1" si="117"/>
        <v>1.7875255020729512</v>
      </c>
      <c r="DR35" s="49">
        <f t="shared" ca="1" si="117"/>
        <v>1.3252632137140319</v>
      </c>
      <c r="DS35" s="49">
        <f t="shared" ca="1" si="117"/>
        <v>1.0129800133246838</v>
      </c>
      <c r="DT35" s="49">
        <f t="shared" ca="1" si="117"/>
        <v>1.0896735576154017</v>
      </c>
      <c r="DU35" s="49">
        <f t="shared" ca="1" si="117"/>
        <v>1.1879465736939094</v>
      </c>
      <c r="DV35" s="49">
        <f t="shared" ca="1" si="117"/>
        <v>1.4076539372185026</v>
      </c>
      <c r="DW35" s="49">
        <f t="shared" ca="1" si="117"/>
        <v>1.1238011025125501</v>
      </c>
      <c r="DX35" s="49">
        <f t="shared" ca="1" si="117"/>
        <v>1.3057043463076179</v>
      </c>
      <c r="DY35" s="49">
        <f t="shared" ca="1" si="117"/>
        <v>1.8560841218698914</v>
      </c>
      <c r="DZ35" s="49">
        <f t="shared" ca="1" si="117"/>
        <v>1.0016041920192551</v>
      </c>
      <c r="EA35" s="49">
        <f t="shared" ca="1" si="117"/>
        <v>1.9729884767646708</v>
      </c>
      <c r="EB35" s="49">
        <f t="shared" ca="1" si="117"/>
        <v>1.4427770397544137</v>
      </c>
      <c r="EC35" s="49">
        <f t="shared" ca="1" si="117"/>
        <v>1.1688808221141316</v>
      </c>
      <c r="ED35" s="49">
        <f t="shared" ca="1" si="117"/>
        <v>1.5911528411459301</v>
      </c>
      <c r="EE35" s="49">
        <f t="shared" ca="1" si="117"/>
        <v>1.847406671891773</v>
      </c>
    </row>
    <row r="36" spans="1:135" x14ac:dyDescent="0.4">
      <c r="A36" s="29" t="str">
        <f t="shared" si="7"/>
        <v>KPI ID 29 %</v>
      </c>
      <c r="B36" s="47" t="s">
        <v>64</v>
      </c>
      <c r="C36" s="48" t="s">
        <v>31</v>
      </c>
      <c r="D36" s="49">
        <f t="shared" ref="D36:AI36" ca="1" si="118">RANDBETWEEN(20, 45)</f>
        <v>28</v>
      </c>
      <c r="E36" s="49">
        <f t="shared" ca="1" si="118"/>
        <v>27</v>
      </c>
      <c r="F36" s="49">
        <f t="shared" ca="1" si="118"/>
        <v>35</v>
      </c>
      <c r="G36" s="49">
        <f t="shared" ca="1" si="118"/>
        <v>29</v>
      </c>
      <c r="H36" s="49">
        <f t="shared" ca="1" si="118"/>
        <v>20</v>
      </c>
      <c r="I36" s="49">
        <f t="shared" ca="1" si="118"/>
        <v>23</v>
      </c>
      <c r="J36" s="49">
        <f t="shared" ca="1" si="118"/>
        <v>43</v>
      </c>
      <c r="K36" s="49">
        <f t="shared" ca="1" si="118"/>
        <v>38</v>
      </c>
      <c r="L36" s="49">
        <f t="shared" ca="1" si="118"/>
        <v>28</v>
      </c>
      <c r="M36" s="49">
        <f t="shared" ca="1" si="118"/>
        <v>38</v>
      </c>
      <c r="N36" s="49">
        <f t="shared" ca="1" si="118"/>
        <v>26</v>
      </c>
      <c r="O36" s="49">
        <f t="shared" ca="1" si="118"/>
        <v>28</v>
      </c>
      <c r="P36" s="49">
        <f t="shared" ca="1" si="118"/>
        <v>30</v>
      </c>
      <c r="Q36" s="49">
        <f t="shared" ca="1" si="118"/>
        <v>31</v>
      </c>
      <c r="R36" s="49">
        <f t="shared" ca="1" si="118"/>
        <v>45</v>
      </c>
      <c r="S36" s="49">
        <f t="shared" ca="1" si="118"/>
        <v>44</v>
      </c>
      <c r="T36" s="49">
        <f t="shared" ca="1" si="118"/>
        <v>39</v>
      </c>
      <c r="U36" s="49">
        <f t="shared" ca="1" si="118"/>
        <v>42</v>
      </c>
      <c r="V36" s="49">
        <f t="shared" ca="1" si="118"/>
        <v>29</v>
      </c>
      <c r="W36" s="49">
        <f t="shared" ca="1" si="118"/>
        <v>43</v>
      </c>
      <c r="X36" s="49">
        <f t="shared" ca="1" si="118"/>
        <v>26</v>
      </c>
      <c r="Y36" s="49">
        <f t="shared" ca="1" si="118"/>
        <v>25</v>
      </c>
      <c r="Z36" s="49">
        <f t="shared" ca="1" si="118"/>
        <v>42</v>
      </c>
      <c r="AA36" s="49">
        <f t="shared" ca="1" si="118"/>
        <v>42</v>
      </c>
      <c r="AB36" s="49">
        <f t="shared" ca="1" si="118"/>
        <v>36</v>
      </c>
      <c r="AC36" s="49">
        <f t="shared" ca="1" si="118"/>
        <v>31</v>
      </c>
      <c r="AD36" s="49">
        <f t="shared" ca="1" si="118"/>
        <v>25</v>
      </c>
      <c r="AE36" s="49">
        <f t="shared" ca="1" si="118"/>
        <v>44</v>
      </c>
      <c r="AF36" s="49">
        <f t="shared" ca="1" si="118"/>
        <v>23</v>
      </c>
      <c r="AG36" s="49">
        <f t="shared" ca="1" si="118"/>
        <v>42</v>
      </c>
      <c r="AH36" s="49">
        <f t="shared" ca="1" si="118"/>
        <v>21</v>
      </c>
      <c r="AI36" s="49">
        <f t="shared" ca="1" si="118"/>
        <v>20</v>
      </c>
      <c r="AJ36" s="49">
        <f t="shared" ref="AJ36:BO36" ca="1" si="119">RANDBETWEEN(20, 45)</f>
        <v>23</v>
      </c>
      <c r="AK36" s="49">
        <f t="shared" ca="1" si="119"/>
        <v>31</v>
      </c>
      <c r="AL36" s="49">
        <f t="shared" ca="1" si="119"/>
        <v>45</v>
      </c>
      <c r="AM36" s="49">
        <f t="shared" ca="1" si="119"/>
        <v>29</v>
      </c>
      <c r="AN36" s="49">
        <f t="shared" ca="1" si="119"/>
        <v>23</v>
      </c>
      <c r="AO36" s="49">
        <f t="shared" ca="1" si="119"/>
        <v>39</v>
      </c>
      <c r="AP36" s="49">
        <f t="shared" ca="1" si="119"/>
        <v>24</v>
      </c>
      <c r="AQ36" s="49">
        <f t="shared" ca="1" si="119"/>
        <v>32</v>
      </c>
      <c r="AR36" s="49">
        <f t="shared" ca="1" si="119"/>
        <v>37</v>
      </c>
      <c r="AS36" s="49">
        <f t="shared" ca="1" si="119"/>
        <v>29</v>
      </c>
      <c r="AT36" s="49">
        <f t="shared" ca="1" si="119"/>
        <v>21</v>
      </c>
      <c r="AU36" s="49">
        <f t="shared" ca="1" si="119"/>
        <v>38</v>
      </c>
      <c r="AV36" s="49">
        <f t="shared" ca="1" si="119"/>
        <v>41</v>
      </c>
      <c r="AW36" s="49">
        <f t="shared" ca="1" si="119"/>
        <v>42</v>
      </c>
      <c r="AX36" s="49">
        <f t="shared" ca="1" si="119"/>
        <v>36</v>
      </c>
      <c r="AY36" s="49">
        <f t="shared" ca="1" si="119"/>
        <v>34</v>
      </c>
      <c r="AZ36" s="49">
        <f t="shared" ca="1" si="119"/>
        <v>42</v>
      </c>
      <c r="BA36" s="49">
        <f t="shared" ca="1" si="119"/>
        <v>33</v>
      </c>
      <c r="BB36" s="49">
        <f t="shared" ca="1" si="119"/>
        <v>35</v>
      </c>
      <c r="BC36" s="49">
        <f t="shared" ca="1" si="119"/>
        <v>24</v>
      </c>
      <c r="BD36" s="49">
        <f t="shared" ca="1" si="119"/>
        <v>35</v>
      </c>
      <c r="BE36" s="49">
        <f t="shared" ca="1" si="119"/>
        <v>27</v>
      </c>
      <c r="BF36" s="49">
        <f t="shared" ca="1" si="119"/>
        <v>26</v>
      </c>
      <c r="BG36" s="49">
        <f t="shared" ca="1" si="119"/>
        <v>40</v>
      </c>
      <c r="BH36" s="49">
        <f t="shared" ca="1" si="119"/>
        <v>24</v>
      </c>
      <c r="BI36" s="49">
        <f t="shared" ca="1" si="119"/>
        <v>23</v>
      </c>
      <c r="BJ36" s="49">
        <f t="shared" ca="1" si="119"/>
        <v>27</v>
      </c>
      <c r="BK36" s="49">
        <f t="shared" ca="1" si="119"/>
        <v>35</v>
      </c>
      <c r="BL36" s="49">
        <f t="shared" ca="1" si="119"/>
        <v>23</v>
      </c>
      <c r="BM36" s="49">
        <f t="shared" ca="1" si="119"/>
        <v>34</v>
      </c>
      <c r="BN36" s="49">
        <f t="shared" ca="1" si="119"/>
        <v>29</v>
      </c>
      <c r="BO36" s="49">
        <f t="shared" ca="1" si="119"/>
        <v>32</v>
      </c>
      <c r="BP36" s="49">
        <f t="shared" ref="BP36:CU36" ca="1" si="120">RANDBETWEEN(20, 45)</f>
        <v>42</v>
      </c>
      <c r="BQ36" s="49">
        <f t="shared" ca="1" si="120"/>
        <v>36</v>
      </c>
      <c r="BR36" s="49">
        <f t="shared" ca="1" si="120"/>
        <v>35</v>
      </c>
      <c r="BS36" s="49">
        <f t="shared" ca="1" si="120"/>
        <v>29</v>
      </c>
      <c r="BT36" s="49">
        <f t="shared" ca="1" si="120"/>
        <v>23</v>
      </c>
      <c r="BU36" s="49">
        <f t="shared" ca="1" si="120"/>
        <v>42</v>
      </c>
      <c r="BV36" s="49">
        <f t="shared" ca="1" si="120"/>
        <v>31</v>
      </c>
      <c r="BW36" s="49">
        <f t="shared" ca="1" si="120"/>
        <v>20</v>
      </c>
      <c r="BX36" s="49">
        <f t="shared" ca="1" si="120"/>
        <v>29</v>
      </c>
      <c r="BY36" s="49">
        <f t="shared" ca="1" si="120"/>
        <v>29</v>
      </c>
      <c r="BZ36" s="49">
        <f t="shared" ca="1" si="120"/>
        <v>24</v>
      </c>
      <c r="CA36" s="49">
        <f t="shared" ca="1" si="120"/>
        <v>33</v>
      </c>
      <c r="CB36" s="49">
        <f t="shared" ca="1" si="120"/>
        <v>21</v>
      </c>
      <c r="CC36" s="49">
        <f t="shared" ca="1" si="120"/>
        <v>41</v>
      </c>
      <c r="CD36" s="49">
        <f t="shared" ca="1" si="120"/>
        <v>24</v>
      </c>
      <c r="CE36" s="49">
        <f t="shared" ca="1" si="120"/>
        <v>33</v>
      </c>
      <c r="CF36" s="49">
        <f t="shared" ca="1" si="120"/>
        <v>20</v>
      </c>
      <c r="CG36" s="49">
        <f t="shared" ca="1" si="120"/>
        <v>35</v>
      </c>
      <c r="CH36" s="49">
        <f t="shared" ca="1" si="120"/>
        <v>20</v>
      </c>
      <c r="CI36" s="49">
        <f t="shared" ca="1" si="120"/>
        <v>22</v>
      </c>
      <c r="CJ36" s="49">
        <f t="shared" ca="1" si="120"/>
        <v>20</v>
      </c>
      <c r="CK36" s="49">
        <f t="shared" ca="1" si="120"/>
        <v>38</v>
      </c>
      <c r="CL36" s="49">
        <f t="shared" ca="1" si="120"/>
        <v>44</v>
      </c>
      <c r="CM36" s="49">
        <f t="shared" ca="1" si="120"/>
        <v>44</v>
      </c>
      <c r="CN36" s="49">
        <f t="shared" ca="1" si="120"/>
        <v>26</v>
      </c>
      <c r="CO36" s="49">
        <f t="shared" ca="1" si="120"/>
        <v>40</v>
      </c>
      <c r="CP36" s="49">
        <f t="shared" ca="1" si="120"/>
        <v>44</v>
      </c>
      <c r="CQ36" s="49">
        <f t="shared" ca="1" si="120"/>
        <v>42</v>
      </c>
      <c r="CR36" s="49">
        <f t="shared" ca="1" si="120"/>
        <v>42</v>
      </c>
      <c r="CS36" s="49">
        <f t="shared" ca="1" si="120"/>
        <v>43</v>
      </c>
      <c r="CT36" s="49">
        <f t="shared" ca="1" si="120"/>
        <v>35</v>
      </c>
      <c r="CU36" s="49">
        <f t="shared" ca="1" si="120"/>
        <v>35</v>
      </c>
      <c r="CV36" s="49">
        <f t="shared" ref="CV36:EE36" ca="1" si="121">RANDBETWEEN(20, 45)</f>
        <v>44</v>
      </c>
      <c r="CW36" s="49">
        <f t="shared" ca="1" si="121"/>
        <v>20</v>
      </c>
      <c r="CX36" s="49">
        <f t="shared" ca="1" si="121"/>
        <v>39</v>
      </c>
      <c r="CY36" s="49">
        <f t="shared" ca="1" si="121"/>
        <v>32</v>
      </c>
      <c r="CZ36" s="49">
        <f t="shared" ca="1" si="121"/>
        <v>42</v>
      </c>
      <c r="DA36" s="49">
        <f t="shared" ca="1" si="121"/>
        <v>37</v>
      </c>
      <c r="DB36" s="49">
        <f t="shared" ca="1" si="121"/>
        <v>37</v>
      </c>
      <c r="DC36" s="49">
        <f t="shared" ca="1" si="121"/>
        <v>33</v>
      </c>
      <c r="DD36" s="49">
        <f t="shared" ca="1" si="121"/>
        <v>33</v>
      </c>
      <c r="DE36" s="49">
        <f t="shared" ca="1" si="121"/>
        <v>32</v>
      </c>
      <c r="DF36" s="49">
        <f t="shared" ca="1" si="121"/>
        <v>21</v>
      </c>
      <c r="DG36" s="49">
        <f t="shared" ca="1" si="121"/>
        <v>45</v>
      </c>
      <c r="DH36" s="49">
        <f t="shared" ca="1" si="121"/>
        <v>44</v>
      </c>
      <c r="DI36" s="49">
        <f t="shared" ca="1" si="121"/>
        <v>28</v>
      </c>
      <c r="DJ36" s="49">
        <f t="shared" ca="1" si="121"/>
        <v>21</v>
      </c>
      <c r="DK36" s="49">
        <f t="shared" ca="1" si="121"/>
        <v>37</v>
      </c>
      <c r="DL36" s="49">
        <f t="shared" ca="1" si="121"/>
        <v>25</v>
      </c>
      <c r="DM36" s="49">
        <f t="shared" ca="1" si="121"/>
        <v>31</v>
      </c>
      <c r="DN36" s="49">
        <f t="shared" ca="1" si="121"/>
        <v>32</v>
      </c>
      <c r="DO36" s="49">
        <f t="shared" ca="1" si="121"/>
        <v>24</v>
      </c>
      <c r="DP36" s="49">
        <f t="shared" ca="1" si="121"/>
        <v>30</v>
      </c>
      <c r="DQ36" s="49">
        <f t="shared" ca="1" si="121"/>
        <v>40</v>
      </c>
      <c r="DR36" s="49">
        <f t="shared" ca="1" si="121"/>
        <v>29</v>
      </c>
      <c r="DS36" s="49">
        <f t="shared" ca="1" si="121"/>
        <v>33</v>
      </c>
      <c r="DT36" s="49">
        <f t="shared" ca="1" si="121"/>
        <v>24</v>
      </c>
      <c r="DU36" s="49">
        <f t="shared" ca="1" si="121"/>
        <v>27</v>
      </c>
      <c r="DV36" s="49">
        <f t="shared" ca="1" si="121"/>
        <v>45</v>
      </c>
      <c r="DW36" s="49">
        <f t="shared" ca="1" si="121"/>
        <v>29</v>
      </c>
      <c r="DX36" s="49">
        <f t="shared" ca="1" si="121"/>
        <v>27</v>
      </c>
      <c r="DY36" s="49">
        <f t="shared" ca="1" si="121"/>
        <v>35</v>
      </c>
      <c r="DZ36" s="49">
        <f t="shared" ca="1" si="121"/>
        <v>40</v>
      </c>
      <c r="EA36" s="49">
        <f t="shared" ca="1" si="121"/>
        <v>41</v>
      </c>
      <c r="EB36" s="49">
        <f t="shared" ca="1" si="121"/>
        <v>44</v>
      </c>
      <c r="EC36" s="49">
        <f t="shared" ca="1" si="121"/>
        <v>33</v>
      </c>
      <c r="ED36" s="49">
        <f t="shared" ca="1" si="121"/>
        <v>26</v>
      </c>
      <c r="EE36" s="49">
        <f t="shared" ca="1" si="121"/>
        <v>21</v>
      </c>
    </row>
    <row r="37" spans="1:135" x14ac:dyDescent="0.4">
      <c r="A37" s="29" t="str">
        <f t="shared" si="7"/>
        <v>KPI ID 30</v>
      </c>
      <c r="B37" s="47" t="s">
        <v>64</v>
      </c>
      <c r="C37" s="48" t="s">
        <v>32</v>
      </c>
      <c r="D37" s="49">
        <f t="shared" ref="D37:M38" ca="1" si="122">RANDBETWEEN(20, 45)</f>
        <v>27</v>
      </c>
      <c r="E37" s="49">
        <f t="shared" ca="1" si="122"/>
        <v>39</v>
      </c>
      <c r="F37" s="49">
        <f t="shared" ca="1" si="122"/>
        <v>29</v>
      </c>
      <c r="G37" s="49">
        <f t="shared" ca="1" si="122"/>
        <v>40</v>
      </c>
      <c r="H37" s="49">
        <f t="shared" ca="1" si="122"/>
        <v>29</v>
      </c>
      <c r="I37" s="49">
        <f t="shared" ca="1" si="122"/>
        <v>22</v>
      </c>
      <c r="J37" s="49">
        <f t="shared" ca="1" si="122"/>
        <v>35</v>
      </c>
      <c r="K37" s="49">
        <f t="shared" ca="1" si="122"/>
        <v>21</v>
      </c>
      <c r="L37" s="49">
        <f t="shared" ca="1" si="122"/>
        <v>42</v>
      </c>
      <c r="M37" s="49">
        <f t="shared" ca="1" si="122"/>
        <v>39</v>
      </c>
      <c r="N37" s="49">
        <f t="shared" ref="N37:W38" ca="1" si="123">RANDBETWEEN(20, 45)</f>
        <v>36</v>
      </c>
      <c r="O37" s="49">
        <f t="shared" ca="1" si="123"/>
        <v>38</v>
      </c>
      <c r="P37" s="49">
        <f t="shared" ca="1" si="123"/>
        <v>23</v>
      </c>
      <c r="Q37" s="49">
        <f t="shared" ca="1" si="123"/>
        <v>42</v>
      </c>
      <c r="R37" s="49">
        <f t="shared" ca="1" si="123"/>
        <v>27</v>
      </c>
      <c r="S37" s="49">
        <f t="shared" ca="1" si="123"/>
        <v>25</v>
      </c>
      <c r="T37" s="49">
        <f t="shared" ca="1" si="123"/>
        <v>35</v>
      </c>
      <c r="U37" s="49">
        <f t="shared" ca="1" si="123"/>
        <v>21</v>
      </c>
      <c r="V37" s="49">
        <f t="shared" ca="1" si="123"/>
        <v>33</v>
      </c>
      <c r="W37" s="49">
        <f t="shared" ca="1" si="123"/>
        <v>26</v>
      </c>
      <c r="X37" s="49">
        <f t="shared" ref="X37:AG38" ca="1" si="124">RANDBETWEEN(20, 45)</f>
        <v>40</v>
      </c>
      <c r="Y37" s="49">
        <f t="shared" ca="1" si="124"/>
        <v>38</v>
      </c>
      <c r="Z37" s="49">
        <f t="shared" ca="1" si="124"/>
        <v>27</v>
      </c>
      <c r="AA37" s="49">
        <f t="shared" ca="1" si="124"/>
        <v>37</v>
      </c>
      <c r="AB37" s="49">
        <f t="shared" ca="1" si="124"/>
        <v>45</v>
      </c>
      <c r="AC37" s="49">
        <f t="shared" ca="1" si="124"/>
        <v>27</v>
      </c>
      <c r="AD37" s="49">
        <f t="shared" ca="1" si="124"/>
        <v>43</v>
      </c>
      <c r="AE37" s="49">
        <f t="shared" ca="1" si="124"/>
        <v>44</v>
      </c>
      <c r="AF37" s="49">
        <f t="shared" ca="1" si="124"/>
        <v>39</v>
      </c>
      <c r="AG37" s="49">
        <f t="shared" ca="1" si="124"/>
        <v>43</v>
      </c>
      <c r="AH37" s="49">
        <f t="shared" ref="AH37:AQ38" ca="1" si="125">RANDBETWEEN(20, 45)</f>
        <v>44</v>
      </c>
      <c r="AI37" s="49">
        <f t="shared" ca="1" si="125"/>
        <v>39</v>
      </c>
      <c r="AJ37" s="49">
        <f t="shared" ca="1" si="125"/>
        <v>23</v>
      </c>
      <c r="AK37" s="49">
        <f t="shared" ca="1" si="125"/>
        <v>44</v>
      </c>
      <c r="AL37" s="49">
        <f t="shared" ca="1" si="125"/>
        <v>23</v>
      </c>
      <c r="AM37" s="49">
        <f t="shared" ca="1" si="125"/>
        <v>44</v>
      </c>
      <c r="AN37" s="49">
        <f t="shared" ca="1" si="125"/>
        <v>36</v>
      </c>
      <c r="AO37" s="49">
        <f t="shared" ca="1" si="125"/>
        <v>28</v>
      </c>
      <c r="AP37" s="49">
        <f t="shared" ca="1" si="125"/>
        <v>32</v>
      </c>
      <c r="AQ37" s="49">
        <f t="shared" ca="1" si="125"/>
        <v>24</v>
      </c>
      <c r="AR37" s="49">
        <f t="shared" ref="AR37:BA38" ca="1" si="126">RANDBETWEEN(20, 45)</f>
        <v>26</v>
      </c>
      <c r="AS37" s="49">
        <f t="shared" ca="1" si="126"/>
        <v>23</v>
      </c>
      <c r="AT37" s="49">
        <f t="shared" ca="1" si="126"/>
        <v>27</v>
      </c>
      <c r="AU37" s="49">
        <f t="shared" ca="1" si="126"/>
        <v>38</v>
      </c>
      <c r="AV37" s="49">
        <f t="shared" ca="1" si="126"/>
        <v>21</v>
      </c>
      <c r="AW37" s="49">
        <f t="shared" ca="1" si="126"/>
        <v>43</v>
      </c>
      <c r="AX37" s="49">
        <f t="shared" ca="1" si="126"/>
        <v>39</v>
      </c>
      <c r="AY37" s="49">
        <f t="shared" ca="1" si="126"/>
        <v>27</v>
      </c>
      <c r="AZ37" s="49">
        <f t="shared" ca="1" si="126"/>
        <v>45</v>
      </c>
      <c r="BA37" s="49">
        <f t="shared" ca="1" si="126"/>
        <v>37</v>
      </c>
      <c r="BB37" s="49">
        <f t="shared" ref="BB37:BK38" ca="1" si="127">RANDBETWEEN(20, 45)</f>
        <v>43</v>
      </c>
      <c r="BC37" s="49">
        <f t="shared" ca="1" si="127"/>
        <v>29</v>
      </c>
      <c r="BD37" s="49">
        <f t="shared" ca="1" si="127"/>
        <v>35</v>
      </c>
      <c r="BE37" s="49">
        <f t="shared" ca="1" si="127"/>
        <v>41</v>
      </c>
      <c r="BF37" s="49">
        <f t="shared" ca="1" si="127"/>
        <v>40</v>
      </c>
      <c r="BG37" s="49">
        <f t="shared" ca="1" si="127"/>
        <v>24</v>
      </c>
      <c r="BH37" s="49">
        <f t="shared" ca="1" si="127"/>
        <v>42</v>
      </c>
      <c r="BI37" s="49">
        <f t="shared" ca="1" si="127"/>
        <v>32</v>
      </c>
      <c r="BJ37" s="49">
        <f t="shared" ca="1" si="127"/>
        <v>31</v>
      </c>
      <c r="BK37" s="49">
        <f t="shared" ca="1" si="127"/>
        <v>33</v>
      </c>
      <c r="BL37" s="49">
        <f t="shared" ref="BL37:BU38" ca="1" si="128">RANDBETWEEN(20, 45)</f>
        <v>29</v>
      </c>
      <c r="BM37" s="49">
        <f t="shared" ca="1" si="128"/>
        <v>31</v>
      </c>
      <c r="BN37" s="49">
        <f t="shared" ca="1" si="128"/>
        <v>33</v>
      </c>
      <c r="BO37" s="49">
        <f t="shared" ca="1" si="128"/>
        <v>41</v>
      </c>
      <c r="BP37" s="49">
        <f t="shared" ca="1" si="128"/>
        <v>36</v>
      </c>
      <c r="BQ37" s="49">
        <f t="shared" ca="1" si="128"/>
        <v>40</v>
      </c>
      <c r="BR37" s="49">
        <f t="shared" ca="1" si="128"/>
        <v>25</v>
      </c>
      <c r="BS37" s="49">
        <f t="shared" ca="1" si="128"/>
        <v>31</v>
      </c>
      <c r="BT37" s="49">
        <f t="shared" ca="1" si="128"/>
        <v>29</v>
      </c>
      <c r="BU37" s="49">
        <f t="shared" ca="1" si="128"/>
        <v>35</v>
      </c>
      <c r="BV37" s="49">
        <f t="shared" ref="BV37:CE38" ca="1" si="129">RANDBETWEEN(20, 45)</f>
        <v>43</v>
      </c>
      <c r="BW37" s="49">
        <f t="shared" ca="1" si="129"/>
        <v>31</v>
      </c>
      <c r="BX37" s="49">
        <f t="shared" ca="1" si="129"/>
        <v>40</v>
      </c>
      <c r="BY37" s="49">
        <f t="shared" ca="1" si="129"/>
        <v>44</v>
      </c>
      <c r="BZ37" s="49">
        <f t="shared" ca="1" si="129"/>
        <v>26</v>
      </c>
      <c r="CA37" s="49">
        <f t="shared" ca="1" si="129"/>
        <v>32</v>
      </c>
      <c r="CB37" s="49">
        <f t="shared" ca="1" si="129"/>
        <v>32</v>
      </c>
      <c r="CC37" s="49">
        <f t="shared" ca="1" si="129"/>
        <v>28</v>
      </c>
      <c r="CD37" s="49">
        <f t="shared" ca="1" si="129"/>
        <v>38</v>
      </c>
      <c r="CE37" s="49">
        <f t="shared" ca="1" si="129"/>
        <v>29</v>
      </c>
      <c r="CF37" s="49">
        <f t="shared" ref="CF37:CO38" ca="1" si="130">RANDBETWEEN(20, 45)</f>
        <v>31</v>
      </c>
      <c r="CG37" s="49">
        <f t="shared" ca="1" si="130"/>
        <v>22</v>
      </c>
      <c r="CH37" s="49">
        <f t="shared" ca="1" si="130"/>
        <v>27</v>
      </c>
      <c r="CI37" s="49">
        <f t="shared" ca="1" si="130"/>
        <v>28</v>
      </c>
      <c r="CJ37" s="49">
        <f t="shared" ca="1" si="130"/>
        <v>44</v>
      </c>
      <c r="CK37" s="49">
        <f t="shared" ca="1" si="130"/>
        <v>30</v>
      </c>
      <c r="CL37" s="49">
        <f t="shared" ca="1" si="130"/>
        <v>34</v>
      </c>
      <c r="CM37" s="49">
        <f t="shared" ca="1" si="130"/>
        <v>23</v>
      </c>
      <c r="CN37" s="49">
        <f t="shared" ca="1" si="130"/>
        <v>41</v>
      </c>
      <c r="CO37" s="49">
        <f t="shared" ca="1" si="130"/>
        <v>45</v>
      </c>
      <c r="CP37" s="49">
        <f t="shared" ref="CP37:CY38" ca="1" si="131">RANDBETWEEN(20, 45)</f>
        <v>27</v>
      </c>
      <c r="CQ37" s="49">
        <f t="shared" ca="1" si="131"/>
        <v>29</v>
      </c>
      <c r="CR37" s="49">
        <f t="shared" ca="1" si="131"/>
        <v>23</v>
      </c>
      <c r="CS37" s="49">
        <f t="shared" ca="1" si="131"/>
        <v>38</v>
      </c>
      <c r="CT37" s="49">
        <f t="shared" ca="1" si="131"/>
        <v>21</v>
      </c>
      <c r="CU37" s="49">
        <f t="shared" ca="1" si="131"/>
        <v>36</v>
      </c>
      <c r="CV37" s="49">
        <f t="shared" ca="1" si="131"/>
        <v>35</v>
      </c>
      <c r="CW37" s="49">
        <f t="shared" ca="1" si="131"/>
        <v>24</v>
      </c>
      <c r="CX37" s="49">
        <f t="shared" ca="1" si="131"/>
        <v>39</v>
      </c>
      <c r="CY37" s="49">
        <f t="shared" ca="1" si="131"/>
        <v>31</v>
      </c>
      <c r="CZ37" s="49">
        <f t="shared" ref="CZ37:DN38" ca="1" si="132">RANDBETWEEN(20, 45)</f>
        <v>31</v>
      </c>
      <c r="DA37" s="49">
        <f t="shared" ca="1" si="132"/>
        <v>24</v>
      </c>
      <c r="DB37" s="49">
        <f t="shared" ca="1" si="132"/>
        <v>41</v>
      </c>
      <c r="DC37" s="49">
        <f t="shared" ca="1" si="132"/>
        <v>22</v>
      </c>
      <c r="DD37" s="49">
        <f t="shared" ca="1" si="132"/>
        <v>20</v>
      </c>
      <c r="DE37" s="49">
        <f t="shared" ca="1" si="132"/>
        <v>36</v>
      </c>
      <c r="DF37" s="49">
        <f t="shared" ca="1" si="132"/>
        <v>35</v>
      </c>
      <c r="DG37" s="49">
        <f t="shared" ca="1" si="132"/>
        <v>30</v>
      </c>
      <c r="DH37" s="49">
        <f t="shared" ca="1" si="132"/>
        <v>43</v>
      </c>
      <c r="DI37" s="49">
        <f t="shared" ca="1" si="132"/>
        <v>44</v>
      </c>
      <c r="DJ37" s="49">
        <f t="shared" ca="1" si="132"/>
        <v>36</v>
      </c>
      <c r="DK37" s="49">
        <f t="shared" ca="1" si="132"/>
        <v>32</v>
      </c>
      <c r="DL37" s="49">
        <f t="shared" ca="1" si="132"/>
        <v>39</v>
      </c>
      <c r="DM37" s="49">
        <f t="shared" ca="1" si="132"/>
        <v>27</v>
      </c>
      <c r="DN37" s="49">
        <f t="shared" ca="1" si="132"/>
        <v>29</v>
      </c>
      <c r="DO37" s="49">
        <f ca="1">RAND()+1</f>
        <v>1.0995636967000877</v>
      </c>
      <c r="DP37" s="49">
        <f t="shared" ref="DP37:ED38" ca="1" si="133">RANDBETWEEN(20, 45)</f>
        <v>40</v>
      </c>
      <c r="DQ37" s="49">
        <f t="shared" ca="1" si="133"/>
        <v>43</v>
      </c>
      <c r="DR37" s="49">
        <f t="shared" ca="1" si="133"/>
        <v>23</v>
      </c>
      <c r="DS37" s="49">
        <f t="shared" ca="1" si="133"/>
        <v>42</v>
      </c>
      <c r="DT37" s="49">
        <f t="shared" ca="1" si="133"/>
        <v>32</v>
      </c>
      <c r="DU37" s="49">
        <f t="shared" ca="1" si="133"/>
        <v>25</v>
      </c>
      <c r="DV37" s="49">
        <f t="shared" ca="1" si="133"/>
        <v>32</v>
      </c>
      <c r="DW37" s="49">
        <f t="shared" ca="1" si="133"/>
        <v>44</v>
      </c>
      <c r="DX37" s="49">
        <f t="shared" ca="1" si="133"/>
        <v>44</v>
      </c>
      <c r="DY37" s="49">
        <f t="shared" ca="1" si="133"/>
        <v>32</v>
      </c>
      <c r="DZ37" s="49">
        <f t="shared" ca="1" si="133"/>
        <v>22</v>
      </c>
      <c r="EA37" s="49">
        <f t="shared" ca="1" si="133"/>
        <v>30</v>
      </c>
      <c r="EB37" s="49">
        <f t="shared" ca="1" si="133"/>
        <v>22</v>
      </c>
      <c r="EC37" s="49">
        <f t="shared" ca="1" si="133"/>
        <v>22</v>
      </c>
      <c r="ED37" s="49">
        <f t="shared" ca="1" si="133"/>
        <v>25</v>
      </c>
      <c r="EE37" s="49">
        <f ca="1">RAND()</f>
        <v>0.79154233198839996</v>
      </c>
    </row>
    <row r="38" spans="1:135" x14ac:dyDescent="0.4">
      <c r="A38" s="29" t="str">
        <f t="shared" si="7"/>
        <v>KPI ID 31 R</v>
      </c>
      <c r="B38" s="47" t="s">
        <v>64</v>
      </c>
      <c r="C38" s="48" t="s">
        <v>33</v>
      </c>
      <c r="D38" s="49">
        <f t="shared" ca="1" si="122"/>
        <v>24</v>
      </c>
      <c r="E38" s="49">
        <f t="shared" ca="1" si="122"/>
        <v>42</v>
      </c>
      <c r="F38" s="49">
        <f t="shared" ca="1" si="122"/>
        <v>35</v>
      </c>
      <c r="G38" s="49">
        <f t="shared" ca="1" si="122"/>
        <v>20</v>
      </c>
      <c r="H38" s="49">
        <f t="shared" ca="1" si="122"/>
        <v>41</v>
      </c>
      <c r="I38" s="49">
        <f t="shared" ca="1" si="122"/>
        <v>42</v>
      </c>
      <c r="J38" s="49">
        <f t="shared" ca="1" si="122"/>
        <v>36</v>
      </c>
      <c r="K38" s="49">
        <f t="shared" ca="1" si="122"/>
        <v>33</v>
      </c>
      <c r="L38" s="49">
        <f t="shared" ca="1" si="122"/>
        <v>22</v>
      </c>
      <c r="M38" s="49">
        <f t="shared" ca="1" si="122"/>
        <v>41</v>
      </c>
      <c r="N38" s="49">
        <f t="shared" ca="1" si="123"/>
        <v>35</v>
      </c>
      <c r="O38" s="49">
        <f t="shared" ca="1" si="123"/>
        <v>43</v>
      </c>
      <c r="P38" s="49">
        <f t="shared" ca="1" si="123"/>
        <v>30</v>
      </c>
      <c r="Q38" s="49">
        <f t="shared" ca="1" si="123"/>
        <v>45</v>
      </c>
      <c r="R38" s="49">
        <f t="shared" ca="1" si="123"/>
        <v>42</v>
      </c>
      <c r="S38" s="49">
        <f t="shared" ca="1" si="123"/>
        <v>37</v>
      </c>
      <c r="T38" s="49">
        <f t="shared" ca="1" si="123"/>
        <v>30</v>
      </c>
      <c r="U38" s="49">
        <f t="shared" ca="1" si="123"/>
        <v>39</v>
      </c>
      <c r="V38" s="49">
        <f t="shared" ca="1" si="123"/>
        <v>23</v>
      </c>
      <c r="W38" s="49">
        <f t="shared" ca="1" si="123"/>
        <v>36</v>
      </c>
      <c r="X38" s="49">
        <f t="shared" ca="1" si="124"/>
        <v>41</v>
      </c>
      <c r="Y38" s="49">
        <f t="shared" ca="1" si="124"/>
        <v>43</v>
      </c>
      <c r="Z38" s="49">
        <f t="shared" ca="1" si="124"/>
        <v>38</v>
      </c>
      <c r="AA38" s="49">
        <f t="shared" ca="1" si="124"/>
        <v>40</v>
      </c>
      <c r="AB38" s="49">
        <f t="shared" ca="1" si="124"/>
        <v>22</v>
      </c>
      <c r="AC38" s="49">
        <f t="shared" ca="1" si="124"/>
        <v>20</v>
      </c>
      <c r="AD38" s="49">
        <f t="shared" ca="1" si="124"/>
        <v>33</v>
      </c>
      <c r="AE38" s="49">
        <f t="shared" ca="1" si="124"/>
        <v>35</v>
      </c>
      <c r="AF38" s="49">
        <f t="shared" ca="1" si="124"/>
        <v>21</v>
      </c>
      <c r="AG38" s="49">
        <f t="shared" ca="1" si="124"/>
        <v>42</v>
      </c>
      <c r="AH38" s="49">
        <f t="shared" ca="1" si="125"/>
        <v>45</v>
      </c>
      <c r="AI38" s="49">
        <f t="shared" ca="1" si="125"/>
        <v>44</v>
      </c>
      <c r="AJ38" s="49">
        <f t="shared" ca="1" si="125"/>
        <v>32</v>
      </c>
      <c r="AK38" s="49">
        <f t="shared" ca="1" si="125"/>
        <v>43</v>
      </c>
      <c r="AL38" s="49">
        <f t="shared" ca="1" si="125"/>
        <v>44</v>
      </c>
      <c r="AM38" s="49">
        <f t="shared" ca="1" si="125"/>
        <v>39</v>
      </c>
      <c r="AN38" s="49">
        <f t="shared" ca="1" si="125"/>
        <v>37</v>
      </c>
      <c r="AO38" s="49">
        <f t="shared" ca="1" si="125"/>
        <v>33</v>
      </c>
      <c r="AP38" s="49">
        <f t="shared" ca="1" si="125"/>
        <v>31</v>
      </c>
      <c r="AQ38" s="49">
        <f t="shared" ca="1" si="125"/>
        <v>21</v>
      </c>
      <c r="AR38" s="49">
        <f t="shared" ca="1" si="126"/>
        <v>40</v>
      </c>
      <c r="AS38" s="49">
        <f t="shared" ca="1" si="126"/>
        <v>42</v>
      </c>
      <c r="AT38" s="49">
        <f t="shared" ca="1" si="126"/>
        <v>37</v>
      </c>
      <c r="AU38" s="49">
        <f t="shared" ca="1" si="126"/>
        <v>39</v>
      </c>
      <c r="AV38" s="49">
        <f t="shared" ca="1" si="126"/>
        <v>37</v>
      </c>
      <c r="AW38" s="49">
        <f t="shared" ca="1" si="126"/>
        <v>29</v>
      </c>
      <c r="AX38" s="49">
        <f t="shared" ca="1" si="126"/>
        <v>44</v>
      </c>
      <c r="AY38" s="49">
        <f t="shared" ca="1" si="126"/>
        <v>26</v>
      </c>
      <c r="AZ38" s="49">
        <f t="shared" ca="1" si="126"/>
        <v>33</v>
      </c>
      <c r="BA38" s="49">
        <f t="shared" ca="1" si="126"/>
        <v>25</v>
      </c>
      <c r="BB38" s="49">
        <f t="shared" ca="1" si="127"/>
        <v>32</v>
      </c>
      <c r="BC38" s="49">
        <f t="shared" ca="1" si="127"/>
        <v>40</v>
      </c>
      <c r="BD38" s="49">
        <f t="shared" ca="1" si="127"/>
        <v>22</v>
      </c>
      <c r="BE38" s="49">
        <f t="shared" ca="1" si="127"/>
        <v>20</v>
      </c>
      <c r="BF38" s="49">
        <f t="shared" ca="1" si="127"/>
        <v>30</v>
      </c>
      <c r="BG38" s="49">
        <f t="shared" ca="1" si="127"/>
        <v>44</v>
      </c>
      <c r="BH38" s="49">
        <f t="shared" ca="1" si="127"/>
        <v>30</v>
      </c>
      <c r="BI38" s="49">
        <f t="shared" ca="1" si="127"/>
        <v>20</v>
      </c>
      <c r="BJ38" s="49">
        <f t="shared" ca="1" si="127"/>
        <v>44</v>
      </c>
      <c r="BK38" s="49">
        <f t="shared" ca="1" si="127"/>
        <v>30</v>
      </c>
      <c r="BL38" s="49">
        <f t="shared" ca="1" si="128"/>
        <v>24</v>
      </c>
      <c r="BM38" s="49">
        <f t="shared" ca="1" si="128"/>
        <v>38</v>
      </c>
      <c r="BN38" s="49">
        <f t="shared" ca="1" si="128"/>
        <v>36</v>
      </c>
      <c r="BO38" s="49">
        <f t="shared" ca="1" si="128"/>
        <v>43</v>
      </c>
      <c r="BP38" s="49">
        <f t="shared" ca="1" si="128"/>
        <v>35</v>
      </c>
      <c r="BQ38" s="49">
        <f t="shared" ca="1" si="128"/>
        <v>39</v>
      </c>
      <c r="BR38" s="49">
        <f t="shared" ca="1" si="128"/>
        <v>31</v>
      </c>
      <c r="BS38" s="49">
        <f t="shared" ca="1" si="128"/>
        <v>24</v>
      </c>
      <c r="BT38" s="49">
        <f t="shared" ca="1" si="128"/>
        <v>42</v>
      </c>
      <c r="BU38" s="49">
        <f t="shared" ca="1" si="128"/>
        <v>29</v>
      </c>
      <c r="BV38" s="49">
        <f t="shared" ca="1" si="129"/>
        <v>38</v>
      </c>
      <c r="BW38" s="49">
        <f t="shared" ca="1" si="129"/>
        <v>37</v>
      </c>
      <c r="BX38" s="49">
        <f t="shared" ca="1" si="129"/>
        <v>31</v>
      </c>
      <c r="BY38" s="49">
        <f t="shared" ca="1" si="129"/>
        <v>29</v>
      </c>
      <c r="BZ38" s="49">
        <f t="shared" ca="1" si="129"/>
        <v>21</v>
      </c>
      <c r="CA38" s="49">
        <f t="shared" ca="1" si="129"/>
        <v>40</v>
      </c>
      <c r="CB38" s="49">
        <f t="shared" ca="1" si="129"/>
        <v>26</v>
      </c>
      <c r="CC38" s="49">
        <f t="shared" ca="1" si="129"/>
        <v>36</v>
      </c>
      <c r="CD38" s="49">
        <f t="shared" ca="1" si="129"/>
        <v>42</v>
      </c>
      <c r="CE38" s="49">
        <f t="shared" ca="1" si="129"/>
        <v>29</v>
      </c>
      <c r="CF38" s="49">
        <f t="shared" ca="1" si="130"/>
        <v>28</v>
      </c>
      <c r="CG38" s="49">
        <f t="shared" ca="1" si="130"/>
        <v>35</v>
      </c>
      <c r="CH38" s="49">
        <f t="shared" ca="1" si="130"/>
        <v>20</v>
      </c>
      <c r="CI38" s="49">
        <f t="shared" ca="1" si="130"/>
        <v>36</v>
      </c>
      <c r="CJ38" s="49">
        <f t="shared" ca="1" si="130"/>
        <v>37</v>
      </c>
      <c r="CK38" s="49">
        <f t="shared" ca="1" si="130"/>
        <v>30</v>
      </c>
      <c r="CL38" s="49">
        <f t="shared" ca="1" si="130"/>
        <v>20</v>
      </c>
      <c r="CM38" s="49">
        <f t="shared" ca="1" si="130"/>
        <v>43</v>
      </c>
      <c r="CN38" s="49">
        <f t="shared" ca="1" si="130"/>
        <v>23</v>
      </c>
      <c r="CO38" s="49">
        <f t="shared" ca="1" si="130"/>
        <v>25</v>
      </c>
      <c r="CP38" s="49">
        <f t="shared" ca="1" si="131"/>
        <v>45</v>
      </c>
      <c r="CQ38" s="49">
        <f t="shared" ca="1" si="131"/>
        <v>32</v>
      </c>
      <c r="CR38" s="49">
        <f t="shared" ca="1" si="131"/>
        <v>29</v>
      </c>
      <c r="CS38" s="49">
        <f t="shared" ca="1" si="131"/>
        <v>26</v>
      </c>
      <c r="CT38" s="49">
        <f t="shared" ca="1" si="131"/>
        <v>22</v>
      </c>
      <c r="CU38" s="49">
        <f t="shared" ca="1" si="131"/>
        <v>31</v>
      </c>
      <c r="CV38" s="49">
        <f t="shared" ca="1" si="131"/>
        <v>40</v>
      </c>
      <c r="CW38" s="49">
        <f t="shared" ca="1" si="131"/>
        <v>41</v>
      </c>
      <c r="CX38" s="49">
        <f t="shared" ca="1" si="131"/>
        <v>24</v>
      </c>
      <c r="CY38" s="49">
        <f t="shared" ca="1" si="131"/>
        <v>45</v>
      </c>
      <c r="CZ38" s="49">
        <f t="shared" ca="1" si="132"/>
        <v>43</v>
      </c>
      <c r="DA38" s="49">
        <f t="shared" ca="1" si="132"/>
        <v>28</v>
      </c>
      <c r="DB38" s="49">
        <f t="shared" ca="1" si="132"/>
        <v>43</v>
      </c>
      <c r="DC38" s="49">
        <f t="shared" ca="1" si="132"/>
        <v>23</v>
      </c>
      <c r="DD38" s="49">
        <f t="shared" ca="1" si="132"/>
        <v>36</v>
      </c>
      <c r="DE38" s="49">
        <f t="shared" ca="1" si="132"/>
        <v>29</v>
      </c>
      <c r="DF38" s="49">
        <f t="shared" ca="1" si="132"/>
        <v>42</v>
      </c>
      <c r="DG38" s="49">
        <f t="shared" ca="1" si="132"/>
        <v>45</v>
      </c>
      <c r="DH38" s="49">
        <f t="shared" ca="1" si="132"/>
        <v>31</v>
      </c>
      <c r="DI38" s="49">
        <f t="shared" ca="1" si="132"/>
        <v>29</v>
      </c>
      <c r="DJ38" s="49">
        <f t="shared" ca="1" si="132"/>
        <v>28</v>
      </c>
      <c r="DK38" s="49">
        <f t="shared" ca="1" si="132"/>
        <v>32</v>
      </c>
      <c r="DL38" s="49">
        <f t="shared" ca="1" si="132"/>
        <v>20</v>
      </c>
      <c r="DM38" s="49">
        <f t="shared" ca="1" si="132"/>
        <v>22</v>
      </c>
      <c r="DN38" s="49">
        <f t="shared" ca="1" si="132"/>
        <v>40</v>
      </c>
      <c r="DO38" s="49">
        <f ca="1">RANDBETWEEN(20, 45)</f>
        <v>21</v>
      </c>
      <c r="DP38" s="49">
        <f t="shared" ca="1" si="133"/>
        <v>44</v>
      </c>
      <c r="DQ38" s="49">
        <f t="shared" ca="1" si="133"/>
        <v>35</v>
      </c>
      <c r="DR38" s="49">
        <f t="shared" ca="1" si="133"/>
        <v>41</v>
      </c>
      <c r="DS38" s="49">
        <f t="shared" ca="1" si="133"/>
        <v>36</v>
      </c>
      <c r="DT38" s="49">
        <f t="shared" ca="1" si="133"/>
        <v>31</v>
      </c>
      <c r="DU38" s="49">
        <f t="shared" ca="1" si="133"/>
        <v>34</v>
      </c>
      <c r="DV38" s="49">
        <f t="shared" ca="1" si="133"/>
        <v>40</v>
      </c>
      <c r="DW38" s="49">
        <f t="shared" ca="1" si="133"/>
        <v>39</v>
      </c>
      <c r="DX38" s="49">
        <f t="shared" ca="1" si="133"/>
        <v>29</v>
      </c>
      <c r="DY38" s="49">
        <f t="shared" ca="1" si="133"/>
        <v>38</v>
      </c>
      <c r="DZ38" s="49">
        <f t="shared" ca="1" si="133"/>
        <v>23</v>
      </c>
      <c r="EA38" s="49">
        <f t="shared" ca="1" si="133"/>
        <v>29</v>
      </c>
      <c r="EB38" s="49">
        <f t="shared" ca="1" si="133"/>
        <v>44</v>
      </c>
      <c r="EC38" s="49">
        <f t="shared" ca="1" si="133"/>
        <v>22</v>
      </c>
      <c r="ED38" s="49">
        <f t="shared" ca="1" si="133"/>
        <v>21</v>
      </c>
      <c r="EE38" s="49">
        <f ca="1">RANDBETWEEN(20, 45)</f>
        <v>45</v>
      </c>
    </row>
    <row r="39" spans="1:135" x14ac:dyDescent="0.4">
      <c r="A39" s="29" t="str">
        <f t="shared" si="7"/>
        <v>KPI ID 32</v>
      </c>
      <c r="B39" s="47" t="s">
        <v>64</v>
      </c>
      <c r="C39" s="48" t="s">
        <v>34</v>
      </c>
      <c r="D39" s="49" cm="1">
        <f t="array" aca="1" ref="D39" ca="1">_xlfn.RANDARRAY()</f>
        <v>0.34662402331213538</v>
      </c>
      <c r="E39" s="49" cm="1">
        <f t="array" aca="1" ref="E39" ca="1">_xlfn.RANDARRAY()</f>
        <v>0.22514754351119803</v>
      </c>
      <c r="F39" s="49" cm="1">
        <f t="array" aca="1" ref="F39" ca="1">_xlfn.RANDARRAY()</f>
        <v>0.98876860619212481</v>
      </c>
      <c r="G39" s="49" cm="1">
        <f t="array" aca="1" ref="G39" ca="1">_xlfn.RANDARRAY()</f>
        <v>0.72637909931462263</v>
      </c>
      <c r="H39" s="49" cm="1">
        <f t="array" aca="1" ref="H39" ca="1">_xlfn.RANDARRAY()</f>
        <v>0.23020271533368297</v>
      </c>
      <c r="I39" s="49" cm="1">
        <f t="array" aca="1" ref="I39" ca="1">_xlfn.RANDARRAY()</f>
        <v>0.13458380944750803</v>
      </c>
      <c r="J39" s="49" cm="1">
        <f t="array" aca="1" ref="J39" ca="1">_xlfn.RANDARRAY()</f>
        <v>8.6514177859550179E-2</v>
      </c>
      <c r="K39" s="49" cm="1">
        <f t="array" aca="1" ref="K39" ca="1">_xlfn.RANDARRAY()</f>
        <v>0.49359341649231636</v>
      </c>
      <c r="L39" s="49" cm="1">
        <f t="array" aca="1" ref="L39" ca="1">_xlfn.RANDARRAY()</f>
        <v>0.6504652578625234</v>
      </c>
      <c r="M39" s="49" cm="1">
        <f t="array" aca="1" ref="M39" ca="1">_xlfn.RANDARRAY()</f>
        <v>0.12400228199800045</v>
      </c>
      <c r="N39" s="49" cm="1">
        <f t="array" aca="1" ref="N39" ca="1">_xlfn.RANDARRAY()</f>
        <v>0.57046570705134703</v>
      </c>
      <c r="O39" s="49" cm="1">
        <f t="array" aca="1" ref="O39" ca="1">_xlfn.RANDARRAY()</f>
        <v>0.9170857441155511</v>
      </c>
      <c r="P39" s="49" cm="1">
        <f t="array" aca="1" ref="P39" ca="1">_xlfn.RANDARRAY()</f>
        <v>0.48848860277440798</v>
      </c>
      <c r="Q39" s="49" cm="1">
        <f t="array" aca="1" ref="Q39" ca="1">_xlfn.RANDARRAY()</f>
        <v>0.21947500987207214</v>
      </c>
      <c r="R39" s="49" cm="1">
        <f t="array" aca="1" ref="R39" ca="1">_xlfn.RANDARRAY()</f>
        <v>0.14147241879540529</v>
      </c>
      <c r="S39" s="49" cm="1">
        <f t="array" aca="1" ref="S39" ca="1">_xlfn.RANDARRAY()</f>
        <v>0.1919029870460176</v>
      </c>
      <c r="T39" s="49" cm="1">
        <f t="array" aca="1" ref="T39" ca="1">_xlfn.RANDARRAY()</f>
        <v>0.40105449868341014</v>
      </c>
      <c r="U39" s="49" cm="1">
        <f t="array" aca="1" ref="U39" ca="1">_xlfn.RANDARRAY()</f>
        <v>0.52559111012444837</v>
      </c>
      <c r="V39" s="49" cm="1">
        <f t="array" aca="1" ref="V39" ca="1">_xlfn.RANDARRAY()</f>
        <v>0.86898154153204832</v>
      </c>
      <c r="W39" s="49" cm="1">
        <f t="array" aca="1" ref="W39" ca="1">_xlfn.RANDARRAY()</f>
        <v>0.89347497505642925</v>
      </c>
      <c r="X39" s="49" cm="1">
        <f t="array" aca="1" ref="X39" ca="1">_xlfn.RANDARRAY()</f>
        <v>0.86549689820599562</v>
      </c>
      <c r="Y39" s="49" cm="1">
        <f t="array" aca="1" ref="Y39" ca="1">_xlfn.RANDARRAY()</f>
        <v>0.96508964798014141</v>
      </c>
      <c r="Z39" s="49" cm="1">
        <f t="array" aca="1" ref="Z39" ca="1">_xlfn.RANDARRAY()</f>
        <v>0.28900474667146714</v>
      </c>
      <c r="AA39" s="49" cm="1">
        <f t="array" aca="1" ref="AA39" ca="1">_xlfn.RANDARRAY()</f>
        <v>0.78243740633150871</v>
      </c>
      <c r="AB39" s="49" cm="1">
        <f t="array" aca="1" ref="AB39" ca="1">_xlfn.RANDARRAY()</f>
        <v>0.29809872302499207</v>
      </c>
      <c r="AC39" s="49" cm="1">
        <f t="array" aca="1" ref="AC39" ca="1">_xlfn.RANDARRAY()</f>
        <v>0.78068408620504659</v>
      </c>
      <c r="AD39" s="49" cm="1">
        <f t="array" aca="1" ref="AD39" ca="1">_xlfn.RANDARRAY()</f>
        <v>0.2718330604529835</v>
      </c>
      <c r="AE39" s="49" cm="1">
        <f t="array" aca="1" ref="AE39" ca="1">_xlfn.RANDARRAY()</f>
        <v>0.42939041361532393</v>
      </c>
      <c r="AF39" s="49" cm="1">
        <f t="array" aca="1" ref="AF39" ca="1">_xlfn.RANDARRAY()</f>
        <v>8.5104503162645395E-2</v>
      </c>
      <c r="AG39" s="49" cm="1">
        <f t="array" aca="1" ref="AG39" ca="1">_xlfn.RANDARRAY()</f>
        <v>3.5466311604183787E-2</v>
      </c>
      <c r="AH39" s="49" cm="1">
        <f t="array" aca="1" ref="AH39" ca="1">_xlfn.RANDARRAY()</f>
        <v>0.31598659530727624</v>
      </c>
      <c r="AI39" s="49" cm="1">
        <f t="array" aca="1" ref="AI39" ca="1">_xlfn.RANDARRAY()</f>
        <v>0.92723264197542132</v>
      </c>
      <c r="AJ39" s="49" cm="1">
        <f t="array" aca="1" ref="AJ39" ca="1">_xlfn.RANDARRAY()</f>
        <v>0.211699102099836</v>
      </c>
      <c r="AK39" s="49" cm="1">
        <f t="array" aca="1" ref="AK39" ca="1">_xlfn.RANDARRAY()</f>
        <v>0.57432699116208519</v>
      </c>
      <c r="AL39" s="49" cm="1">
        <f t="array" aca="1" ref="AL39" ca="1">_xlfn.RANDARRAY()</f>
        <v>0.4682105016547895</v>
      </c>
      <c r="AM39" s="49" cm="1">
        <f t="array" aca="1" ref="AM39" ca="1">_xlfn.RANDARRAY()</f>
        <v>1.2128313732502338E-2</v>
      </c>
      <c r="AN39" s="49" cm="1">
        <f t="array" aca="1" ref="AN39" ca="1">_xlfn.RANDARRAY()</f>
        <v>0.48593813514505646</v>
      </c>
      <c r="AO39" s="49" cm="1">
        <f t="array" aca="1" ref="AO39" ca="1">_xlfn.RANDARRAY()</f>
        <v>0.99762217564883882</v>
      </c>
      <c r="AP39" s="49" cm="1">
        <f t="array" aca="1" ref="AP39" ca="1">_xlfn.RANDARRAY()</f>
        <v>0.2695654136003236</v>
      </c>
      <c r="AQ39" s="49" cm="1">
        <f t="array" aca="1" ref="AQ39" ca="1">_xlfn.RANDARRAY()</f>
        <v>0.9135900410720097</v>
      </c>
      <c r="AR39" s="49" cm="1">
        <f t="array" aca="1" ref="AR39" ca="1">_xlfn.RANDARRAY()</f>
        <v>0.64457826626716508</v>
      </c>
      <c r="AS39" s="49" cm="1">
        <f t="array" aca="1" ref="AS39" ca="1">_xlfn.RANDARRAY()</f>
        <v>0.72116836727136779</v>
      </c>
      <c r="AT39" s="49" cm="1">
        <f t="array" aca="1" ref="AT39" ca="1">_xlfn.RANDARRAY()</f>
        <v>1.0329804054176606E-3</v>
      </c>
      <c r="AU39" s="49" cm="1">
        <f t="array" aca="1" ref="AU39" ca="1">_xlfn.RANDARRAY()</f>
        <v>0.20166851217326998</v>
      </c>
      <c r="AV39" s="49" cm="1">
        <f t="array" aca="1" ref="AV39" ca="1">_xlfn.RANDARRAY()</f>
        <v>8.1036871468323834E-2</v>
      </c>
      <c r="AW39" s="49" cm="1">
        <f t="array" aca="1" ref="AW39" ca="1">_xlfn.RANDARRAY()</f>
        <v>0.76318435622034175</v>
      </c>
      <c r="AX39" s="49" cm="1">
        <f t="array" aca="1" ref="AX39" ca="1">_xlfn.RANDARRAY()</f>
        <v>2.0703177197843869E-2</v>
      </c>
      <c r="AY39" s="49" cm="1">
        <f t="array" aca="1" ref="AY39" ca="1">_xlfn.RANDARRAY()</f>
        <v>0.41789241267734023</v>
      </c>
      <c r="AZ39" s="49" cm="1">
        <f t="array" aca="1" ref="AZ39" ca="1">_xlfn.RANDARRAY()</f>
        <v>0.95981667029936268</v>
      </c>
      <c r="BA39" s="49" cm="1">
        <f t="array" aca="1" ref="BA39" ca="1">_xlfn.RANDARRAY()</f>
        <v>0.30228311144220443</v>
      </c>
      <c r="BB39" s="49" cm="1">
        <f t="array" aca="1" ref="BB39" ca="1">_xlfn.RANDARRAY()</f>
        <v>0.19440392814505625</v>
      </c>
      <c r="BC39" s="49" cm="1">
        <f t="array" aca="1" ref="BC39" ca="1">_xlfn.RANDARRAY()</f>
        <v>0.92016228827506019</v>
      </c>
      <c r="BD39" s="49" cm="1">
        <f t="array" aca="1" ref="BD39" ca="1">_xlfn.RANDARRAY()</f>
        <v>0.47843454722865153</v>
      </c>
      <c r="BE39" s="49" cm="1">
        <f t="array" aca="1" ref="BE39" ca="1">_xlfn.RANDARRAY()</f>
        <v>6.7058063518413702E-2</v>
      </c>
      <c r="BF39" s="49" cm="1">
        <f t="array" aca="1" ref="BF39" ca="1">_xlfn.RANDARRAY()</f>
        <v>0.43507307543098728</v>
      </c>
      <c r="BG39" s="49" cm="1">
        <f t="array" aca="1" ref="BG39" ca="1">_xlfn.RANDARRAY()</f>
        <v>0.74849413947889354</v>
      </c>
      <c r="BH39" s="49" cm="1">
        <f t="array" aca="1" ref="BH39" ca="1">_xlfn.RANDARRAY()</f>
        <v>0.74032565159305275</v>
      </c>
      <c r="BI39" s="49" cm="1">
        <f t="array" aca="1" ref="BI39" ca="1">_xlfn.RANDARRAY()</f>
        <v>0.21174436752280723</v>
      </c>
      <c r="BJ39" s="49" cm="1">
        <f t="array" aca="1" ref="BJ39" ca="1">_xlfn.RANDARRAY()</f>
        <v>0.53281888979083614</v>
      </c>
      <c r="BK39" s="49" cm="1">
        <f t="array" aca="1" ref="BK39" ca="1">_xlfn.RANDARRAY()</f>
        <v>0.99826759170982116</v>
      </c>
      <c r="BL39" s="49" cm="1">
        <f t="array" aca="1" ref="BL39" ca="1">_xlfn.RANDARRAY()</f>
        <v>0.26615390585441889</v>
      </c>
      <c r="BM39" s="49" cm="1">
        <f t="array" aca="1" ref="BM39" ca="1">_xlfn.RANDARRAY()</f>
        <v>0.37990204576646236</v>
      </c>
      <c r="BN39" s="49" cm="1">
        <f t="array" aca="1" ref="BN39" ca="1">_xlfn.RANDARRAY()</f>
        <v>0.3798671764719701</v>
      </c>
      <c r="BO39" s="49" cm="1">
        <f t="array" aca="1" ref="BO39" ca="1">_xlfn.RANDARRAY()</f>
        <v>0.58342309908749335</v>
      </c>
      <c r="BP39" s="49" cm="1">
        <f t="array" aca="1" ref="BP39" ca="1">_xlfn.RANDARRAY()</f>
        <v>0.91341439013813863</v>
      </c>
      <c r="BQ39" s="49" cm="1">
        <f t="array" aca="1" ref="BQ39" ca="1">_xlfn.RANDARRAY()</f>
        <v>0.59458804508795615</v>
      </c>
      <c r="BR39" s="49" cm="1">
        <f t="array" aca="1" ref="BR39" ca="1">_xlfn.RANDARRAY()</f>
        <v>0.22817700635189597</v>
      </c>
      <c r="BS39" s="49" cm="1">
        <f t="array" aca="1" ref="BS39" ca="1">_xlfn.RANDARRAY()</f>
        <v>0.34366986662280286</v>
      </c>
      <c r="BT39" s="49" cm="1">
        <f t="array" aca="1" ref="BT39" ca="1">_xlfn.RANDARRAY()</f>
        <v>0.72891550889682866</v>
      </c>
      <c r="BU39" s="49" cm="1">
        <f t="array" aca="1" ref="BU39" ca="1">_xlfn.RANDARRAY()</f>
        <v>0.22193901332335919</v>
      </c>
      <c r="BV39" s="49" cm="1">
        <f t="array" aca="1" ref="BV39" ca="1">_xlfn.RANDARRAY()</f>
        <v>0.86635257378312769</v>
      </c>
      <c r="BW39" s="49" cm="1">
        <f t="array" aca="1" ref="BW39" ca="1">_xlfn.RANDARRAY()</f>
        <v>0.15136933406566344</v>
      </c>
      <c r="BX39" s="49" cm="1">
        <f t="array" aca="1" ref="BX39" ca="1">_xlfn.RANDARRAY()</f>
        <v>0.95740551260464235</v>
      </c>
      <c r="BY39" s="49" cm="1">
        <f t="array" aca="1" ref="BY39" ca="1">_xlfn.RANDARRAY()</f>
        <v>0.85871888976811617</v>
      </c>
      <c r="BZ39" s="49" cm="1">
        <f t="array" aca="1" ref="BZ39" ca="1">_xlfn.RANDARRAY()</f>
        <v>0.41572028294504992</v>
      </c>
      <c r="CA39" s="49" cm="1">
        <f t="array" aca="1" ref="CA39" ca="1">_xlfn.RANDARRAY()</f>
        <v>0.40359630575825189</v>
      </c>
      <c r="CB39" s="49" cm="1">
        <f t="array" aca="1" ref="CB39" ca="1">_xlfn.RANDARRAY()</f>
        <v>0.42515219070562194</v>
      </c>
      <c r="CC39" s="49" cm="1">
        <f t="array" aca="1" ref="CC39" ca="1">_xlfn.RANDARRAY()</f>
        <v>0.3962032353824223</v>
      </c>
      <c r="CD39" s="49" cm="1">
        <f t="array" aca="1" ref="CD39" ca="1">_xlfn.RANDARRAY()</f>
        <v>0.91763990966935571</v>
      </c>
      <c r="CE39" s="49" cm="1">
        <f t="array" aca="1" ref="CE39" ca="1">_xlfn.RANDARRAY()</f>
        <v>0.76458428622974939</v>
      </c>
      <c r="CF39" s="49" cm="1">
        <f t="array" aca="1" ref="CF39" ca="1">_xlfn.RANDARRAY()</f>
        <v>0.28330346607129719</v>
      </c>
      <c r="CG39" s="49" cm="1">
        <f t="array" aca="1" ref="CG39" ca="1">_xlfn.RANDARRAY()</f>
        <v>9.3678104926608885E-3</v>
      </c>
      <c r="CH39" s="49" cm="1">
        <f t="array" aca="1" ref="CH39" ca="1">_xlfn.RANDARRAY()</f>
        <v>0.53175267833627471</v>
      </c>
      <c r="CI39" s="49" cm="1">
        <f t="array" aca="1" ref="CI39" ca="1">_xlfn.RANDARRAY()</f>
        <v>0.52601921966134713</v>
      </c>
      <c r="CJ39" s="49" cm="1">
        <f t="array" aca="1" ref="CJ39" ca="1">_xlfn.RANDARRAY()</f>
        <v>0.74538826949274384</v>
      </c>
      <c r="CK39" s="49" cm="1">
        <f t="array" aca="1" ref="CK39" ca="1">_xlfn.RANDARRAY()</f>
        <v>0.84531781316422272</v>
      </c>
      <c r="CL39" s="49" cm="1">
        <f t="array" aca="1" ref="CL39" ca="1">_xlfn.RANDARRAY()</f>
        <v>0.37001974990664288</v>
      </c>
      <c r="CM39" s="49" cm="1">
        <f t="array" aca="1" ref="CM39" ca="1">_xlfn.RANDARRAY()</f>
        <v>0.20220653567759483</v>
      </c>
      <c r="CN39" s="49" cm="1">
        <f t="array" aca="1" ref="CN39" ca="1">_xlfn.RANDARRAY()</f>
        <v>0.66574990258965716</v>
      </c>
      <c r="CO39" s="49" cm="1">
        <f t="array" aca="1" ref="CO39" ca="1">_xlfn.RANDARRAY()</f>
        <v>0.44940563914663101</v>
      </c>
      <c r="CP39" s="49" cm="1">
        <f t="array" aca="1" ref="CP39" ca="1">_xlfn.RANDARRAY()</f>
        <v>0.47213557335072309</v>
      </c>
      <c r="CQ39" s="49" cm="1">
        <f t="array" aca="1" ref="CQ39" ca="1">_xlfn.RANDARRAY()</f>
        <v>0.52458073228310909</v>
      </c>
      <c r="CR39" s="49" cm="1">
        <f t="array" aca="1" ref="CR39" ca="1">_xlfn.RANDARRAY()</f>
        <v>0.70647894935415967</v>
      </c>
      <c r="CS39" s="49" cm="1">
        <f t="array" aca="1" ref="CS39" ca="1">_xlfn.RANDARRAY()</f>
        <v>0.70294921539584498</v>
      </c>
      <c r="CT39" s="49" cm="1">
        <f t="array" aca="1" ref="CT39" ca="1">_xlfn.RANDARRAY()</f>
        <v>0.32387115794557375</v>
      </c>
      <c r="CU39" s="49" cm="1">
        <f t="array" aca="1" ref="CU39" ca="1">_xlfn.RANDARRAY()</f>
        <v>0.54357307797385745</v>
      </c>
      <c r="CV39" s="49" cm="1">
        <f t="array" aca="1" ref="CV39" ca="1">_xlfn.RANDARRAY()</f>
        <v>0.10560629115577691</v>
      </c>
      <c r="CW39" s="49" cm="1">
        <f t="array" aca="1" ref="CW39" ca="1">_xlfn.RANDARRAY()</f>
        <v>0.29908311193549064</v>
      </c>
      <c r="CX39" s="49" cm="1">
        <f t="array" aca="1" ref="CX39" ca="1">_xlfn.RANDARRAY()</f>
        <v>0.6912104050092287</v>
      </c>
      <c r="CY39" s="49" cm="1">
        <f t="array" aca="1" ref="CY39" ca="1">_xlfn.RANDARRAY()</f>
        <v>0.44544511108378826</v>
      </c>
      <c r="CZ39" s="49" cm="1">
        <f t="array" aca="1" ref="CZ39" ca="1">_xlfn.RANDARRAY()</f>
        <v>0.32069514635733087</v>
      </c>
      <c r="DA39" s="49" cm="1">
        <f t="array" aca="1" ref="DA39" ca="1">_xlfn.RANDARRAY()</f>
        <v>5.7423298364913E-2</v>
      </c>
      <c r="DB39" s="49" cm="1">
        <f t="array" aca="1" ref="DB39" ca="1">_xlfn.RANDARRAY()</f>
        <v>0.84166186744418114</v>
      </c>
      <c r="DC39" s="49" cm="1">
        <f t="array" aca="1" ref="DC39" ca="1">_xlfn.RANDARRAY()</f>
        <v>0.39344806077913286</v>
      </c>
      <c r="DD39" s="49" cm="1">
        <f t="array" aca="1" ref="DD39" ca="1">_xlfn.RANDARRAY()</f>
        <v>9.667941027746374E-2</v>
      </c>
      <c r="DE39" s="49" cm="1">
        <f t="array" aca="1" ref="DE39" ca="1">_xlfn.RANDARRAY()</f>
        <v>0.19635718378755174</v>
      </c>
      <c r="DF39" s="49" cm="1">
        <f t="array" aca="1" ref="DF39" ca="1">_xlfn.RANDARRAY()</f>
        <v>0.41472981685660404</v>
      </c>
      <c r="DG39" s="49" cm="1">
        <f t="array" aca="1" ref="DG39" ca="1">_xlfn.RANDARRAY()</f>
        <v>0.94253913859237337</v>
      </c>
      <c r="DH39" s="49" cm="1">
        <f t="array" aca="1" ref="DH39" ca="1">_xlfn.RANDARRAY()</f>
        <v>0.11197677013596019</v>
      </c>
      <c r="DI39" s="49" cm="1">
        <f t="array" aca="1" ref="DI39" ca="1">_xlfn.RANDARRAY()</f>
        <v>0.43566484714367282</v>
      </c>
      <c r="DJ39" s="49" cm="1">
        <f t="array" aca="1" ref="DJ39" ca="1">_xlfn.RANDARRAY()</f>
        <v>0.71623358118295588</v>
      </c>
      <c r="DK39" s="49" cm="1">
        <f t="array" aca="1" ref="DK39" ca="1">_xlfn.RANDARRAY()</f>
        <v>0.2154526491593689</v>
      </c>
      <c r="DL39" s="49" cm="1">
        <f t="array" aca="1" ref="DL39" ca="1">_xlfn.RANDARRAY()</f>
        <v>0.70268317326591268</v>
      </c>
      <c r="DM39" s="49" cm="1">
        <f t="array" aca="1" ref="DM39" ca="1">_xlfn.RANDARRAY()</f>
        <v>0.91519160804777933</v>
      </c>
      <c r="DN39" s="49" cm="1">
        <f t="array" aca="1" ref="DN39" ca="1">_xlfn.RANDARRAY()</f>
        <v>0.16014871059336544</v>
      </c>
      <c r="DO39" s="49">
        <f ca="1">RANDBETWEEN(20, 45)</f>
        <v>38</v>
      </c>
      <c r="DP39" s="49" cm="1">
        <f t="array" aca="1" ref="DP39" ca="1">_xlfn.RANDARRAY()</f>
        <v>0.10357568916061632</v>
      </c>
      <c r="DQ39" s="49" cm="1">
        <f t="array" aca="1" ref="DQ39" ca="1">_xlfn.RANDARRAY()</f>
        <v>0.61565003662872209</v>
      </c>
      <c r="DR39" s="49" cm="1">
        <f t="array" aca="1" ref="DR39" ca="1">_xlfn.RANDARRAY()</f>
        <v>0.31186637780277815</v>
      </c>
      <c r="DS39" s="49" cm="1">
        <f t="array" aca="1" ref="DS39" ca="1">_xlfn.RANDARRAY()</f>
        <v>0.28034250508896963</v>
      </c>
      <c r="DT39" s="49" cm="1">
        <f t="array" aca="1" ref="DT39" ca="1">_xlfn.RANDARRAY()</f>
        <v>0.34644872620332179</v>
      </c>
      <c r="DU39" s="49" cm="1">
        <f t="array" aca="1" ref="DU39" ca="1">_xlfn.RANDARRAY()</f>
        <v>0.92745467011756277</v>
      </c>
      <c r="DV39" s="49" cm="1">
        <f t="array" aca="1" ref="DV39" ca="1">_xlfn.RANDARRAY()</f>
        <v>0.98765336560852113</v>
      </c>
      <c r="DW39" s="49" cm="1">
        <f t="array" aca="1" ref="DW39" ca="1">_xlfn.RANDARRAY()</f>
        <v>0.23460395595852224</v>
      </c>
      <c r="DX39" s="49" cm="1">
        <f t="array" aca="1" ref="DX39" ca="1">_xlfn.RANDARRAY()</f>
        <v>0.60130579665961914</v>
      </c>
      <c r="DY39" s="49" cm="1">
        <f t="array" aca="1" ref="DY39" ca="1">_xlfn.RANDARRAY()</f>
        <v>0.86042263226778704</v>
      </c>
      <c r="DZ39" s="49" cm="1">
        <f t="array" aca="1" ref="DZ39" ca="1">_xlfn.RANDARRAY()</f>
        <v>0.90382234841031384</v>
      </c>
      <c r="EA39" s="49" cm="1">
        <f t="array" aca="1" ref="EA39" ca="1">_xlfn.RANDARRAY()</f>
        <v>0.76225894163426089</v>
      </c>
      <c r="EB39" s="49" cm="1">
        <f t="array" aca="1" ref="EB39" ca="1">_xlfn.RANDARRAY()</f>
        <v>0.64617716117212942</v>
      </c>
      <c r="EC39" s="49" cm="1">
        <f t="array" aca="1" ref="EC39" ca="1">_xlfn.RANDARRAY()</f>
        <v>0.13477989380508149</v>
      </c>
      <c r="ED39" s="49" cm="1">
        <f t="array" aca="1" ref="ED39" ca="1">_xlfn.RANDARRAY()</f>
        <v>0.27388902472060228</v>
      </c>
      <c r="EE39" s="49" cm="1">
        <f t="array" aca="1" ref="EE39" ca="1">_xlfn.RANDARRAY()</f>
        <v>0.60208770751760676</v>
      </c>
    </row>
    <row r="40" spans="1:135" x14ac:dyDescent="0.4">
      <c r="A40" s="29" t="str">
        <f t="shared" si="7"/>
        <v/>
      </c>
      <c r="B40" s="34"/>
      <c r="C40" s="48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</row>
    <row r="41" spans="1:135" x14ac:dyDescent="0.4">
      <c r="A41" s="29" t="str">
        <f t="shared" si="7"/>
        <v/>
      </c>
      <c r="B41" s="34"/>
      <c r="C41" s="48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</row>
    <row r="42" spans="1:135" x14ac:dyDescent="0.4">
      <c r="A42" s="29" t="str">
        <f t="shared" si="7"/>
        <v/>
      </c>
      <c r="B42" s="34"/>
      <c r="C42" s="48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</row>
    <row r="43" spans="1:135" x14ac:dyDescent="0.4">
      <c r="A43" s="29" t="str">
        <f t="shared" si="7"/>
        <v/>
      </c>
      <c r="B43" s="34"/>
      <c r="C43" s="48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</row>
    <row r="44" spans="1:135" x14ac:dyDescent="0.4">
      <c r="A44" s="29" t="str">
        <f t="shared" si="7"/>
        <v/>
      </c>
      <c r="B44" s="34"/>
      <c r="C44" s="48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</row>
    <row r="45" spans="1:135" x14ac:dyDescent="0.4">
      <c r="A45" s="29" t="str">
        <f t="shared" si="7"/>
        <v/>
      </c>
      <c r="B45" s="34"/>
      <c r="C45" s="48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</row>
    <row r="46" spans="1:135" x14ac:dyDescent="0.4">
      <c r="A46" s="29" t="str">
        <f t="shared" si="7"/>
        <v/>
      </c>
      <c r="B46" s="34"/>
      <c r="C46" s="48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</row>
    <row r="47" spans="1:135" x14ac:dyDescent="0.4">
      <c r="A47" s="29" t="str">
        <f t="shared" si="7"/>
        <v/>
      </c>
      <c r="B47" s="34"/>
      <c r="C47" s="48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</row>
    <row r="48" spans="1:135" x14ac:dyDescent="0.4">
      <c r="A48" s="29" t="str">
        <f t="shared" si="7"/>
        <v/>
      </c>
      <c r="B48" s="34"/>
      <c r="C48" s="48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</row>
    <row r="49" spans="1:135" x14ac:dyDescent="0.4">
      <c r="A49" s="29" t="str">
        <f t="shared" si="7"/>
        <v/>
      </c>
      <c r="B49" s="34"/>
      <c r="C49" s="48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</row>
    <row r="50" spans="1:135" x14ac:dyDescent="0.4">
      <c r="A50" s="29" t="str">
        <f t="shared" si="7"/>
        <v/>
      </c>
      <c r="B50" s="34"/>
      <c r="C50" s="48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</row>
    <row r="51" spans="1:135" x14ac:dyDescent="0.4">
      <c r="A51" s="29" t="str">
        <f t="shared" si="7"/>
        <v/>
      </c>
      <c r="B51" s="34"/>
      <c r="C51" s="48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</row>
    <row r="52" spans="1:135" x14ac:dyDescent="0.4">
      <c r="A52" s="29" t="str">
        <f t="shared" si="7"/>
        <v/>
      </c>
      <c r="B52" s="34"/>
      <c r="C52" s="48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</row>
    <row r="53" spans="1:135" x14ac:dyDescent="0.4">
      <c r="A53" s="29" t="str">
        <f t="shared" si="7"/>
        <v/>
      </c>
      <c r="B53" s="34"/>
      <c r="C53" s="48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</row>
    <row r="54" spans="1:135" x14ac:dyDescent="0.4">
      <c r="A54" s="29" t="str">
        <f t="shared" si="7"/>
        <v/>
      </c>
      <c r="B54" s="34"/>
      <c r="C54" s="48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</row>
    <row r="55" spans="1:135" x14ac:dyDescent="0.4">
      <c r="A55" s="29" t="str">
        <f t="shared" si="7"/>
        <v/>
      </c>
      <c r="B55" s="34"/>
      <c r="C55" s="48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</row>
    <row r="56" spans="1:135" x14ac:dyDescent="0.4">
      <c r="A56" s="29" t="str">
        <f t="shared" si="7"/>
        <v/>
      </c>
      <c r="B56" s="34"/>
      <c r="C56" s="48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</row>
    <row r="57" spans="1:135" x14ac:dyDescent="0.4">
      <c r="A57" s="29" t="str">
        <f t="shared" si="7"/>
        <v/>
      </c>
      <c r="B57" s="34"/>
      <c r="C57" s="48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</row>
    <row r="58" spans="1:135" x14ac:dyDescent="0.4">
      <c r="A58" s="29" t="str">
        <f t="shared" si="7"/>
        <v/>
      </c>
      <c r="B58" s="34"/>
      <c r="C58" s="48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</row>
    <row r="59" spans="1:135" x14ac:dyDescent="0.4">
      <c r="A59" s="29" t="str">
        <f t="shared" si="7"/>
        <v/>
      </c>
      <c r="B59" s="34"/>
      <c r="C59" s="48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</row>
    <row r="60" spans="1:135" x14ac:dyDescent="0.4">
      <c r="A60" s="29" t="str">
        <f t="shared" si="7"/>
        <v/>
      </c>
      <c r="B60" s="34"/>
      <c r="C60" s="48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</row>
    <row r="61" spans="1:135" x14ac:dyDescent="0.4">
      <c r="A61" s="29" t="str">
        <f t="shared" si="7"/>
        <v/>
      </c>
      <c r="B61" s="34"/>
      <c r="C61" s="48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</row>
    <row r="62" spans="1:135" x14ac:dyDescent="0.4">
      <c r="A62" s="29" t="str">
        <f t="shared" si="7"/>
        <v/>
      </c>
      <c r="B62" s="34"/>
      <c r="C62" s="48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</row>
    <row r="63" spans="1:135" x14ac:dyDescent="0.4">
      <c r="A63" s="29" t="str">
        <f t="shared" si="7"/>
        <v/>
      </c>
      <c r="B63" s="34"/>
      <c r="C63" s="48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</row>
    <row r="64" spans="1:135" x14ac:dyDescent="0.4">
      <c r="A64" s="29" t="str">
        <f t="shared" si="7"/>
        <v/>
      </c>
      <c r="B64" s="34"/>
      <c r="C64" s="48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</row>
    <row r="65" spans="1:135" x14ac:dyDescent="0.4">
      <c r="A65" s="29" t="str">
        <f t="shared" si="7"/>
        <v/>
      </c>
      <c r="B65" s="34"/>
      <c r="C65" s="48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</row>
    <row r="66" spans="1:135" x14ac:dyDescent="0.4">
      <c r="A66" s="29" t="str">
        <f t="shared" si="7"/>
        <v/>
      </c>
      <c r="B66" s="34"/>
      <c r="C66" s="48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</row>
    <row r="67" spans="1:135" x14ac:dyDescent="0.4">
      <c r="A67" s="29" t="str">
        <f t="shared" si="7"/>
        <v/>
      </c>
      <c r="B67" s="34"/>
      <c r="C67" s="48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</row>
    <row r="68" spans="1:135" x14ac:dyDescent="0.4">
      <c r="A68" s="29" t="str">
        <f t="shared" si="7"/>
        <v/>
      </c>
      <c r="B68" s="34"/>
      <c r="C68" s="48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</row>
    <row r="69" spans="1:135" x14ac:dyDescent="0.4">
      <c r="A69" s="29" t="str">
        <f t="shared" si="7"/>
        <v/>
      </c>
      <c r="B69" s="34"/>
      <c r="C69" s="48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</row>
    <row r="70" spans="1:135" x14ac:dyDescent="0.4">
      <c r="A70" s="29" t="str">
        <f t="shared" si="7"/>
        <v/>
      </c>
      <c r="B70" s="34"/>
      <c r="C70" s="48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</row>
    <row r="71" spans="1:135" x14ac:dyDescent="0.4">
      <c r="A71" s="29" t="str">
        <f t="shared" si="7"/>
        <v/>
      </c>
      <c r="B71" s="34"/>
      <c r="C71" s="48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</row>
    <row r="72" spans="1:135" x14ac:dyDescent="0.4">
      <c r="A72" s="29" t="str">
        <f t="shared" si="7"/>
        <v/>
      </c>
      <c r="B72" s="34"/>
      <c r="C72" s="48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</row>
    <row r="73" spans="1:135" x14ac:dyDescent="0.4">
      <c r="A73" s="29" t="str">
        <f t="shared" ref="A73:A136" si="134">IF(ISBLANK(C73), "", C73)</f>
        <v/>
      </c>
      <c r="B73" s="34"/>
      <c r="C73" s="48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</row>
    <row r="74" spans="1:135" x14ac:dyDescent="0.4">
      <c r="A74" s="29" t="str">
        <f t="shared" si="134"/>
        <v/>
      </c>
      <c r="B74" s="34"/>
      <c r="C74" s="48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</row>
    <row r="75" spans="1:135" x14ac:dyDescent="0.4">
      <c r="A75" s="29" t="str">
        <f t="shared" si="134"/>
        <v/>
      </c>
      <c r="B75" s="34"/>
      <c r="C75" s="48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</row>
    <row r="76" spans="1:135" x14ac:dyDescent="0.4">
      <c r="A76" s="29" t="str">
        <f t="shared" si="134"/>
        <v/>
      </c>
      <c r="B76" s="34"/>
      <c r="C76" s="48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</row>
    <row r="77" spans="1:135" x14ac:dyDescent="0.4">
      <c r="A77" s="29" t="str">
        <f t="shared" si="134"/>
        <v/>
      </c>
      <c r="B77" s="34"/>
      <c r="C77" s="48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</row>
    <row r="78" spans="1:135" x14ac:dyDescent="0.4">
      <c r="A78" s="29" t="str">
        <f t="shared" si="134"/>
        <v/>
      </c>
      <c r="B78" s="34"/>
      <c r="C78" s="48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</row>
    <row r="79" spans="1:135" x14ac:dyDescent="0.4">
      <c r="A79" s="29" t="str">
        <f t="shared" si="134"/>
        <v/>
      </c>
      <c r="B79" s="34"/>
      <c r="C79" s="48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</row>
    <row r="80" spans="1:135" x14ac:dyDescent="0.4">
      <c r="A80" s="29" t="str">
        <f t="shared" si="134"/>
        <v/>
      </c>
      <c r="B80" s="34"/>
      <c r="C80" s="48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</row>
    <row r="81" spans="1:135" x14ac:dyDescent="0.4">
      <c r="A81" s="29" t="str">
        <f t="shared" si="134"/>
        <v/>
      </c>
      <c r="B81" s="34"/>
      <c r="C81" s="48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</row>
    <row r="82" spans="1:135" x14ac:dyDescent="0.4">
      <c r="A82" s="29" t="str">
        <f t="shared" si="134"/>
        <v/>
      </c>
      <c r="B82" s="34"/>
      <c r="C82" s="48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</row>
    <row r="83" spans="1:135" x14ac:dyDescent="0.4">
      <c r="A83" s="29" t="str">
        <f t="shared" si="134"/>
        <v/>
      </c>
      <c r="B83" s="34"/>
      <c r="C83" s="48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</row>
    <row r="84" spans="1:135" x14ac:dyDescent="0.4">
      <c r="A84" s="29" t="str">
        <f t="shared" si="134"/>
        <v/>
      </c>
      <c r="B84" s="34"/>
      <c r="C84" s="48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</row>
    <row r="85" spans="1:135" x14ac:dyDescent="0.4">
      <c r="A85" s="29" t="str">
        <f t="shared" si="134"/>
        <v/>
      </c>
      <c r="B85" s="34"/>
      <c r="C85" s="48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</row>
    <row r="86" spans="1:135" x14ac:dyDescent="0.4">
      <c r="A86" s="29" t="str">
        <f t="shared" si="134"/>
        <v/>
      </c>
      <c r="B86" s="34"/>
      <c r="C86" s="48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</row>
    <row r="87" spans="1:135" x14ac:dyDescent="0.4">
      <c r="A87" s="29" t="str">
        <f t="shared" si="134"/>
        <v/>
      </c>
      <c r="B87" s="34"/>
      <c r="C87" s="48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</row>
    <row r="88" spans="1:135" x14ac:dyDescent="0.4">
      <c r="A88" s="29" t="str">
        <f t="shared" si="134"/>
        <v/>
      </c>
      <c r="B88" s="34"/>
      <c r="C88" s="48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</row>
    <row r="89" spans="1:135" x14ac:dyDescent="0.4">
      <c r="A89" s="29" t="str">
        <f t="shared" si="134"/>
        <v/>
      </c>
      <c r="B89" s="34"/>
      <c r="C89" s="48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</row>
    <row r="90" spans="1:135" x14ac:dyDescent="0.4">
      <c r="A90" s="29" t="str">
        <f t="shared" si="134"/>
        <v/>
      </c>
      <c r="B90" s="34"/>
      <c r="C90" s="48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</row>
    <row r="91" spans="1:135" x14ac:dyDescent="0.4">
      <c r="A91" s="29" t="str">
        <f t="shared" si="134"/>
        <v/>
      </c>
      <c r="B91" s="34"/>
      <c r="C91" s="48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</row>
    <row r="92" spans="1:135" x14ac:dyDescent="0.4">
      <c r="A92" s="29" t="str">
        <f t="shared" si="134"/>
        <v/>
      </c>
      <c r="B92" s="34"/>
      <c r="C92" s="48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</row>
    <row r="93" spans="1:135" x14ac:dyDescent="0.4">
      <c r="A93" s="29" t="str">
        <f t="shared" si="134"/>
        <v/>
      </c>
      <c r="B93" s="34"/>
      <c r="C93" s="48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</row>
    <row r="94" spans="1:135" x14ac:dyDescent="0.4">
      <c r="A94" s="29" t="str">
        <f t="shared" si="134"/>
        <v/>
      </c>
      <c r="B94" s="34"/>
      <c r="C94" s="48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</row>
    <row r="95" spans="1:135" x14ac:dyDescent="0.4">
      <c r="A95" s="29" t="str">
        <f t="shared" si="134"/>
        <v/>
      </c>
      <c r="B95" s="34"/>
      <c r="C95" s="48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</row>
    <row r="96" spans="1:135" x14ac:dyDescent="0.4">
      <c r="A96" s="29" t="str">
        <f t="shared" si="134"/>
        <v/>
      </c>
      <c r="B96" s="34"/>
      <c r="C96" s="48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</row>
    <row r="97" spans="1:135" x14ac:dyDescent="0.4">
      <c r="A97" s="29" t="str">
        <f t="shared" si="134"/>
        <v/>
      </c>
      <c r="B97" s="34"/>
      <c r="C97" s="48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</row>
    <row r="98" spans="1:135" x14ac:dyDescent="0.4">
      <c r="A98" s="29" t="str">
        <f t="shared" si="134"/>
        <v/>
      </c>
      <c r="B98" s="34"/>
      <c r="C98" s="48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</row>
    <row r="99" spans="1:135" x14ac:dyDescent="0.4">
      <c r="A99" s="29" t="str">
        <f t="shared" si="134"/>
        <v/>
      </c>
      <c r="B99" s="34"/>
      <c r="C99" s="48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</row>
    <row r="100" spans="1:135" x14ac:dyDescent="0.4">
      <c r="A100" s="29" t="str">
        <f t="shared" si="134"/>
        <v/>
      </c>
      <c r="B100" s="34"/>
      <c r="C100" s="48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</row>
    <row r="101" spans="1:135" x14ac:dyDescent="0.4">
      <c r="A101" s="29" t="str">
        <f t="shared" si="134"/>
        <v/>
      </c>
      <c r="B101" s="34"/>
      <c r="C101" s="48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</row>
    <row r="102" spans="1:135" x14ac:dyDescent="0.4">
      <c r="A102" s="29" t="str">
        <f t="shared" si="134"/>
        <v/>
      </c>
      <c r="B102" s="34"/>
      <c r="C102" s="48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</row>
    <row r="103" spans="1:135" x14ac:dyDescent="0.4">
      <c r="A103" s="29" t="str">
        <f t="shared" si="134"/>
        <v/>
      </c>
      <c r="B103" s="34"/>
      <c r="C103" s="48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</row>
    <row r="104" spans="1:135" x14ac:dyDescent="0.4">
      <c r="A104" s="29" t="str">
        <f t="shared" si="134"/>
        <v/>
      </c>
      <c r="B104" s="34"/>
      <c r="C104" s="48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</row>
    <row r="105" spans="1:135" x14ac:dyDescent="0.4">
      <c r="A105" s="29" t="str">
        <f t="shared" si="134"/>
        <v/>
      </c>
      <c r="B105" s="34"/>
      <c r="C105" s="48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</row>
    <row r="106" spans="1:135" x14ac:dyDescent="0.4">
      <c r="A106" s="29" t="str">
        <f t="shared" si="134"/>
        <v/>
      </c>
      <c r="B106" s="34"/>
      <c r="C106" s="48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</row>
    <row r="107" spans="1:135" x14ac:dyDescent="0.4">
      <c r="A107" s="29" t="str">
        <f t="shared" si="134"/>
        <v/>
      </c>
      <c r="B107" s="34"/>
      <c r="C107" s="48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</row>
    <row r="108" spans="1:135" x14ac:dyDescent="0.4">
      <c r="A108" s="29" t="str">
        <f t="shared" si="134"/>
        <v/>
      </c>
      <c r="B108" s="34"/>
      <c r="C108" s="48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</row>
    <row r="109" spans="1:135" x14ac:dyDescent="0.4">
      <c r="A109" s="29" t="str">
        <f t="shared" si="134"/>
        <v/>
      </c>
      <c r="B109" s="34"/>
      <c r="C109" s="48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</row>
    <row r="110" spans="1:135" x14ac:dyDescent="0.4">
      <c r="A110" s="29" t="str">
        <f t="shared" si="134"/>
        <v/>
      </c>
      <c r="B110" s="34"/>
      <c r="C110" s="48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</row>
    <row r="111" spans="1:135" x14ac:dyDescent="0.4">
      <c r="A111" s="29" t="str">
        <f t="shared" si="134"/>
        <v/>
      </c>
      <c r="B111" s="34"/>
      <c r="C111" s="48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</row>
    <row r="112" spans="1:135" x14ac:dyDescent="0.4">
      <c r="A112" s="29" t="str">
        <f t="shared" si="134"/>
        <v/>
      </c>
      <c r="B112" s="34"/>
      <c r="C112" s="48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</row>
    <row r="113" spans="1:135" x14ac:dyDescent="0.4">
      <c r="A113" s="29" t="str">
        <f t="shared" si="134"/>
        <v/>
      </c>
      <c r="B113" s="34"/>
      <c r="C113" s="48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</row>
    <row r="114" spans="1:135" x14ac:dyDescent="0.4">
      <c r="A114" s="29" t="str">
        <f t="shared" si="134"/>
        <v/>
      </c>
      <c r="B114" s="34"/>
      <c r="C114" s="48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</row>
    <row r="115" spans="1:135" x14ac:dyDescent="0.4">
      <c r="A115" s="29" t="str">
        <f t="shared" si="134"/>
        <v/>
      </c>
      <c r="B115" s="34"/>
      <c r="C115" s="48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</row>
    <row r="116" spans="1:135" x14ac:dyDescent="0.4">
      <c r="A116" s="29" t="str">
        <f t="shared" si="134"/>
        <v/>
      </c>
      <c r="B116" s="34"/>
      <c r="C116" s="48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</row>
    <row r="117" spans="1:135" x14ac:dyDescent="0.4">
      <c r="A117" s="29" t="str">
        <f t="shared" si="134"/>
        <v/>
      </c>
      <c r="B117" s="34"/>
      <c r="C117" s="48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</row>
    <row r="118" spans="1:135" x14ac:dyDescent="0.4">
      <c r="A118" s="29" t="str">
        <f t="shared" si="134"/>
        <v/>
      </c>
      <c r="B118" s="34"/>
      <c r="C118" s="48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</row>
    <row r="119" spans="1:135" x14ac:dyDescent="0.4">
      <c r="A119" s="29" t="str">
        <f t="shared" si="134"/>
        <v/>
      </c>
      <c r="B119" s="34"/>
      <c r="C119" s="48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</row>
    <row r="120" spans="1:135" x14ac:dyDescent="0.4">
      <c r="A120" s="29" t="str">
        <f t="shared" si="134"/>
        <v/>
      </c>
      <c r="B120" s="34"/>
      <c r="C120" s="48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</row>
    <row r="121" spans="1:135" x14ac:dyDescent="0.4">
      <c r="A121" s="29" t="str">
        <f t="shared" si="134"/>
        <v/>
      </c>
      <c r="B121" s="34"/>
      <c r="C121" s="48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</row>
    <row r="122" spans="1:135" x14ac:dyDescent="0.4">
      <c r="A122" s="29" t="str">
        <f t="shared" si="134"/>
        <v/>
      </c>
      <c r="B122" s="34"/>
      <c r="C122" s="48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</row>
    <row r="123" spans="1:135" x14ac:dyDescent="0.4">
      <c r="A123" s="29" t="str">
        <f t="shared" si="134"/>
        <v/>
      </c>
      <c r="B123" s="34"/>
      <c r="C123" s="48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</row>
    <row r="124" spans="1:135" x14ac:dyDescent="0.4">
      <c r="A124" s="29" t="str">
        <f t="shared" si="134"/>
        <v/>
      </c>
      <c r="B124" s="34"/>
      <c r="C124" s="48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</row>
    <row r="125" spans="1:135" x14ac:dyDescent="0.4">
      <c r="A125" s="29" t="str">
        <f t="shared" si="134"/>
        <v/>
      </c>
      <c r="B125" s="34"/>
      <c r="C125" s="48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</row>
    <row r="126" spans="1:135" x14ac:dyDescent="0.4">
      <c r="A126" s="29" t="str">
        <f t="shared" si="134"/>
        <v/>
      </c>
      <c r="B126" s="34"/>
      <c r="C126" s="48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</row>
    <row r="127" spans="1:135" x14ac:dyDescent="0.4">
      <c r="A127" s="29" t="str">
        <f t="shared" si="134"/>
        <v/>
      </c>
      <c r="B127" s="34"/>
      <c r="C127" s="48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</row>
    <row r="128" spans="1:135" x14ac:dyDescent="0.4">
      <c r="A128" s="29" t="str">
        <f t="shared" si="134"/>
        <v/>
      </c>
      <c r="B128" s="34"/>
      <c r="C128" s="48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</row>
    <row r="129" spans="1:135" x14ac:dyDescent="0.4">
      <c r="A129" s="29" t="str">
        <f t="shared" si="134"/>
        <v/>
      </c>
      <c r="B129" s="34"/>
      <c r="C129" s="48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</row>
    <row r="130" spans="1:135" x14ac:dyDescent="0.4">
      <c r="A130" s="29" t="str">
        <f t="shared" si="134"/>
        <v/>
      </c>
      <c r="B130" s="34"/>
      <c r="C130" s="48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</row>
    <row r="131" spans="1:135" x14ac:dyDescent="0.4">
      <c r="A131" s="29" t="str">
        <f t="shared" si="134"/>
        <v/>
      </c>
      <c r="B131" s="34"/>
      <c r="C131" s="48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</row>
    <row r="132" spans="1:135" x14ac:dyDescent="0.4">
      <c r="A132" s="29" t="str">
        <f t="shared" si="134"/>
        <v/>
      </c>
      <c r="B132" s="34"/>
      <c r="C132" s="48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</row>
    <row r="133" spans="1:135" x14ac:dyDescent="0.4">
      <c r="A133" s="29" t="str">
        <f t="shared" si="134"/>
        <v/>
      </c>
      <c r="B133" s="34"/>
      <c r="C133" s="48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</row>
    <row r="134" spans="1:135" x14ac:dyDescent="0.4">
      <c r="A134" s="29" t="str">
        <f t="shared" si="134"/>
        <v/>
      </c>
      <c r="B134" s="34"/>
      <c r="C134" s="48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</row>
    <row r="135" spans="1:135" x14ac:dyDescent="0.4">
      <c r="A135" s="29" t="str">
        <f t="shared" si="134"/>
        <v/>
      </c>
      <c r="B135" s="34"/>
      <c r="C135" s="48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</row>
    <row r="136" spans="1:135" x14ac:dyDescent="0.4">
      <c r="A136" s="29" t="str">
        <f t="shared" si="134"/>
        <v/>
      </c>
      <c r="B136" s="34"/>
      <c r="C136" s="48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</row>
    <row r="137" spans="1:135" x14ac:dyDescent="0.4">
      <c r="A137" s="29" t="str">
        <f t="shared" ref="A137:A200" si="135">IF(ISBLANK(C137), "", C137)</f>
        <v/>
      </c>
      <c r="B137" s="34"/>
      <c r="C137" s="48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</row>
    <row r="138" spans="1:135" x14ac:dyDescent="0.4">
      <c r="A138" s="29" t="str">
        <f t="shared" si="135"/>
        <v/>
      </c>
      <c r="B138" s="34"/>
      <c r="C138" s="48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</row>
    <row r="139" spans="1:135" x14ac:dyDescent="0.4">
      <c r="A139" s="29" t="str">
        <f t="shared" si="135"/>
        <v/>
      </c>
      <c r="B139" s="34"/>
      <c r="C139" s="48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</row>
    <row r="140" spans="1:135" x14ac:dyDescent="0.4">
      <c r="A140" s="29" t="str">
        <f t="shared" si="135"/>
        <v/>
      </c>
      <c r="B140" s="34"/>
      <c r="C140" s="48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</row>
    <row r="141" spans="1:135" x14ac:dyDescent="0.4">
      <c r="A141" s="29" t="str">
        <f t="shared" si="135"/>
        <v/>
      </c>
      <c r="B141" s="34"/>
      <c r="C141" s="48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</row>
    <row r="142" spans="1:135" x14ac:dyDescent="0.4">
      <c r="A142" s="29" t="str">
        <f t="shared" si="135"/>
        <v/>
      </c>
      <c r="B142" s="34"/>
      <c r="C142" s="48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</row>
    <row r="143" spans="1:135" x14ac:dyDescent="0.4">
      <c r="A143" s="29" t="str">
        <f t="shared" si="135"/>
        <v/>
      </c>
      <c r="B143" s="34"/>
      <c r="C143" s="48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</row>
    <row r="144" spans="1:135" x14ac:dyDescent="0.4">
      <c r="A144" s="29" t="str">
        <f t="shared" si="135"/>
        <v/>
      </c>
      <c r="B144" s="34"/>
      <c r="C144" s="48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</row>
    <row r="145" spans="1:135" x14ac:dyDescent="0.4">
      <c r="A145" s="29" t="str">
        <f t="shared" si="135"/>
        <v/>
      </c>
      <c r="B145" s="34"/>
      <c r="C145" s="48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</row>
    <row r="146" spans="1:135" x14ac:dyDescent="0.4">
      <c r="A146" s="29" t="str">
        <f t="shared" si="135"/>
        <v/>
      </c>
      <c r="B146" s="34"/>
      <c r="C146" s="48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</row>
    <row r="147" spans="1:135" x14ac:dyDescent="0.4">
      <c r="A147" s="29" t="str">
        <f t="shared" si="135"/>
        <v/>
      </c>
      <c r="B147" s="34"/>
      <c r="C147" s="48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</row>
    <row r="148" spans="1:135" x14ac:dyDescent="0.4">
      <c r="A148" s="29" t="str">
        <f t="shared" si="135"/>
        <v/>
      </c>
      <c r="B148" s="34"/>
      <c r="C148" s="48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</row>
    <row r="149" spans="1:135" x14ac:dyDescent="0.4">
      <c r="A149" s="29" t="str">
        <f t="shared" si="135"/>
        <v/>
      </c>
      <c r="B149" s="34"/>
      <c r="C149" s="48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</row>
    <row r="150" spans="1:135" x14ac:dyDescent="0.4">
      <c r="A150" s="29" t="str">
        <f t="shared" si="135"/>
        <v/>
      </c>
      <c r="B150" s="34"/>
      <c r="C150" s="48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</row>
    <row r="151" spans="1:135" x14ac:dyDescent="0.4">
      <c r="A151" s="29" t="str">
        <f t="shared" si="135"/>
        <v/>
      </c>
      <c r="B151" s="34"/>
      <c r="C151" s="48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</row>
    <row r="152" spans="1:135" x14ac:dyDescent="0.4">
      <c r="A152" s="29" t="str">
        <f t="shared" si="135"/>
        <v/>
      </c>
      <c r="B152" s="34"/>
      <c r="C152" s="48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</row>
    <row r="153" spans="1:135" x14ac:dyDescent="0.4">
      <c r="A153" s="29" t="str">
        <f t="shared" si="135"/>
        <v/>
      </c>
      <c r="B153" s="34"/>
      <c r="C153" s="48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</row>
    <row r="154" spans="1:135" x14ac:dyDescent="0.4">
      <c r="A154" s="29" t="str">
        <f t="shared" si="135"/>
        <v/>
      </c>
      <c r="B154" s="34"/>
      <c r="C154" s="48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</row>
    <row r="155" spans="1:135" x14ac:dyDescent="0.4">
      <c r="A155" s="29" t="str">
        <f t="shared" si="135"/>
        <v/>
      </c>
      <c r="B155" s="34"/>
      <c r="C155" s="48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</row>
    <row r="156" spans="1:135" x14ac:dyDescent="0.4">
      <c r="A156" s="29" t="str">
        <f t="shared" si="135"/>
        <v/>
      </c>
      <c r="B156" s="34"/>
      <c r="C156" s="48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</row>
    <row r="157" spans="1:135" x14ac:dyDescent="0.4">
      <c r="A157" s="29" t="str">
        <f t="shared" si="135"/>
        <v/>
      </c>
      <c r="B157" s="34"/>
      <c r="C157" s="48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</row>
    <row r="158" spans="1:135" x14ac:dyDescent="0.4">
      <c r="A158" s="29" t="str">
        <f t="shared" si="135"/>
        <v/>
      </c>
      <c r="B158" s="34"/>
      <c r="C158" s="48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</row>
    <row r="159" spans="1:135" x14ac:dyDescent="0.4">
      <c r="A159" s="29" t="str">
        <f t="shared" si="135"/>
        <v/>
      </c>
      <c r="B159" s="34"/>
      <c r="C159" s="48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</row>
    <row r="160" spans="1:135" x14ac:dyDescent="0.4">
      <c r="A160" s="29" t="str">
        <f t="shared" si="135"/>
        <v/>
      </c>
      <c r="B160" s="34"/>
      <c r="C160" s="48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</row>
    <row r="161" spans="1:135" x14ac:dyDescent="0.4">
      <c r="A161" s="29" t="str">
        <f t="shared" si="135"/>
        <v/>
      </c>
      <c r="B161" s="34"/>
      <c r="C161" s="48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</row>
    <row r="162" spans="1:135" x14ac:dyDescent="0.4">
      <c r="A162" s="29" t="str">
        <f t="shared" si="135"/>
        <v/>
      </c>
      <c r="B162" s="34"/>
      <c r="C162" s="48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</row>
    <row r="163" spans="1:135" x14ac:dyDescent="0.4">
      <c r="A163" s="29" t="str">
        <f t="shared" si="135"/>
        <v/>
      </c>
      <c r="B163" s="34"/>
      <c r="C163" s="48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</row>
    <row r="164" spans="1:135" x14ac:dyDescent="0.4">
      <c r="A164" s="29" t="str">
        <f t="shared" si="135"/>
        <v/>
      </c>
      <c r="B164" s="34"/>
      <c r="C164" s="48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</row>
    <row r="165" spans="1:135" x14ac:dyDescent="0.4">
      <c r="A165" s="29" t="str">
        <f t="shared" si="135"/>
        <v/>
      </c>
      <c r="B165" s="34"/>
      <c r="C165" s="48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</row>
    <row r="166" spans="1:135" x14ac:dyDescent="0.4">
      <c r="A166" s="29" t="str">
        <f t="shared" si="135"/>
        <v/>
      </c>
      <c r="B166" s="34"/>
      <c r="C166" s="48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</row>
    <row r="167" spans="1:135" x14ac:dyDescent="0.4">
      <c r="A167" s="29" t="str">
        <f t="shared" si="135"/>
        <v/>
      </c>
      <c r="B167" s="34"/>
      <c r="C167" s="48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</row>
    <row r="168" spans="1:135" x14ac:dyDescent="0.4">
      <c r="A168" s="29" t="str">
        <f t="shared" si="135"/>
        <v/>
      </c>
      <c r="B168" s="34"/>
      <c r="C168" s="48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</row>
    <row r="169" spans="1:135" x14ac:dyDescent="0.4">
      <c r="A169" s="29" t="str">
        <f t="shared" si="135"/>
        <v/>
      </c>
      <c r="B169" s="34"/>
      <c r="C169" s="48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</row>
    <row r="170" spans="1:135" x14ac:dyDescent="0.4">
      <c r="A170" s="29" t="str">
        <f t="shared" si="135"/>
        <v/>
      </c>
      <c r="B170" s="34"/>
      <c r="C170" s="48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</row>
    <row r="171" spans="1:135" x14ac:dyDescent="0.4">
      <c r="A171" s="29" t="str">
        <f t="shared" si="135"/>
        <v/>
      </c>
      <c r="B171" s="34"/>
      <c r="C171" s="48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</row>
    <row r="172" spans="1:135" x14ac:dyDescent="0.4">
      <c r="A172" s="29" t="str">
        <f t="shared" si="135"/>
        <v/>
      </c>
      <c r="B172" s="34"/>
      <c r="C172" s="48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</row>
    <row r="173" spans="1:135" x14ac:dyDescent="0.4">
      <c r="A173" s="29" t="str">
        <f t="shared" si="135"/>
        <v/>
      </c>
      <c r="B173" s="34"/>
      <c r="C173" s="48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</row>
    <row r="174" spans="1:135" x14ac:dyDescent="0.4">
      <c r="A174" s="29" t="str">
        <f t="shared" si="135"/>
        <v/>
      </c>
      <c r="B174" s="34"/>
      <c r="C174" s="48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</row>
    <row r="175" spans="1:135" x14ac:dyDescent="0.4">
      <c r="A175" s="29" t="str">
        <f t="shared" si="135"/>
        <v/>
      </c>
      <c r="B175" s="34"/>
      <c r="C175" s="48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</row>
    <row r="176" spans="1:135" x14ac:dyDescent="0.4">
      <c r="A176" s="29" t="str">
        <f t="shared" si="135"/>
        <v/>
      </c>
      <c r="B176" s="34"/>
      <c r="C176" s="48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</row>
    <row r="177" spans="1:135" x14ac:dyDescent="0.4">
      <c r="A177" s="29" t="str">
        <f t="shared" si="135"/>
        <v/>
      </c>
      <c r="B177" s="34"/>
      <c r="C177" s="48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</row>
    <row r="178" spans="1:135" x14ac:dyDescent="0.4">
      <c r="A178" s="29" t="str">
        <f t="shared" si="135"/>
        <v/>
      </c>
      <c r="B178" s="34"/>
      <c r="C178" s="48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</row>
    <row r="179" spans="1:135" x14ac:dyDescent="0.4">
      <c r="A179" s="29" t="str">
        <f t="shared" si="135"/>
        <v/>
      </c>
      <c r="B179" s="34"/>
      <c r="C179" s="48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</row>
    <row r="180" spans="1:135" x14ac:dyDescent="0.4">
      <c r="A180" s="29" t="str">
        <f t="shared" si="135"/>
        <v/>
      </c>
      <c r="B180" s="34"/>
      <c r="C180" s="48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</row>
    <row r="181" spans="1:135" x14ac:dyDescent="0.4">
      <c r="A181" s="29" t="str">
        <f t="shared" si="135"/>
        <v/>
      </c>
      <c r="B181" s="34"/>
      <c r="C181" s="48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</row>
    <row r="182" spans="1:135" x14ac:dyDescent="0.4">
      <c r="A182" s="29" t="str">
        <f t="shared" si="135"/>
        <v/>
      </c>
      <c r="B182" s="34"/>
      <c r="C182" s="48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</row>
    <row r="183" spans="1:135" x14ac:dyDescent="0.4">
      <c r="A183" s="29" t="str">
        <f t="shared" si="135"/>
        <v/>
      </c>
      <c r="B183" s="34"/>
      <c r="C183" s="48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</row>
    <row r="184" spans="1:135" x14ac:dyDescent="0.4">
      <c r="A184" s="29" t="str">
        <f t="shared" si="135"/>
        <v/>
      </c>
      <c r="B184" s="34"/>
      <c r="C184" s="48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</row>
    <row r="185" spans="1:135" x14ac:dyDescent="0.4">
      <c r="A185" s="29" t="str">
        <f t="shared" si="135"/>
        <v/>
      </c>
      <c r="B185" s="34"/>
      <c r="C185" s="48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</row>
    <row r="186" spans="1:135" x14ac:dyDescent="0.4">
      <c r="A186" s="29" t="str">
        <f t="shared" si="135"/>
        <v/>
      </c>
      <c r="B186" s="34"/>
      <c r="C186" s="48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</row>
    <row r="187" spans="1:135" x14ac:dyDescent="0.4">
      <c r="A187" s="29" t="str">
        <f t="shared" si="135"/>
        <v/>
      </c>
      <c r="B187" s="34"/>
      <c r="C187" s="48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</row>
    <row r="188" spans="1:135" x14ac:dyDescent="0.4">
      <c r="A188" s="29" t="str">
        <f t="shared" si="135"/>
        <v/>
      </c>
      <c r="B188" s="34"/>
      <c r="C188" s="48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</row>
    <row r="189" spans="1:135" x14ac:dyDescent="0.4">
      <c r="A189" s="29" t="str">
        <f t="shared" si="135"/>
        <v/>
      </c>
      <c r="B189" s="34"/>
      <c r="C189" s="48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</row>
    <row r="190" spans="1:135" x14ac:dyDescent="0.4">
      <c r="A190" s="29" t="str">
        <f t="shared" si="135"/>
        <v/>
      </c>
      <c r="B190" s="34"/>
      <c r="C190" s="48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</row>
    <row r="191" spans="1:135" x14ac:dyDescent="0.4">
      <c r="A191" s="29" t="str">
        <f t="shared" si="135"/>
        <v/>
      </c>
      <c r="B191" s="34"/>
      <c r="C191" s="48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</row>
    <row r="192" spans="1:135" x14ac:dyDescent="0.4">
      <c r="A192" s="29" t="str">
        <f t="shared" si="135"/>
        <v/>
      </c>
      <c r="B192" s="34"/>
      <c r="C192" s="48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</row>
    <row r="193" spans="1:135" x14ac:dyDescent="0.4">
      <c r="A193" s="29" t="str">
        <f t="shared" si="135"/>
        <v/>
      </c>
      <c r="B193" s="34"/>
      <c r="C193" s="48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</row>
    <row r="194" spans="1:135" x14ac:dyDescent="0.4">
      <c r="A194" s="29" t="str">
        <f t="shared" si="135"/>
        <v/>
      </c>
      <c r="B194" s="34"/>
      <c r="C194" s="48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</row>
    <row r="195" spans="1:135" x14ac:dyDescent="0.4">
      <c r="A195" s="29" t="str">
        <f t="shared" si="135"/>
        <v/>
      </c>
      <c r="B195" s="34"/>
      <c r="C195" s="48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</row>
    <row r="196" spans="1:135" x14ac:dyDescent="0.4">
      <c r="A196" s="29" t="str">
        <f t="shared" si="135"/>
        <v/>
      </c>
      <c r="B196" s="34"/>
      <c r="C196" s="48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</row>
    <row r="197" spans="1:135" x14ac:dyDescent="0.4">
      <c r="A197" s="29" t="str">
        <f t="shared" si="135"/>
        <v/>
      </c>
      <c r="B197" s="34"/>
      <c r="C197" s="48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</row>
    <row r="198" spans="1:135" x14ac:dyDescent="0.4">
      <c r="A198" s="29" t="str">
        <f t="shared" si="135"/>
        <v/>
      </c>
      <c r="B198" s="34"/>
      <c r="C198" s="48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</row>
    <row r="199" spans="1:135" x14ac:dyDescent="0.4">
      <c r="A199" s="29" t="str">
        <f t="shared" si="135"/>
        <v/>
      </c>
      <c r="B199" s="34"/>
      <c r="C199" s="48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</row>
    <row r="200" spans="1:135" x14ac:dyDescent="0.4">
      <c r="A200" s="29" t="str">
        <f t="shared" si="135"/>
        <v/>
      </c>
      <c r="B200" s="34"/>
      <c r="C200" s="48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</row>
    <row r="201" spans="1:135" ht="6.75" customHeight="1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</row>
    <row r="202" spans="1:135" ht="14.6" customHeight="1" x14ac:dyDescent="0.4">
      <c r="B202" s="51" t="s">
        <v>69</v>
      </c>
      <c r="C202" s="51"/>
      <c r="D202" s="51"/>
      <c r="E202" s="51"/>
      <c r="F202" s="51"/>
      <c r="G202" s="51"/>
    </row>
    <row r="203" spans="1:135" x14ac:dyDescent="0.4">
      <c r="B203" s="51"/>
      <c r="C203" s="51"/>
      <c r="D203" s="51"/>
      <c r="E203" s="51"/>
      <c r="F203" s="51"/>
      <c r="G203" s="51"/>
    </row>
  </sheetData>
  <sheetProtection algorithmName="SHA-512" hashValue="YDUQh1ivOke7D9RZDCLr0TwQct89A4CZvev4T/62Y8hw9Ibf9l5Zab29UTa0OgZj5yXIoR9ZT8eqfuV6bkjQzg==" saltValue="diGxnrVgMZnNnlOiUPTWYA==" spinCount="100000" sheet="1"/>
  <mergeCells count="2">
    <mergeCell ref="H4:M4"/>
    <mergeCell ref="B202:G203"/>
  </mergeCells>
  <conditionalFormatting sqref="B202">
    <cfRule type="notContainsBlanks" dxfId="23" priority="1">
      <formula>LEN(TRIM(B202))&gt;0</formula>
    </cfRule>
  </conditionalFormatting>
  <conditionalFormatting sqref="C8:C200">
    <cfRule type="expression" priority="13">
      <formula>$C$2="Blank"</formula>
    </cfRule>
    <cfRule type="expression" dxfId="22" priority="14">
      <formula>$C$2="Summer"</formula>
    </cfRule>
    <cfRule type="expression" dxfId="21" priority="15">
      <formula>$C$2="Winter"</formula>
    </cfRule>
    <cfRule type="expression" dxfId="20" priority="16">
      <formula>$C$2="Autumn"</formula>
    </cfRule>
    <cfRule type="expression" dxfId="19" priority="17">
      <formula>$C$2="Spring"</formula>
    </cfRule>
  </conditionalFormatting>
  <conditionalFormatting sqref="C7:EE7">
    <cfRule type="expression" dxfId="18" priority="33" stopIfTrue="1">
      <formula>$C$2="Winter"</formula>
    </cfRule>
    <cfRule type="expression" dxfId="17" priority="34" stopIfTrue="1">
      <formula>$C$2="Autumn"</formula>
    </cfRule>
    <cfRule type="expression" dxfId="16" priority="35" stopIfTrue="1">
      <formula>$C$2="Summer"</formula>
    </cfRule>
    <cfRule type="expression" dxfId="15" priority="36" stopIfTrue="1">
      <formula>$C$2="Spring"</formula>
    </cfRule>
    <cfRule type="expression" priority="37" stopIfTrue="1">
      <formula>$C$2="Blank"</formula>
    </cfRule>
  </conditionalFormatting>
  <conditionalFormatting sqref="H4">
    <cfRule type="notContainsBlanks" dxfId="14" priority="2">
      <formula>LEN(TRIM(H4))&gt;0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D393-7A2C-4774-89F1-E1920EC75AEB}">
  <sheetPr>
    <tabColor rgb="FFCCFF99"/>
    <pageSetUpPr fitToPage="1"/>
  </sheetPr>
  <dimension ref="B3:B5"/>
  <sheetViews>
    <sheetView workbookViewId="0">
      <selection activeCell="B1" sqref="B1"/>
    </sheetView>
  </sheetViews>
  <sheetFormatPr defaultRowHeight="14.6" x14ac:dyDescent="0.4"/>
  <sheetData>
    <row r="3" spans="2:2" x14ac:dyDescent="0.4">
      <c r="B3" t="s">
        <v>71</v>
      </c>
    </row>
    <row r="5" spans="2:2" x14ac:dyDescent="0.4">
      <c r="B5" s="33" t="s">
        <v>36</v>
      </c>
    </row>
  </sheetData>
  <sheetProtection algorithmName="SHA-512" hashValue="ZhoskfO4ctJuO2s4CVVhNCJ0efcJSWBtHdheo+EgUicAkDxxfkYF03qb7AI6vppsMlilhQRj1AJ4pOCYJ+4mgQ==" saltValue="8oZfxXczcPtazilX4nRA3Q==" spinCount="100000" sheet="1" selectLockedCells="1" selectUnlockedCells="1"/>
  <hyperlinks>
    <hyperlink ref="B5" r:id="rId1" xr:uid="{84E4AC3A-9A5E-452E-B5DA-77B29B1CD303}"/>
  </hyperlinks>
  <pageMargins left="0.70866141732283472" right="0.70866141732283472" top="0.74803149606299213" bottom="0.74803149606299213" header="0.31496062992125984" footer="0.31496062992125984"/>
  <pageSetup paperSize="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Aloitus</vt:lpstr>
      <vt:lpstr>Listat</vt:lpstr>
      <vt:lpstr>Dashboard</vt:lpstr>
      <vt:lpstr>Data</vt:lpstr>
      <vt:lpstr>Ota yhteyttä</vt:lpstr>
      <vt:lpstr>Colours</vt:lpstr>
      <vt:lpstr>Aloitus!Print_Area</vt:lpstr>
      <vt:lpstr>Dashboard!Print_Area</vt:lpstr>
      <vt:lpstr>Data!Print_Area</vt:lpstr>
      <vt:lpstr>Listat!Print_Area</vt:lpstr>
      <vt:lpstr>'Ota yhteyttä'!Print_Area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S</dc:creator>
  <cp:lastModifiedBy>Veera S</cp:lastModifiedBy>
  <cp:lastPrinted>2025-10-29T12:59:41Z</cp:lastPrinted>
  <dcterms:created xsi:type="dcterms:W3CDTF">2025-10-27T12:55:33Z</dcterms:created>
  <dcterms:modified xsi:type="dcterms:W3CDTF">2025-10-29T14:49:07Z</dcterms:modified>
</cp:coreProperties>
</file>