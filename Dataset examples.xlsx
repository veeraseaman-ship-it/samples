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ISTAJA\Documents\Portfolio\"/>
    </mc:Choice>
  </mc:AlternateContent>
  <xr:revisionPtr revIDLastSave="0" documentId="13_ncr:1_{262159DA-7DBA-47B3-891E-2B377CADACBD}" xr6:coauthVersionLast="47" xr6:coauthVersionMax="47" xr10:uidLastSave="{00000000-0000-0000-0000-000000000000}"/>
  <bookViews>
    <workbookView xWindow="-103" yWindow="-103" windowWidth="16663" windowHeight="9463" xr2:uid="{6D458378-8620-4659-90D4-64FE51759743}"/>
  </bookViews>
  <sheets>
    <sheet name="Data" sheetId="1" r:id="rId1"/>
    <sheet name="Lists" sheetId="2" r:id="rId2"/>
    <sheet name="Raw" sheetId="3" r:id="rId3"/>
  </sheets>
  <definedNames>
    <definedName name="_xlnm._FilterDatabase" localSheetId="0" hidden="1">Data!$B$3:$B$4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" i="1" l="1"/>
  <c r="C64" i="1"/>
  <c r="C45" i="1"/>
  <c r="C26" i="1"/>
  <c r="C7" i="1"/>
  <c r="C2" i="1"/>
  <c r="C78" i="3"/>
  <c r="D77" i="3"/>
  <c r="C74" i="3"/>
  <c r="D49" i="3"/>
  <c r="D46" i="3"/>
  <c r="D45" i="3"/>
  <c r="C50" i="3"/>
  <c r="C53" i="3" s="1"/>
  <c r="E3" i="2"/>
  <c r="D1" i="3" s="1"/>
  <c r="D64" i="1" l="1"/>
  <c r="D45" i="1"/>
  <c r="E45" i="1" s="1"/>
  <c r="F45" i="1" s="1"/>
  <c r="G45" i="1" s="1"/>
  <c r="H45" i="1" s="1"/>
  <c r="I45" i="1" s="1"/>
  <c r="J45" i="1" s="1"/>
  <c r="K45" i="1" s="1"/>
  <c r="L45" i="1" s="1"/>
  <c r="M45" i="1" s="1"/>
  <c r="P45" i="1" s="1"/>
  <c r="Q45" i="1" s="1"/>
  <c r="D26" i="1"/>
  <c r="E26" i="1" s="1"/>
  <c r="F26" i="1" s="1"/>
  <c r="G26" i="1" s="1"/>
  <c r="H26" i="1" s="1"/>
  <c r="I26" i="1" s="1"/>
  <c r="J26" i="1" s="1"/>
  <c r="K26" i="1" s="1"/>
  <c r="L26" i="1" s="1"/>
  <c r="M26" i="1" s="1"/>
  <c r="P26" i="1" s="1"/>
  <c r="Q26" i="1" s="1"/>
  <c r="E7" i="1"/>
  <c r="F7" i="1" s="1"/>
  <c r="G7" i="1" s="1"/>
  <c r="H7" i="1" s="1"/>
  <c r="I7" i="1" s="1"/>
  <c r="J7" i="1" s="1"/>
  <c r="K7" i="1" s="1"/>
  <c r="L7" i="1" s="1"/>
  <c r="M7" i="1" s="1"/>
  <c r="E1" i="3"/>
  <c r="F1" i="3" s="1"/>
  <c r="D36" i="3"/>
  <c r="E64" i="1" l="1"/>
  <c r="E36" i="3"/>
  <c r="G1" i="3"/>
  <c r="F36" i="3"/>
  <c r="F64" i="1" l="1"/>
  <c r="H1" i="3"/>
  <c r="G36" i="3"/>
  <c r="G64" i="1" l="1"/>
  <c r="I1" i="3"/>
  <c r="H36" i="3"/>
  <c r="H64" i="1" l="1"/>
  <c r="J1" i="3"/>
  <c r="I36" i="3"/>
  <c r="I64" i="1" l="1"/>
  <c r="K1" i="3"/>
  <c r="J36" i="3"/>
  <c r="J64" i="1" l="1"/>
  <c r="L1" i="3"/>
  <c r="K36" i="3"/>
  <c r="K64" i="1" l="1"/>
  <c r="M1" i="3"/>
  <c r="L36" i="3"/>
  <c r="L64" i="1" l="1"/>
  <c r="N1" i="3"/>
  <c r="M36" i="3"/>
  <c r="M64" i="1" l="1"/>
  <c r="O1" i="3"/>
  <c r="N36" i="3"/>
  <c r="P64" i="1" l="1"/>
  <c r="Q64" i="1" s="1"/>
  <c r="P1" i="3"/>
  <c r="O36" i="3"/>
  <c r="Q1" i="3" l="1"/>
  <c r="P36" i="3"/>
  <c r="R1" i="3" l="1"/>
  <c r="Q36" i="3"/>
  <c r="S1" i="3" l="1"/>
  <c r="R36" i="3"/>
  <c r="T1" i="3" l="1"/>
  <c r="S36" i="3"/>
  <c r="U1" i="3" l="1"/>
  <c r="T36" i="3"/>
  <c r="V1" i="3" l="1"/>
  <c r="U36" i="3"/>
  <c r="W1" i="3" l="1"/>
  <c r="V36" i="3"/>
  <c r="X1" i="3" l="1"/>
  <c r="W36" i="3"/>
  <c r="Y1" i="3" l="1"/>
  <c r="X36" i="3"/>
  <c r="Z1" i="3" l="1"/>
  <c r="Y36" i="3"/>
  <c r="AA1" i="3" l="1"/>
  <c r="Z36" i="3"/>
  <c r="AB1" i="3" l="1"/>
  <c r="AA36" i="3"/>
  <c r="AC1" i="3" l="1"/>
  <c r="AB36" i="3"/>
  <c r="AD1" i="3" l="1"/>
  <c r="AC36" i="3"/>
  <c r="AE1" i="3" l="1"/>
  <c r="AD36" i="3"/>
  <c r="AF1" i="3" l="1"/>
  <c r="AE36" i="3"/>
  <c r="AG1" i="3" l="1"/>
  <c r="AF36" i="3"/>
  <c r="AH1" i="3" l="1"/>
  <c r="AG36" i="3"/>
  <c r="AI1" i="3" l="1"/>
  <c r="AH36" i="3"/>
  <c r="AJ1" i="3" l="1"/>
  <c r="AI36" i="3"/>
  <c r="AK1" i="3" l="1"/>
  <c r="AJ36" i="3"/>
  <c r="AL1" i="3" l="1"/>
  <c r="AK3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AN26" i="3"/>
  <c r="AO26" i="3"/>
  <c r="AP26" i="3"/>
  <c r="AQ26" i="3"/>
  <c r="AR26" i="3"/>
  <c r="AS26" i="3"/>
  <c r="AT26" i="3"/>
  <c r="AU26" i="3"/>
  <c r="AV26" i="3"/>
  <c r="AW26" i="3"/>
  <c r="AX26" i="3"/>
  <c r="AY26" i="3"/>
  <c r="AZ26" i="3"/>
  <c r="BA26" i="3"/>
  <c r="BB26" i="3"/>
  <c r="BC26" i="3"/>
  <c r="BD26" i="3"/>
  <c r="BE26" i="3"/>
  <c r="BF26" i="3"/>
  <c r="BG26" i="3"/>
  <c r="BH26" i="3"/>
  <c r="BI26" i="3"/>
  <c r="BJ26" i="3"/>
  <c r="BK26" i="3"/>
  <c r="BL26" i="3"/>
  <c r="BM26" i="3"/>
  <c r="BN26" i="3"/>
  <c r="BO26" i="3"/>
  <c r="BP26" i="3"/>
  <c r="BQ26" i="3"/>
  <c r="BR26" i="3"/>
  <c r="BS26" i="3"/>
  <c r="BT26" i="3"/>
  <c r="BU26" i="3"/>
  <c r="BV26" i="3"/>
  <c r="BW26" i="3"/>
  <c r="BX26" i="3"/>
  <c r="BY26" i="3"/>
  <c r="BZ26" i="3"/>
  <c r="CA26" i="3"/>
  <c r="CB26" i="3"/>
  <c r="CC26" i="3"/>
  <c r="CD26" i="3"/>
  <c r="CE26" i="3"/>
  <c r="CF26" i="3"/>
  <c r="CG26" i="3"/>
  <c r="CH26" i="3"/>
  <c r="CI26" i="3"/>
  <c r="CJ26" i="3"/>
  <c r="CK26" i="3"/>
  <c r="CL26" i="3"/>
  <c r="CM26" i="3"/>
  <c r="CN26" i="3"/>
  <c r="CO26" i="3"/>
  <c r="CP26" i="3"/>
  <c r="CQ26" i="3"/>
  <c r="CR26" i="3"/>
  <c r="CS26" i="3"/>
  <c r="CT26" i="3"/>
  <c r="CU26" i="3"/>
  <c r="CV26" i="3"/>
  <c r="CW26" i="3"/>
  <c r="CX26" i="3"/>
  <c r="CY26" i="3"/>
  <c r="CZ26" i="3"/>
  <c r="DA26" i="3"/>
  <c r="DB26" i="3"/>
  <c r="DC26" i="3"/>
  <c r="DD26" i="3"/>
  <c r="DE26" i="3"/>
  <c r="DF26" i="3"/>
  <c r="DG26" i="3"/>
  <c r="DH26" i="3"/>
  <c r="DI26" i="3"/>
  <c r="DJ26" i="3"/>
  <c r="DK26" i="3"/>
  <c r="DL26" i="3"/>
  <c r="DM26" i="3"/>
  <c r="DN26" i="3"/>
  <c r="DO26" i="3"/>
  <c r="DP26" i="3"/>
  <c r="DQ26" i="3"/>
  <c r="DR26" i="3"/>
  <c r="DS26" i="3"/>
  <c r="DT26" i="3"/>
  <c r="DU26" i="3"/>
  <c r="DV26" i="3"/>
  <c r="DW26" i="3"/>
  <c r="DX26" i="3"/>
  <c r="DY26" i="3"/>
  <c r="DZ26" i="3"/>
  <c r="EA26" i="3"/>
  <c r="EB26" i="3"/>
  <c r="EC26" i="3"/>
  <c r="ED26" i="3"/>
  <c r="EE26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AN27" i="3"/>
  <c r="AO27" i="3"/>
  <c r="AP27" i="3"/>
  <c r="AQ27" i="3"/>
  <c r="AR27" i="3"/>
  <c r="AS27" i="3"/>
  <c r="AT27" i="3"/>
  <c r="AU27" i="3"/>
  <c r="AV27" i="3"/>
  <c r="AW27" i="3"/>
  <c r="AX27" i="3"/>
  <c r="AY27" i="3"/>
  <c r="AZ27" i="3"/>
  <c r="BA27" i="3"/>
  <c r="BB27" i="3"/>
  <c r="BC27" i="3"/>
  <c r="BD27" i="3"/>
  <c r="BE27" i="3"/>
  <c r="BF27" i="3"/>
  <c r="BG27" i="3"/>
  <c r="BH27" i="3"/>
  <c r="BI27" i="3"/>
  <c r="BJ27" i="3"/>
  <c r="BK27" i="3"/>
  <c r="BL27" i="3"/>
  <c r="BM27" i="3"/>
  <c r="BN27" i="3"/>
  <c r="BO27" i="3"/>
  <c r="BP27" i="3"/>
  <c r="BQ27" i="3"/>
  <c r="BR27" i="3"/>
  <c r="BS27" i="3"/>
  <c r="BT27" i="3"/>
  <c r="BU27" i="3"/>
  <c r="BV27" i="3"/>
  <c r="BW27" i="3"/>
  <c r="BX27" i="3"/>
  <c r="BY27" i="3"/>
  <c r="BZ27" i="3"/>
  <c r="CA27" i="3"/>
  <c r="CB27" i="3"/>
  <c r="CC27" i="3"/>
  <c r="CD27" i="3"/>
  <c r="CE27" i="3"/>
  <c r="CF27" i="3"/>
  <c r="CG27" i="3"/>
  <c r="CH27" i="3"/>
  <c r="CI27" i="3"/>
  <c r="CJ27" i="3"/>
  <c r="CK27" i="3"/>
  <c r="CL27" i="3"/>
  <c r="CM27" i="3"/>
  <c r="CN27" i="3"/>
  <c r="CO27" i="3"/>
  <c r="CP27" i="3"/>
  <c r="CQ27" i="3"/>
  <c r="CR27" i="3"/>
  <c r="CS27" i="3"/>
  <c r="CT27" i="3"/>
  <c r="CU27" i="3"/>
  <c r="CV27" i="3"/>
  <c r="CW27" i="3"/>
  <c r="CX27" i="3"/>
  <c r="CY27" i="3"/>
  <c r="CZ27" i="3"/>
  <c r="DA27" i="3"/>
  <c r="DB27" i="3"/>
  <c r="DC27" i="3"/>
  <c r="DD27" i="3"/>
  <c r="DE27" i="3"/>
  <c r="DF27" i="3"/>
  <c r="DG27" i="3"/>
  <c r="DH27" i="3"/>
  <c r="DI27" i="3"/>
  <c r="DJ27" i="3"/>
  <c r="DK27" i="3"/>
  <c r="DL27" i="3"/>
  <c r="DM27" i="3"/>
  <c r="DN27" i="3"/>
  <c r="DO27" i="3"/>
  <c r="DP27" i="3"/>
  <c r="DQ27" i="3"/>
  <c r="DR27" i="3"/>
  <c r="DS27" i="3"/>
  <c r="DT27" i="3"/>
  <c r="DU27" i="3"/>
  <c r="DV27" i="3"/>
  <c r="DW27" i="3"/>
  <c r="DX27" i="3"/>
  <c r="DY27" i="3"/>
  <c r="DZ27" i="3"/>
  <c r="EA27" i="3"/>
  <c r="EB27" i="3"/>
  <c r="EC27" i="3"/>
  <c r="ED27" i="3"/>
  <c r="EE27" i="3"/>
  <c r="D27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AN5" i="3"/>
  <c r="AO5" i="3"/>
  <c r="AP5" i="3"/>
  <c r="AQ5" i="3"/>
  <c r="AR5" i="3"/>
  <c r="AS5" i="3"/>
  <c r="AT5" i="3"/>
  <c r="AU5" i="3"/>
  <c r="AV5" i="3"/>
  <c r="AW5" i="3"/>
  <c r="AX5" i="3"/>
  <c r="AY5" i="3"/>
  <c r="AZ5" i="3"/>
  <c r="BA5" i="3"/>
  <c r="BB5" i="3"/>
  <c r="BC5" i="3"/>
  <c r="BD5" i="3"/>
  <c r="BE5" i="3"/>
  <c r="BF5" i="3"/>
  <c r="BG5" i="3"/>
  <c r="BH5" i="3"/>
  <c r="BI5" i="3"/>
  <c r="BJ5" i="3"/>
  <c r="BK5" i="3"/>
  <c r="BL5" i="3"/>
  <c r="BM5" i="3"/>
  <c r="BN5" i="3"/>
  <c r="BO5" i="3"/>
  <c r="BP5" i="3"/>
  <c r="BQ5" i="3"/>
  <c r="BR5" i="3"/>
  <c r="BS5" i="3"/>
  <c r="BT5" i="3"/>
  <c r="BU5" i="3"/>
  <c r="BV5" i="3"/>
  <c r="BW5" i="3"/>
  <c r="BX5" i="3"/>
  <c r="BY5" i="3"/>
  <c r="BZ5" i="3"/>
  <c r="CA5" i="3"/>
  <c r="CB5" i="3"/>
  <c r="CC5" i="3"/>
  <c r="CD5" i="3"/>
  <c r="CE5" i="3"/>
  <c r="CF5" i="3"/>
  <c r="CG5" i="3"/>
  <c r="CH5" i="3"/>
  <c r="CI5" i="3"/>
  <c r="CJ5" i="3"/>
  <c r="CK5" i="3"/>
  <c r="CL5" i="3"/>
  <c r="CM5" i="3"/>
  <c r="CN5" i="3"/>
  <c r="CO5" i="3"/>
  <c r="CP5" i="3"/>
  <c r="CQ5" i="3"/>
  <c r="CR5" i="3"/>
  <c r="CS5" i="3"/>
  <c r="CT5" i="3"/>
  <c r="CU5" i="3"/>
  <c r="CV5" i="3"/>
  <c r="CW5" i="3"/>
  <c r="CX5" i="3"/>
  <c r="CY5" i="3"/>
  <c r="CZ5" i="3"/>
  <c r="DA5" i="3"/>
  <c r="DB5" i="3"/>
  <c r="DC5" i="3"/>
  <c r="DD5" i="3"/>
  <c r="DE5" i="3"/>
  <c r="DF5" i="3"/>
  <c r="DG5" i="3"/>
  <c r="DH5" i="3"/>
  <c r="DI5" i="3"/>
  <c r="DJ5" i="3"/>
  <c r="DK5" i="3"/>
  <c r="DL5" i="3"/>
  <c r="DM5" i="3"/>
  <c r="DN5" i="3"/>
  <c r="DO5" i="3"/>
  <c r="DP5" i="3"/>
  <c r="DQ5" i="3"/>
  <c r="DR5" i="3"/>
  <c r="DS5" i="3"/>
  <c r="DT5" i="3"/>
  <c r="DU5" i="3"/>
  <c r="DV5" i="3"/>
  <c r="DW5" i="3"/>
  <c r="DX5" i="3"/>
  <c r="DY5" i="3"/>
  <c r="DZ5" i="3"/>
  <c r="EA5" i="3"/>
  <c r="EB5" i="3"/>
  <c r="EC5" i="3"/>
  <c r="ED5" i="3"/>
  <c r="EE5" i="3"/>
  <c r="D5" i="3"/>
  <c r="DR20" i="3"/>
  <c r="DO31" i="3"/>
  <c r="DN25" i="3"/>
  <c r="DP23" i="3"/>
  <c r="DQ23" i="3"/>
  <c r="DO33" i="3"/>
  <c r="DO30" i="3"/>
  <c r="D26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V15" i="3"/>
  <c r="AW15" i="3"/>
  <c r="AX15" i="3"/>
  <c r="AY15" i="3"/>
  <c r="AZ15" i="3"/>
  <c r="BA15" i="3"/>
  <c r="BB15" i="3"/>
  <c r="BC15" i="3"/>
  <c r="BD15" i="3"/>
  <c r="BE15" i="3"/>
  <c r="BF15" i="3"/>
  <c r="BG15" i="3"/>
  <c r="BH15" i="3"/>
  <c r="BI15" i="3"/>
  <c r="BJ15" i="3"/>
  <c r="BK15" i="3"/>
  <c r="BL15" i="3"/>
  <c r="BM15" i="3"/>
  <c r="BN15" i="3"/>
  <c r="BO15" i="3"/>
  <c r="BP15" i="3"/>
  <c r="BQ15" i="3"/>
  <c r="BR15" i="3"/>
  <c r="BS15" i="3"/>
  <c r="BT15" i="3"/>
  <c r="BU15" i="3"/>
  <c r="BV15" i="3"/>
  <c r="BW15" i="3"/>
  <c r="BX15" i="3"/>
  <c r="BY15" i="3"/>
  <c r="BZ15" i="3"/>
  <c r="CA15" i="3"/>
  <c r="CB15" i="3"/>
  <c r="CC15" i="3"/>
  <c r="CD15" i="3"/>
  <c r="CE15" i="3"/>
  <c r="CF15" i="3"/>
  <c r="CG15" i="3"/>
  <c r="CH15" i="3"/>
  <c r="CI15" i="3"/>
  <c r="CJ15" i="3"/>
  <c r="CK15" i="3"/>
  <c r="CL15" i="3"/>
  <c r="CM15" i="3"/>
  <c r="CN15" i="3"/>
  <c r="CO15" i="3"/>
  <c r="CP15" i="3"/>
  <c r="CQ15" i="3"/>
  <c r="CR15" i="3"/>
  <c r="CS15" i="3"/>
  <c r="CT15" i="3"/>
  <c r="CU15" i="3"/>
  <c r="CV15" i="3"/>
  <c r="CW15" i="3"/>
  <c r="CX15" i="3"/>
  <c r="CY15" i="3"/>
  <c r="CZ15" i="3"/>
  <c r="DA15" i="3"/>
  <c r="DB15" i="3"/>
  <c r="DC15" i="3"/>
  <c r="DD15" i="3"/>
  <c r="DE15" i="3"/>
  <c r="DF15" i="3"/>
  <c r="DG15" i="3"/>
  <c r="DH15" i="3"/>
  <c r="DI15" i="3"/>
  <c r="DJ15" i="3"/>
  <c r="DK15" i="3"/>
  <c r="DL15" i="3"/>
  <c r="DM15" i="3"/>
  <c r="DN15" i="3"/>
  <c r="DO15" i="3"/>
  <c r="DP15" i="3"/>
  <c r="DQ15" i="3"/>
  <c r="DR15" i="3"/>
  <c r="DS15" i="3"/>
  <c r="DT15" i="3"/>
  <c r="DU15" i="3"/>
  <c r="DV15" i="3"/>
  <c r="DW15" i="3"/>
  <c r="DX15" i="3"/>
  <c r="DY15" i="3"/>
  <c r="DZ15" i="3"/>
  <c r="EA15" i="3"/>
  <c r="EB15" i="3"/>
  <c r="EC15" i="3"/>
  <c r="ED15" i="3"/>
  <c r="EE15" i="3"/>
  <c r="D15" i="3"/>
  <c r="EE14" i="3"/>
  <c r="ED14" i="3"/>
  <c r="EC14" i="3"/>
  <c r="EB14" i="3"/>
  <c r="EA14" i="3"/>
  <c r="DZ14" i="3"/>
  <c r="DY14" i="3"/>
  <c r="DX14" i="3"/>
  <c r="DW14" i="3"/>
  <c r="DV14" i="3"/>
  <c r="DU14" i="3"/>
  <c r="DT14" i="3"/>
  <c r="DS14" i="3"/>
  <c r="DR14" i="3"/>
  <c r="DQ14" i="3"/>
  <c r="DP14" i="3"/>
  <c r="DO14" i="3"/>
  <c r="DN14" i="3"/>
  <c r="DM14" i="3"/>
  <c r="DL14" i="3"/>
  <c r="DK14" i="3"/>
  <c r="DJ14" i="3"/>
  <c r="DI14" i="3"/>
  <c r="DH14" i="3"/>
  <c r="DG14" i="3"/>
  <c r="DF14" i="3"/>
  <c r="DE14" i="3"/>
  <c r="DD14" i="3"/>
  <c r="DC14" i="3"/>
  <c r="DB14" i="3"/>
  <c r="DA14" i="3"/>
  <c r="CZ14" i="3"/>
  <c r="CY14" i="3"/>
  <c r="CX14" i="3"/>
  <c r="CW14" i="3"/>
  <c r="CV14" i="3"/>
  <c r="CU14" i="3"/>
  <c r="CT14" i="3"/>
  <c r="CS14" i="3"/>
  <c r="CR14" i="3"/>
  <c r="CQ14" i="3"/>
  <c r="CP14" i="3"/>
  <c r="CO14" i="3"/>
  <c r="CN14" i="3"/>
  <c r="CM14" i="3"/>
  <c r="CL14" i="3"/>
  <c r="CK14" i="3"/>
  <c r="CJ14" i="3"/>
  <c r="CI14" i="3"/>
  <c r="CH14" i="3"/>
  <c r="CG14" i="3"/>
  <c r="CF14" i="3"/>
  <c r="CE14" i="3"/>
  <c r="CD14" i="3"/>
  <c r="CC14" i="3"/>
  <c r="CB14" i="3"/>
  <c r="CA14" i="3"/>
  <c r="BZ14" i="3"/>
  <c r="BY14" i="3"/>
  <c r="BX14" i="3"/>
  <c r="BW14" i="3"/>
  <c r="BV14" i="3"/>
  <c r="BU14" i="3"/>
  <c r="BT14" i="3"/>
  <c r="BS14" i="3"/>
  <c r="BR14" i="3"/>
  <c r="BQ14" i="3"/>
  <c r="BP14" i="3"/>
  <c r="BO14" i="3"/>
  <c r="BN14" i="3"/>
  <c r="BM14" i="3"/>
  <c r="BL14" i="3"/>
  <c r="BK14" i="3"/>
  <c r="BJ14" i="3"/>
  <c r="BI14" i="3"/>
  <c r="BH14" i="3"/>
  <c r="BG14" i="3"/>
  <c r="BF14" i="3"/>
  <c r="BE14" i="3"/>
  <c r="BD14" i="3"/>
  <c r="BC14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EE13" i="3"/>
  <c r="ED13" i="3"/>
  <c r="EC13" i="3"/>
  <c r="EB13" i="3"/>
  <c r="EA13" i="3"/>
  <c r="DZ13" i="3"/>
  <c r="DY13" i="3"/>
  <c r="DX13" i="3"/>
  <c r="DW13" i="3"/>
  <c r="DV13" i="3"/>
  <c r="DU13" i="3"/>
  <c r="DT13" i="3"/>
  <c r="DS13" i="3"/>
  <c r="DR13" i="3"/>
  <c r="DQ13" i="3"/>
  <c r="DP13" i="3"/>
  <c r="DO13" i="3"/>
  <c r="DN13" i="3"/>
  <c r="DM13" i="3"/>
  <c r="DL13" i="3"/>
  <c r="DK13" i="3"/>
  <c r="DJ13" i="3"/>
  <c r="DI13" i="3"/>
  <c r="DH13" i="3"/>
  <c r="DG13" i="3"/>
  <c r="DF13" i="3"/>
  <c r="DE13" i="3"/>
  <c r="DD13" i="3"/>
  <c r="DC13" i="3"/>
  <c r="DB13" i="3"/>
  <c r="DA13" i="3"/>
  <c r="CZ13" i="3"/>
  <c r="CY13" i="3"/>
  <c r="CX13" i="3"/>
  <c r="CW13" i="3"/>
  <c r="CV13" i="3"/>
  <c r="CU13" i="3"/>
  <c r="CT13" i="3"/>
  <c r="CS13" i="3"/>
  <c r="CR13" i="3"/>
  <c r="CQ13" i="3"/>
  <c r="CP13" i="3"/>
  <c r="CO13" i="3"/>
  <c r="CN13" i="3"/>
  <c r="CM13" i="3"/>
  <c r="CL13" i="3"/>
  <c r="CK13" i="3"/>
  <c r="CJ13" i="3"/>
  <c r="CI13" i="3"/>
  <c r="CH13" i="3"/>
  <c r="CG13" i="3"/>
  <c r="CF13" i="3"/>
  <c r="CE13" i="3"/>
  <c r="CD13" i="3"/>
  <c r="CC13" i="3"/>
  <c r="CB13" i="3"/>
  <c r="CA13" i="3"/>
  <c r="BZ13" i="3"/>
  <c r="BY13" i="3"/>
  <c r="BX13" i="3"/>
  <c r="BW13" i="3"/>
  <c r="BV13" i="3"/>
  <c r="BU13" i="3"/>
  <c r="BT13" i="3"/>
  <c r="BS13" i="3"/>
  <c r="BR13" i="3"/>
  <c r="BQ13" i="3"/>
  <c r="BP13" i="3"/>
  <c r="BO13" i="3"/>
  <c r="BN13" i="3"/>
  <c r="BM13" i="3"/>
  <c r="BL13" i="3"/>
  <c r="BK13" i="3"/>
  <c r="BJ13" i="3"/>
  <c r="BI13" i="3"/>
  <c r="BH13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EE29" i="3"/>
  <c r="ED29" i="3"/>
  <c r="EC29" i="3"/>
  <c r="EB29" i="3"/>
  <c r="EA29" i="3"/>
  <c r="DZ29" i="3"/>
  <c r="DY29" i="3"/>
  <c r="DX29" i="3"/>
  <c r="DW29" i="3"/>
  <c r="DV29" i="3"/>
  <c r="DU29" i="3"/>
  <c r="DT29" i="3"/>
  <c r="DS29" i="3"/>
  <c r="DR29" i="3"/>
  <c r="DQ29" i="3"/>
  <c r="DP29" i="3"/>
  <c r="DO29" i="3"/>
  <c r="DN29" i="3"/>
  <c r="DM29" i="3"/>
  <c r="DL29" i="3"/>
  <c r="DK29" i="3"/>
  <c r="DJ29" i="3"/>
  <c r="DI29" i="3"/>
  <c r="DH29" i="3"/>
  <c r="DG29" i="3"/>
  <c r="DF29" i="3"/>
  <c r="DE29" i="3"/>
  <c r="DD29" i="3"/>
  <c r="DC29" i="3"/>
  <c r="DB29" i="3"/>
  <c r="DA29" i="3"/>
  <c r="CZ29" i="3"/>
  <c r="CY29" i="3"/>
  <c r="CX29" i="3"/>
  <c r="CW29" i="3"/>
  <c r="CV29" i="3"/>
  <c r="CU29" i="3"/>
  <c r="CT29" i="3"/>
  <c r="CS29" i="3"/>
  <c r="CR29" i="3"/>
  <c r="CQ29" i="3"/>
  <c r="CP29" i="3"/>
  <c r="CO29" i="3"/>
  <c r="CN29" i="3"/>
  <c r="CM29" i="3"/>
  <c r="CL29" i="3"/>
  <c r="CK29" i="3"/>
  <c r="CJ29" i="3"/>
  <c r="CI29" i="3"/>
  <c r="CH29" i="3"/>
  <c r="CG29" i="3"/>
  <c r="CF29" i="3"/>
  <c r="CE29" i="3"/>
  <c r="CD29" i="3"/>
  <c r="CC29" i="3"/>
  <c r="CB29" i="3"/>
  <c r="CA29" i="3"/>
  <c r="BZ29" i="3"/>
  <c r="BY29" i="3"/>
  <c r="BX29" i="3"/>
  <c r="BW29" i="3"/>
  <c r="BV29" i="3"/>
  <c r="BU29" i="3"/>
  <c r="BT29" i="3"/>
  <c r="BS29" i="3"/>
  <c r="BR29" i="3"/>
  <c r="BQ29" i="3"/>
  <c r="BP29" i="3"/>
  <c r="BO29" i="3"/>
  <c r="BN29" i="3"/>
  <c r="BM29" i="3"/>
  <c r="BL29" i="3"/>
  <c r="BK29" i="3"/>
  <c r="BJ29" i="3"/>
  <c r="BI29" i="3"/>
  <c r="BH29" i="3"/>
  <c r="BG29" i="3"/>
  <c r="BF29" i="3"/>
  <c r="BE29" i="3"/>
  <c r="BD29" i="3"/>
  <c r="BC29" i="3"/>
  <c r="BB29" i="3"/>
  <c r="BA29" i="3"/>
  <c r="AZ29" i="3"/>
  <c r="AY29" i="3"/>
  <c r="AX29" i="3"/>
  <c r="AW29" i="3"/>
  <c r="AV29" i="3"/>
  <c r="AU29" i="3"/>
  <c r="AT29" i="3"/>
  <c r="AS29" i="3"/>
  <c r="AR29" i="3"/>
  <c r="AQ29" i="3"/>
  <c r="AP29" i="3"/>
  <c r="AO29" i="3"/>
  <c r="AN29" i="3"/>
  <c r="AM29" i="3"/>
  <c r="AL29" i="3"/>
  <c r="AK29" i="3"/>
  <c r="AJ29" i="3"/>
  <c r="AI29" i="3"/>
  <c r="AH29" i="3"/>
  <c r="AG29" i="3"/>
  <c r="AF29" i="3"/>
  <c r="AE29" i="3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EE23" i="3"/>
  <c r="ED23" i="3"/>
  <c r="EC23" i="3"/>
  <c r="EB23" i="3"/>
  <c r="EA23" i="3"/>
  <c r="DZ23" i="3"/>
  <c r="DY23" i="3"/>
  <c r="DX23" i="3"/>
  <c r="DW23" i="3"/>
  <c r="DV23" i="3"/>
  <c r="DU23" i="3"/>
  <c r="DT23" i="3"/>
  <c r="DS23" i="3"/>
  <c r="DR23" i="3"/>
  <c r="DO23" i="3"/>
  <c r="DN23" i="3"/>
  <c r="DM23" i="3"/>
  <c r="DL23" i="3"/>
  <c r="DK23" i="3"/>
  <c r="DJ23" i="3"/>
  <c r="DI23" i="3"/>
  <c r="DH23" i="3"/>
  <c r="DG23" i="3"/>
  <c r="DF23" i="3"/>
  <c r="DE23" i="3"/>
  <c r="DD23" i="3"/>
  <c r="DC23" i="3"/>
  <c r="DB23" i="3"/>
  <c r="DA23" i="3"/>
  <c r="CZ23" i="3"/>
  <c r="CY23" i="3"/>
  <c r="CX23" i="3"/>
  <c r="CW23" i="3"/>
  <c r="CV23" i="3"/>
  <c r="CU23" i="3"/>
  <c r="CT23" i="3"/>
  <c r="CS23" i="3"/>
  <c r="CR23" i="3"/>
  <c r="CQ23" i="3"/>
  <c r="CP23" i="3"/>
  <c r="CO23" i="3"/>
  <c r="CN23" i="3"/>
  <c r="CM23" i="3"/>
  <c r="CL23" i="3"/>
  <c r="CK23" i="3"/>
  <c r="CJ23" i="3"/>
  <c r="CI23" i="3"/>
  <c r="CH23" i="3"/>
  <c r="CG23" i="3"/>
  <c r="CF23" i="3"/>
  <c r="CE23" i="3"/>
  <c r="CD23" i="3"/>
  <c r="CC23" i="3"/>
  <c r="CB23" i="3"/>
  <c r="CA23" i="3"/>
  <c r="BZ23" i="3"/>
  <c r="BY23" i="3"/>
  <c r="BX23" i="3"/>
  <c r="BW23" i="3"/>
  <c r="BV23" i="3"/>
  <c r="BU23" i="3"/>
  <c r="BT23" i="3"/>
  <c r="BS23" i="3"/>
  <c r="BR23" i="3"/>
  <c r="BQ23" i="3"/>
  <c r="BP23" i="3"/>
  <c r="BO23" i="3"/>
  <c r="BN23" i="3"/>
  <c r="BM23" i="3"/>
  <c r="BL23" i="3"/>
  <c r="BK23" i="3"/>
  <c r="BJ23" i="3"/>
  <c r="BI23" i="3"/>
  <c r="BH23" i="3"/>
  <c r="BG23" i="3"/>
  <c r="BF23" i="3"/>
  <c r="BE23" i="3"/>
  <c r="BD23" i="3"/>
  <c r="BC23" i="3"/>
  <c r="BB23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V21" i="3"/>
  <c r="AW21" i="3"/>
  <c r="AX21" i="3"/>
  <c r="AY21" i="3"/>
  <c r="AZ21" i="3"/>
  <c r="BA21" i="3"/>
  <c r="BB21" i="3"/>
  <c r="BC21" i="3"/>
  <c r="BD21" i="3"/>
  <c r="BE21" i="3"/>
  <c r="BF21" i="3"/>
  <c r="BG21" i="3"/>
  <c r="BH21" i="3"/>
  <c r="BI21" i="3"/>
  <c r="BJ21" i="3"/>
  <c r="BK21" i="3"/>
  <c r="BL21" i="3"/>
  <c r="BM21" i="3"/>
  <c r="BN21" i="3"/>
  <c r="BO21" i="3"/>
  <c r="BP21" i="3"/>
  <c r="BQ21" i="3"/>
  <c r="BR21" i="3"/>
  <c r="BS21" i="3"/>
  <c r="BT21" i="3"/>
  <c r="BU21" i="3"/>
  <c r="BV21" i="3"/>
  <c r="BW21" i="3"/>
  <c r="BX21" i="3"/>
  <c r="BY21" i="3"/>
  <c r="BZ21" i="3"/>
  <c r="CA21" i="3"/>
  <c r="CB21" i="3"/>
  <c r="CC21" i="3"/>
  <c r="CD21" i="3"/>
  <c r="CE21" i="3"/>
  <c r="CF21" i="3"/>
  <c r="CG21" i="3"/>
  <c r="CH21" i="3"/>
  <c r="CI21" i="3"/>
  <c r="CJ21" i="3"/>
  <c r="CK21" i="3"/>
  <c r="CL21" i="3"/>
  <c r="CM21" i="3"/>
  <c r="CN21" i="3"/>
  <c r="CO21" i="3"/>
  <c r="CP21" i="3"/>
  <c r="CQ21" i="3"/>
  <c r="CR21" i="3"/>
  <c r="CS21" i="3"/>
  <c r="CT21" i="3"/>
  <c r="CU21" i="3"/>
  <c r="CV21" i="3"/>
  <c r="CW21" i="3"/>
  <c r="CX21" i="3"/>
  <c r="CY21" i="3"/>
  <c r="CZ21" i="3"/>
  <c r="DA21" i="3"/>
  <c r="DB21" i="3"/>
  <c r="DC21" i="3"/>
  <c r="DD21" i="3"/>
  <c r="DE21" i="3"/>
  <c r="DF21" i="3"/>
  <c r="DG21" i="3"/>
  <c r="DH21" i="3"/>
  <c r="DI21" i="3"/>
  <c r="DJ21" i="3"/>
  <c r="DK21" i="3"/>
  <c r="DL21" i="3"/>
  <c r="DM21" i="3"/>
  <c r="DN21" i="3"/>
  <c r="DO21" i="3"/>
  <c r="DP21" i="3"/>
  <c r="DQ21" i="3"/>
  <c r="DR21" i="3"/>
  <c r="DS21" i="3"/>
  <c r="DT21" i="3"/>
  <c r="DU21" i="3"/>
  <c r="DV21" i="3"/>
  <c r="DW21" i="3"/>
  <c r="DX21" i="3"/>
  <c r="DY21" i="3"/>
  <c r="DZ21" i="3"/>
  <c r="EA21" i="3"/>
  <c r="EB21" i="3"/>
  <c r="EC21" i="3"/>
  <c r="ED21" i="3"/>
  <c r="EE21" i="3"/>
  <c r="D21" i="3"/>
  <c r="E33" i="3" a="1"/>
  <c r="E33" i="3" s="1"/>
  <c r="F33" i="3" a="1"/>
  <c r="F33" i="3" s="1"/>
  <c r="G33" i="3" a="1"/>
  <c r="G33" i="3" s="1"/>
  <c r="H33" i="3" a="1"/>
  <c r="H33" i="3" s="1"/>
  <c r="I33" i="3" a="1"/>
  <c r="I33" i="3" s="1"/>
  <c r="J33" i="3" a="1"/>
  <c r="J33" i="3" s="1"/>
  <c r="K33" i="3" a="1"/>
  <c r="K33" i="3" s="1"/>
  <c r="L33" i="3" a="1"/>
  <c r="L33" i="3" s="1"/>
  <c r="M33" i="3" a="1"/>
  <c r="M33" i="3" s="1"/>
  <c r="N33" i="3" a="1"/>
  <c r="N33" i="3" s="1"/>
  <c r="O33" i="3" a="1"/>
  <c r="O33" i="3" s="1"/>
  <c r="P33" i="3" a="1"/>
  <c r="P33" i="3" s="1"/>
  <c r="Q33" i="3" a="1"/>
  <c r="Q33" i="3" s="1"/>
  <c r="R33" i="3" a="1"/>
  <c r="R33" i="3" s="1"/>
  <c r="S33" i="3" a="1"/>
  <c r="S33" i="3" s="1"/>
  <c r="T33" i="3" a="1"/>
  <c r="T33" i="3" s="1"/>
  <c r="U33" i="3" a="1"/>
  <c r="U33" i="3" s="1"/>
  <c r="V33" i="3" a="1"/>
  <c r="V33" i="3" s="1"/>
  <c r="W33" i="3" a="1"/>
  <c r="W33" i="3" s="1"/>
  <c r="X33" i="3" a="1"/>
  <c r="X33" i="3" s="1"/>
  <c r="Y33" i="3" a="1"/>
  <c r="Y33" i="3" s="1"/>
  <c r="Z33" i="3" a="1"/>
  <c r="Z33" i="3" s="1"/>
  <c r="AA33" i="3" a="1"/>
  <c r="AA33" i="3" s="1"/>
  <c r="AB33" i="3" a="1"/>
  <c r="AB33" i="3" s="1"/>
  <c r="AC33" i="3" a="1"/>
  <c r="AC33" i="3" s="1"/>
  <c r="AD33" i="3" a="1"/>
  <c r="AD33" i="3" s="1"/>
  <c r="AE33" i="3" a="1"/>
  <c r="AE33" i="3" s="1"/>
  <c r="AF33" i="3" a="1"/>
  <c r="AF33" i="3" s="1"/>
  <c r="AG33" i="3" a="1"/>
  <c r="AG33" i="3" s="1"/>
  <c r="AH33" i="3" a="1"/>
  <c r="AH33" i="3" s="1"/>
  <c r="AI33" i="3" a="1"/>
  <c r="AI33" i="3" s="1"/>
  <c r="AJ33" i="3" a="1"/>
  <c r="AJ33" i="3" s="1"/>
  <c r="AK33" i="3" a="1"/>
  <c r="AK33" i="3" s="1"/>
  <c r="AL33" i="3" a="1"/>
  <c r="AL33" i="3" s="1"/>
  <c r="AM33" i="3" a="1"/>
  <c r="AM33" i="3" s="1"/>
  <c r="AN33" i="3" a="1"/>
  <c r="AN33" i="3" s="1"/>
  <c r="AO33" i="3" a="1"/>
  <c r="AO33" i="3" s="1"/>
  <c r="AP33" i="3" a="1"/>
  <c r="AP33" i="3" s="1"/>
  <c r="AQ33" i="3" a="1"/>
  <c r="AQ33" i="3" s="1"/>
  <c r="AR33" i="3" a="1"/>
  <c r="AR33" i="3" s="1"/>
  <c r="AS33" i="3" a="1"/>
  <c r="AS33" i="3" s="1"/>
  <c r="AT33" i="3" a="1"/>
  <c r="AT33" i="3" s="1"/>
  <c r="AU33" i="3" a="1"/>
  <c r="AU33" i="3" s="1"/>
  <c r="AV33" i="3" a="1"/>
  <c r="AV33" i="3" s="1"/>
  <c r="AW33" i="3" a="1"/>
  <c r="AW33" i="3" s="1"/>
  <c r="AX33" i="3" a="1"/>
  <c r="AX33" i="3" s="1"/>
  <c r="AY33" i="3" a="1"/>
  <c r="AY33" i="3" s="1"/>
  <c r="AZ33" i="3" a="1"/>
  <c r="AZ33" i="3" s="1"/>
  <c r="BA33" i="3" a="1"/>
  <c r="BA33" i="3" s="1"/>
  <c r="BB33" i="3" a="1"/>
  <c r="BB33" i="3" s="1"/>
  <c r="BC33" i="3" a="1"/>
  <c r="BC33" i="3" s="1"/>
  <c r="BD33" i="3" a="1"/>
  <c r="BD33" i="3" s="1"/>
  <c r="BE33" i="3" a="1"/>
  <c r="BE33" i="3" s="1"/>
  <c r="BF33" i="3" a="1"/>
  <c r="BF33" i="3" s="1"/>
  <c r="BG33" i="3" a="1"/>
  <c r="BG33" i="3" s="1"/>
  <c r="BH33" i="3" a="1"/>
  <c r="BH33" i="3" s="1"/>
  <c r="BI33" i="3" a="1"/>
  <c r="BI33" i="3" s="1"/>
  <c r="BJ33" i="3" a="1"/>
  <c r="BJ33" i="3" s="1"/>
  <c r="BK33" i="3" a="1"/>
  <c r="BK33" i="3" s="1"/>
  <c r="BL33" i="3" a="1"/>
  <c r="BL33" i="3" s="1"/>
  <c r="BM33" i="3" a="1"/>
  <c r="BM33" i="3" s="1"/>
  <c r="BN33" i="3" a="1"/>
  <c r="BN33" i="3" s="1"/>
  <c r="BO33" i="3" a="1"/>
  <c r="BO33" i="3" s="1"/>
  <c r="BP33" i="3" a="1"/>
  <c r="BP33" i="3" s="1"/>
  <c r="BQ33" i="3" a="1"/>
  <c r="BQ33" i="3" s="1"/>
  <c r="BR33" i="3" a="1"/>
  <c r="BR33" i="3" s="1"/>
  <c r="BS33" i="3" a="1"/>
  <c r="BS33" i="3" s="1"/>
  <c r="BT33" i="3" a="1"/>
  <c r="BT33" i="3" s="1"/>
  <c r="BU33" i="3" a="1"/>
  <c r="BU33" i="3" s="1"/>
  <c r="BV33" i="3" a="1"/>
  <c r="BV33" i="3" s="1"/>
  <c r="BW33" i="3" a="1"/>
  <c r="BW33" i="3" s="1"/>
  <c r="BX33" i="3" a="1"/>
  <c r="BX33" i="3" s="1"/>
  <c r="BY33" i="3" a="1"/>
  <c r="BY33" i="3" s="1"/>
  <c r="BZ33" i="3" a="1"/>
  <c r="BZ33" i="3" s="1"/>
  <c r="CA33" i="3" a="1"/>
  <c r="CA33" i="3" s="1"/>
  <c r="CB33" i="3" a="1"/>
  <c r="CB33" i="3" s="1"/>
  <c r="CC33" i="3" a="1"/>
  <c r="CC33" i="3" s="1"/>
  <c r="CD33" i="3" a="1"/>
  <c r="CD33" i="3" s="1"/>
  <c r="CE33" i="3" a="1"/>
  <c r="CE33" i="3" s="1"/>
  <c r="CF33" i="3" a="1"/>
  <c r="CF33" i="3" s="1"/>
  <c r="CG33" i="3" a="1"/>
  <c r="CG33" i="3" s="1"/>
  <c r="CH33" i="3" a="1"/>
  <c r="CH33" i="3" s="1"/>
  <c r="CI33" i="3" a="1"/>
  <c r="CI33" i="3" s="1"/>
  <c r="CJ33" i="3" a="1"/>
  <c r="CJ33" i="3" s="1"/>
  <c r="CK33" i="3" a="1"/>
  <c r="CK33" i="3" s="1"/>
  <c r="CL33" i="3" a="1"/>
  <c r="CL33" i="3" s="1"/>
  <c r="CM33" i="3" a="1"/>
  <c r="CM33" i="3" s="1"/>
  <c r="CN33" i="3" a="1"/>
  <c r="CN33" i="3" s="1"/>
  <c r="CO33" i="3" a="1"/>
  <c r="CO33" i="3" s="1"/>
  <c r="CP33" i="3" a="1"/>
  <c r="CP33" i="3" s="1"/>
  <c r="CQ33" i="3" a="1"/>
  <c r="CQ33" i="3" s="1"/>
  <c r="CR33" i="3" a="1"/>
  <c r="CR33" i="3" s="1"/>
  <c r="CS33" i="3" a="1"/>
  <c r="CS33" i="3" s="1"/>
  <c r="CT33" i="3" a="1"/>
  <c r="CT33" i="3" s="1"/>
  <c r="CU33" i="3" a="1"/>
  <c r="CU33" i="3" s="1"/>
  <c r="CV33" i="3" a="1"/>
  <c r="CV33" i="3" s="1"/>
  <c r="CW33" i="3" a="1"/>
  <c r="CW33" i="3" s="1"/>
  <c r="CX33" i="3" a="1"/>
  <c r="CX33" i="3" s="1"/>
  <c r="CY33" i="3" a="1"/>
  <c r="CY33" i="3" s="1"/>
  <c r="CZ33" i="3" a="1"/>
  <c r="CZ33" i="3" s="1"/>
  <c r="DA33" i="3" a="1"/>
  <c r="DA33" i="3" s="1"/>
  <c r="DB33" i="3" a="1"/>
  <c r="DB33" i="3" s="1"/>
  <c r="DC33" i="3" a="1"/>
  <c r="DC33" i="3" s="1"/>
  <c r="DD33" i="3" a="1"/>
  <c r="DD33" i="3" s="1"/>
  <c r="DE33" i="3" a="1"/>
  <c r="DE33" i="3" s="1"/>
  <c r="DF33" i="3" a="1"/>
  <c r="DF33" i="3" s="1"/>
  <c r="DG33" i="3" a="1"/>
  <c r="DG33" i="3" s="1"/>
  <c r="DH33" i="3" a="1"/>
  <c r="DH33" i="3" s="1"/>
  <c r="DI33" i="3" a="1"/>
  <c r="DI33" i="3" s="1"/>
  <c r="DJ33" i="3" a="1"/>
  <c r="DJ33" i="3" s="1"/>
  <c r="DK33" i="3" a="1"/>
  <c r="DK33" i="3" s="1"/>
  <c r="DL33" i="3" a="1"/>
  <c r="DL33" i="3" s="1"/>
  <c r="DM33" i="3" a="1"/>
  <c r="DM33" i="3" s="1"/>
  <c r="DN33" i="3" a="1"/>
  <c r="DN33" i="3" s="1"/>
  <c r="DP33" i="3" a="1"/>
  <c r="DP33" i="3" s="1"/>
  <c r="DQ33" i="3" a="1"/>
  <c r="DQ33" i="3" s="1"/>
  <c r="DR33" i="3" a="1"/>
  <c r="DR33" i="3" s="1"/>
  <c r="DS33" i="3" a="1"/>
  <c r="DS33" i="3" s="1"/>
  <c r="DT33" i="3" a="1"/>
  <c r="DT33" i="3" s="1"/>
  <c r="DU33" i="3" a="1"/>
  <c r="DU33" i="3" s="1"/>
  <c r="DV33" i="3" a="1"/>
  <c r="DV33" i="3" s="1"/>
  <c r="DW33" i="3" a="1"/>
  <c r="DW33" i="3" s="1"/>
  <c r="DX33" i="3" a="1"/>
  <c r="DX33" i="3" s="1"/>
  <c r="DY33" i="3" a="1"/>
  <c r="DY33" i="3" s="1"/>
  <c r="DZ33" i="3" a="1"/>
  <c r="DZ33" i="3" s="1"/>
  <c r="EA33" i="3" a="1"/>
  <c r="EA33" i="3" s="1"/>
  <c r="EB33" i="3" a="1"/>
  <c r="EB33" i="3" s="1"/>
  <c r="EC33" i="3" a="1"/>
  <c r="EC33" i="3" s="1"/>
  <c r="ED33" i="3" a="1"/>
  <c r="ED33" i="3" s="1"/>
  <c r="EE33" i="3" a="1"/>
  <c r="EE33" i="3" s="1"/>
  <c r="D33" i="3" a="1"/>
  <c r="D33" i="3" s="1"/>
  <c r="ED31" i="3"/>
  <c r="EC31" i="3"/>
  <c r="EB31" i="3"/>
  <c r="EA31" i="3"/>
  <c r="DZ31" i="3"/>
  <c r="DY31" i="3"/>
  <c r="DX31" i="3"/>
  <c r="DW31" i="3"/>
  <c r="DV31" i="3"/>
  <c r="DU31" i="3"/>
  <c r="DT31" i="3"/>
  <c r="DS31" i="3"/>
  <c r="DR31" i="3"/>
  <c r="DQ31" i="3"/>
  <c r="DP31" i="3"/>
  <c r="DN31" i="3"/>
  <c r="DM31" i="3"/>
  <c r="DL31" i="3"/>
  <c r="DK31" i="3"/>
  <c r="DJ31" i="3"/>
  <c r="DI31" i="3"/>
  <c r="DH31" i="3"/>
  <c r="DG31" i="3"/>
  <c r="DF31" i="3"/>
  <c r="DE31" i="3"/>
  <c r="DD31" i="3"/>
  <c r="DC31" i="3"/>
  <c r="DB31" i="3"/>
  <c r="DA31" i="3"/>
  <c r="CZ31" i="3"/>
  <c r="CY31" i="3"/>
  <c r="CX31" i="3"/>
  <c r="CW31" i="3"/>
  <c r="CV31" i="3"/>
  <c r="CU31" i="3"/>
  <c r="CT31" i="3"/>
  <c r="CS31" i="3"/>
  <c r="CR31" i="3"/>
  <c r="CQ31" i="3"/>
  <c r="CP31" i="3"/>
  <c r="CO31" i="3"/>
  <c r="CN31" i="3"/>
  <c r="CM31" i="3"/>
  <c r="CL31" i="3"/>
  <c r="CK31" i="3"/>
  <c r="CJ31" i="3"/>
  <c r="CI31" i="3"/>
  <c r="CH31" i="3"/>
  <c r="CG31" i="3"/>
  <c r="CF31" i="3"/>
  <c r="CE31" i="3"/>
  <c r="CD31" i="3"/>
  <c r="CC31" i="3"/>
  <c r="CB31" i="3"/>
  <c r="CA31" i="3"/>
  <c r="BZ31" i="3"/>
  <c r="BY31" i="3"/>
  <c r="BX31" i="3"/>
  <c r="BW31" i="3"/>
  <c r="BV31" i="3"/>
  <c r="BU31" i="3"/>
  <c r="BT31" i="3"/>
  <c r="BS31" i="3"/>
  <c r="BR31" i="3"/>
  <c r="BQ31" i="3"/>
  <c r="BP31" i="3"/>
  <c r="BO31" i="3"/>
  <c r="BN31" i="3"/>
  <c r="BM31" i="3"/>
  <c r="BL31" i="3"/>
  <c r="BK31" i="3"/>
  <c r="BJ31" i="3"/>
  <c r="BI31" i="3"/>
  <c r="BH31" i="3"/>
  <c r="BG31" i="3"/>
  <c r="BF31" i="3"/>
  <c r="BE31" i="3"/>
  <c r="BD31" i="3"/>
  <c r="BC31" i="3"/>
  <c r="BB31" i="3"/>
  <c r="BA31" i="3"/>
  <c r="AZ31" i="3"/>
  <c r="AY31" i="3"/>
  <c r="AX31" i="3"/>
  <c r="AW31" i="3"/>
  <c r="AV31" i="3"/>
  <c r="AU31" i="3"/>
  <c r="AT31" i="3"/>
  <c r="AS31" i="3"/>
  <c r="AR31" i="3"/>
  <c r="AQ31" i="3"/>
  <c r="AP31" i="3"/>
  <c r="AO31" i="3"/>
  <c r="AN31" i="3"/>
  <c r="AM31" i="3"/>
  <c r="AL31" i="3"/>
  <c r="AK31" i="3"/>
  <c r="AJ31" i="3"/>
  <c r="AI31" i="3"/>
  <c r="AH31" i="3"/>
  <c r="AG31" i="3"/>
  <c r="AF31" i="3"/>
  <c r="AE31" i="3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ED25" i="3"/>
  <c r="EC25" i="3"/>
  <c r="EB25" i="3"/>
  <c r="EA25" i="3"/>
  <c r="DZ25" i="3"/>
  <c r="DY25" i="3"/>
  <c r="DX25" i="3"/>
  <c r="DW25" i="3"/>
  <c r="DV25" i="3"/>
  <c r="DU25" i="3"/>
  <c r="DT25" i="3"/>
  <c r="DS25" i="3"/>
  <c r="DR25" i="3"/>
  <c r="DQ25" i="3"/>
  <c r="DP25" i="3"/>
  <c r="DO25" i="3"/>
  <c r="DM25" i="3"/>
  <c r="DL25" i="3"/>
  <c r="DK25" i="3"/>
  <c r="DJ25" i="3"/>
  <c r="DI25" i="3"/>
  <c r="DH25" i="3"/>
  <c r="DG25" i="3"/>
  <c r="DF25" i="3"/>
  <c r="DE25" i="3"/>
  <c r="DD25" i="3"/>
  <c r="DC25" i="3"/>
  <c r="DB25" i="3"/>
  <c r="DA25" i="3"/>
  <c r="CZ25" i="3"/>
  <c r="CY25" i="3"/>
  <c r="CX25" i="3"/>
  <c r="CW25" i="3"/>
  <c r="CV25" i="3"/>
  <c r="CU25" i="3"/>
  <c r="CT25" i="3"/>
  <c r="CS25" i="3"/>
  <c r="CR25" i="3"/>
  <c r="CQ25" i="3"/>
  <c r="CP25" i="3"/>
  <c r="CO25" i="3"/>
  <c r="CN25" i="3"/>
  <c r="CM25" i="3"/>
  <c r="CL25" i="3"/>
  <c r="CK25" i="3"/>
  <c r="CJ25" i="3"/>
  <c r="CI25" i="3"/>
  <c r="CH25" i="3"/>
  <c r="CG25" i="3"/>
  <c r="CF25" i="3"/>
  <c r="CE25" i="3"/>
  <c r="CD25" i="3"/>
  <c r="CC25" i="3"/>
  <c r="CB25" i="3"/>
  <c r="CA25" i="3"/>
  <c r="BZ25" i="3"/>
  <c r="BY25" i="3"/>
  <c r="BX25" i="3"/>
  <c r="BW25" i="3"/>
  <c r="BV25" i="3"/>
  <c r="BU25" i="3"/>
  <c r="BT25" i="3"/>
  <c r="BS25" i="3"/>
  <c r="BR25" i="3"/>
  <c r="BQ25" i="3"/>
  <c r="BP25" i="3"/>
  <c r="BO25" i="3"/>
  <c r="BN25" i="3"/>
  <c r="BM25" i="3"/>
  <c r="BL25" i="3"/>
  <c r="BK25" i="3"/>
  <c r="BJ25" i="3"/>
  <c r="BI25" i="3"/>
  <c r="BH25" i="3"/>
  <c r="BG25" i="3"/>
  <c r="BF25" i="3"/>
  <c r="BE25" i="3"/>
  <c r="BD25" i="3"/>
  <c r="BC25" i="3"/>
  <c r="BB25" i="3"/>
  <c r="BA25" i="3"/>
  <c r="AZ25" i="3"/>
  <c r="AY25" i="3"/>
  <c r="AX25" i="3"/>
  <c r="AW25" i="3"/>
  <c r="AV25" i="3"/>
  <c r="AU25" i="3"/>
  <c r="AT25" i="3"/>
  <c r="AS25" i="3"/>
  <c r="AR25" i="3"/>
  <c r="AQ25" i="3"/>
  <c r="AP25" i="3"/>
  <c r="AO25" i="3"/>
  <c r="AN25" i="3"/>
  <c r="AM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EE32" i="3"/>
  <c r="ED32" i="3"/>
  <c r="EC32" i="3"/>
  <c r="EB32" i="3"/>
  <c r="EA32" i="3"/>
  <c r="DZ32" i="3"/>
  <c r="DY32" i="3"/>
  <c r="DX32" i="3"/>
  <c r="DW32" i="3"/>
  <c r="DV32" i="3"/>
  <c r="DU32" i="3"/>
  <c r="DT32" i="3"/>
  <c r="DS32" i="3"/>
  <c r="DR32" i="3"/>
  <c r="DQ32" i="3"/>
  <c r="DP32" i="3"/>
  <c r="DO32" i="3"/>
  <c r="DN32" i="3"/>
  <c r="DM32" i="3"/>
  <c r="DL32" i="3"/>
  <c r="DK32" i="3"/>
  <c r="DJ32" i="3"/>
  <c r="DI32" i="3"/>
  <c r="DH32" i="3"/>
  <c r="DG32" i="3"/>
  <c r="DF32" i="3"/>
  <c r="DE32" i="3"/>
  <c r="DD32" i="3"/>
  <c r="DC32" i="3"/>
  <c r="DB32" i="3"/>
  <c r="DA32" i="3"/>
  <c r="CZ32" i="3"/>
  <c r="CY32" i="3"/>
  <c r="CX32" i="3"/>
  <c r="CW32" i="3"/>
  <c r="CV32" i="3"/>
  <c r="CU32" i="3"/>
  <c r="CT32" i="3"/>
  <c r="CS32" i="3"/>
  <c r="CR32" i="3"/>
  <c r="CQ32" i="3"/>
  <c r="CP32" i="3"/>
  <c r="CO32" i="3"/>
  <c r="CN32" i="3"/>
  <c r="CM32" i="3"/>
  <c r="CL32" i="3"/>
  <c r="CK32" i="3"/>
  <c r="CJ32" i="3"/>
  <c r="CI32" i="3"/>
  <c r="CH32" i="3"/>
  <c r="CG32" i="3"/>
  <c r="CF32" i="3"/>
  <c r="CE32" i="3"/>
  <c r="CD32" i="3"/>
  <c r="CC32" i="3"/>
  <c r="CB32" i="3"/>
  <c r="CA32" i="3"/>
  <c r="BZ32" i="3"/>
  <c r="BY32" i="3"/>
  <c r="BX32" i="3"/>
  <c r="BW32" i="3"/>
  <c r="BV32" i="3"/>
  <c r="BU32" i="3"/>
  <c r="BT32" i="3"/>
  <c r="BS32" i="3"/>
  <c r="BR32" i="3"/>
  <c r="BQ32" i="3"/>
  <c r="BP32" i="3"/>
  <c r="BO32" i="3"/>
  <c r="BN32" i="3"/>
  <c r="BM32" i="3"/>
  <c r="BL32" i="3"/>
  <c r="BK32" i="3"/>
  <c r="BJ32" i="3"/>
  <c r="BI32" i="3"/>
  <c r="BH32" i="3"/>
  <c r="BG32" i="3"/>
  <c r="BF32" i="3"/>
  <c r="BE32" i="3"/>
  <c r="BD32" i="3"/>
  <c r="BC32" i="3"/>
  <c r="BB32" i="3"/>
  <c r="BA32" i="3"/>
  <c r="AZ32" i="3"/>
  <c r="AY32" i="3"/>
  <c r="AX32" i="3"/>
  <c r="AW32" i="3"/>
  <c r="AV32" i="3"/>
  <c r="AU32" i="3"/>
  <c r="AT32" i="3"/>
  <c r="AS32" i="3"/>
  <c r="AR32" i="3"/>
  <c r="AQ32" i="3"/>
  <c r="AP32" i="3"/>
  <c r="AO32" i="3"/>
  <c r="AN32" i="3"/>
  <c r="AM32" i="3"/>
  <c r="AL32" i="3"/>
  <c r="AK32" i="3"/>
  <c r="AJ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EE30" i="3"/>
  <c r="ED30" i="3"/>
  <c r="EC30" i="3"/>
  <c r="EB30" i="3"/>
  <c r="EA30" i="3"/>
  <c r="DZ30" i="3"/>
  <c r="DY30" i="3"/>
  <c r="DX30" i="3"/>
  <c r="DW30" i="3"/>
  <c r="DV30" i="3"/>
  <c r="DU30" i="3"/>
  <c r="DT30" i="3"/>
  <c r="DS30" i="3"/>
  <c r="DR30" i="3"/>
  <c r="DQ30" i="3"/>
  <c r="DP30" i="3"/>
  <c r="DN30" i="3"/>
  <c r="DM30" i="3"/>
  <c r="DL30" i="3"/>
  <c r="DK30" i="3"/>
  <c r="DJ30" i="3"/>
  <c r="DI30" i="3"/>
  <c r="DH30" i="3"/>
  <c r="DG30" i="3"/>
  <c r="DF30" i="3"/>
  <c r="DE30" i="3"/>
  <c r="DD30" i="3"/>
  <c r="DC30" i="3"/>
  <c r="DB30" i="3"/>
  <c r="DA30" i="3"/>
  <c r="CZ30" i="3"/>
  <c r="CY30" i="3"/>
  <c r="CX30" i="3"/>
  <c r="CW30" i="3"/>
  <c r="CV30" i="3"/>
  <c r="CU30" i="3"/>
  <c r="CT30" i="3"/>
  <c r="CS30" i="3"/>
  <c r="CR30" i="3"/>
  <c r="CQ30" i="3"/>
  <c r="CP30" i="3"/>
  <c r="CO30" i="3"/>
  <c r="CN30" i="3"/>
  <c r="CM30" i="3"/>
  <c r="CL30" i="3"/>
  <c r="CK30" i="3"/>
  <c r="CJ30" i="3"/>
  <c r="CI30" i="3"/>
  <c r="CH30" i="3"/>
  <c r="CG30" i="3"/>
  <c r="CF30" i="3"/>
  <c r="CE30" i="3"/>
  <c r="CD30" i="3"/>
  <c r="CC30" i="3"/>
  <c r="CB30" i="3"/>
  <c r="CA30" i="3"/>
  <c r="BZ30" i="3"/>
  <c r="BY30" i="3"/>
  <c r="BX30" i="3"/>
  <c r="BW30" i="3"/>
  <c r="BV30" i="3"/>
  <c r="BU30" i="3"/>
  <c r="BT30" i="3"/>
  <c r="BS30" i="3"/>
  <c r="BR30" i="3"/>
  <c r="BQ30" i="3"/>
  <c r="BP30" i="3"/>
  <c r="BO30" i="3"/>
  <c r="BN30" i="3"/>
  <c r="BM30" i="3"/>
  <c r="BL30" i="3"/>
  <c r="BK30" i="3"/>
  <c r="BJ30" i="3"/>
  <c r="BI30" i="3"/>
  <c r="BH30" i="3"/>
  <c r="BG30" i="3"/>
  <c r="BF30" i="3"/>
  <c r="BE30" i="3"/>
  <c r="BD30" i="3"/>
  <c r="BC30" i="3"/>
  <c r="BB30" i="3"/>
  <c r="BA30" i="3"/>
  <c r="AZ30" i="3"/>
  <c r="AY30" i="3"/>
  <c r="AX30" i="3"/>
  <c r="AW30" i="3"/>
  <c r="AV30" i="3"/>
  <c r="AU30" i="3"/>
  <c r="AT30" i="3"/>
  <c r="AS30" i="3"/>
  <c r="AR30" i="3"/>
  <c r="AQ30" i="3"/>
  <c r="AP30" i="3"/>
  <c r="AO30" i="3"/>
  <c r="AN30" i="3"/>
  <c r="AM30" i="3"/>
  <c r="AL30" i="3"/>
  <c r="AK30" i="3"/>
  <c r="AJ30" i="3"/>
  <c r="AI30" i="3"/>
  <c r="AH30" i="3"/>
  <c r="AG30" i="3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EE20" i="3"/>
  <c r="ED20" i="3"/>
  <c r="EC20" i="3"/>
  <c r="EB20" i="3"/>
  <c r="EA20" i="3"/>
  <c r="DZ20" i="3"/>
  <c r="DY20" i="3"/>
  <c r="DX20" i="3"/>
  <c r="DW20" i="3"/>
  <c r="DV20" i="3"/>
  <c r="DU20" i="3"/>
  <c r="DT20" i="3"/>
  <c r="DS20" i="3"/>
  <c r="DQ20" i="3"/>
  <c r="DP20" i="3"/>
  <c r="DO20" i="3"/>
  <c r="DN20" i="3"/>
  <c r="DM20" i="3"/>
  <c r="DL20" i="3"/>
  <c r="DK20" i="3"/>
  <c r="DJ20" i="3"/>
  <c r="DI20" i="3"/>
  <c r="DH20" i="3"/>
  <c r="DG20" i="3"/>
  <c r="DF20" i="3"/>
  <c r="DE20" i="3"/>
  <c r="DD20" i="3"/>
  <c r="DC20" i="3"/>
  <c r="DB20" i="3"/>
  <c r="DA20" i="3"/>
  <c r="CZ20" i="3"/>
  <c r="CY20" i="3"/>
  <c r="CX20" i="3"/>
  <c r="CW20" i="3"/>
  <c r="CV20" i="3"/>
  <c r="CU20" i="3"/>
  <c r="CT20" i="3"/>
  <c r="CS20" i="3"/>
  <c r="CR20" i="3"/>
  <c r="CQ20" i="3"/>
  <c r="CP20" i="3"/>
  <c r="CO20" i="3"/>
  <c r="CN20" i="3"/>
  <c r="CM20" i="3"/>
  <c r="CL20" i="3"/>
  <c r="CK20" i="3"/>
  <c r="CJ20" i="3"/>
  <c r="CI20" i="3"/>
  <c r="CH20" i="3"/>
  <c r="CG20" i="3"/>
  <c r="CF20" i="3"/>
  <c r="CE20" i="3"/>
  <c r="CD20" i="3"/>
  <c r="CC20" i="3"/>
  <c r="CB20" i="3"/>
  <c r="CA20" i="3"/>
  <c r="BZ20" i="3"/>
  <c r="BY20" i="3"/>
  <c r="BX20" i="3"/>
  <c r="BW20" i="3"/>
  <c r="BV20" i="3"/>
  <c r="BU20" i="3"/>
  <c r="BT20" i="3"/>
  <c r="BS20" i="3"/>
  <c r="BR20" i="3"/>
  <c r="BQ20" i="3"/>
  <c r="BP20" i="3"/>
  <c r="BO20" i="3"/>
  <c r="BN20" i="3"/>
  <c r="BM20" i="3"/>
  <c r="BL20" i="3"/>
  <c r="BK20" i="3"/>
  <c r="BJ20" i="3"/>
  <c r="BI20" i="3"/>
  <c r="BH20" i="3"/>
  <c r="BG20" i="3"/>
  <c r="BF20" i="3"/>
  <c r="BE20" i="3"/>
  <c r="BD20" i="3"/>
  <c r="BC20" i="3"/>
  <c r="BB20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U12" i="3"/>
  <c r="AV12" i="3"/>
  <c r="AW12" i="3"/>
  <c r="AX12" i="3"/>
  <c r="AY12" i="3"/>
  <c r="AZ12" i="3"/>
  <c r="BA12" i="3"/>
  <c r="BB12" i="3"/>
  <c r="BC12" i="3"/>
  <c r="BD12" i="3"/>
  <c r="BE12" i="3"/>
  <c r="BF12" i="3"/>
  <c r="BG12" i="3"/>
  <c r="BH12" i="3"/>
  <c r="BI12" i="3"/>
  <c r="BJ12" i="3"/>
  <c r="BK12" i="3"/>
  <c r="BL12" i="3"/>
  <c r="BM12" i="3"/>
  <c r="BN12" i="3"/>
  <c r="BO12" i="3"/>
  <c r="BP12" i="3"/>
  <c r="BQ12" i="3"/>
  <c r="BR12" i="3"/>
  <c r="BS12" i="3"/>
  <c r="BT12" i="3"/>
  <c r="BU12" i="3"/>
  <c r="BV12" i="3"/>
  <c r="BW12" i="3"/>
  <c r="BX12" i="3"/>
  <c r="BY12" i="3"/>
  <c r="BZ12" i="3"/>
  <c r="CA12" i="3"/>
  <c r="CB12" i="3"/>
  <c r="CC12" i="3"/>
  <c r="CD12" i="3"/>
  <c r="CE12" i="3"/>
  <c r="CF12" i="3"/>
  <c r="CG12" i="3"/>
  <c r="CH12" i="3"/>
  <c r="CI12" i="3"/>
  <c r="CJ12" i="3"/>
  <c r="CK12" i="3"/>
  <c r="CL12" i="3"/>
  <c r="CM12" i="3"/>
  <c r="CN12" i="3"/>
  <c r="CO12" i="3"/>
  <c r="CP12" i="3"/>
  <c r="CQ12" i="3"/>
  <c r="CR12" i="3"/>
  <c r="CS12" i="3"/>
  <c r="CT12" i="3"/>
  <c r="CU12" i="3"/>
  <c r="CV12" i="3"/>
  <c r="CW12" i="3"/>
  <c r="CX12" i="3"/>
  <c r="CY12" i="3"/>
  <c r="CZ12" i="3"/>
  <c r="DA12" i="3"/>
  <c r="DB12" i="3"/>
  <c r="DC12" i="3"/>
  <c r="DD12" i="3"/>
  <c r="DE12" i="3"/>
  <c r="DF12" i="3"/>
  <c r="DG12" i="3"/>
  <c r="DH12" i="3"/>
  <c r="DI12" i="3"/>
  <c r="DJ12" i="3"/>
  <c r="DK12" i="3"/>
  <c r="DL12" i="3"/>
  <c r="DM12" i="3"/>
  <c r="DN12" i="3"/>
  <c r="DO12" i="3"/>
  <c r="DP12" i="3"/>
  <c r="DQ12" i="3"/>
  <c r="DR12" i="3"/>
  <c r="DS12" i="3"/>
  <c r="DT12" i="3"/>
  <c r="DU12" i="3"/>
  <c r="DV12" i="3"/>
  <c r="DW12" i="3"/>
  <c r="DX12" i="3"/>
  <c r="DY12" i="3"/>
  <c r="DZ12" i="3"/>
  <c r="EA12" i="3"/>
  <c r="EB12" i="3"/>
  <c r="EC12" i="3"/>
  <c r="ED12" i="3"/>
  <c r="EE12" i="3"/>
  <c r="D12" i="3"/>
  <c r="EE19" i="3"/>
  <c r="ED19" i="3"/>
  <c r="EC19" i="3"/>
  <c r="EB19" i="3"/>
  <c r="EA19" i="3"/>
  <c r="DZ19" i="3"/>
  <c r="DY19" i="3"/>
  <c r="DX19" i="3"/>
  <c r="DW19" i="3"/>
  <c r="DV19" i="3"/>
  <c r="DU19" i="3"/>
  <c r="DT19" i="3"/>
  <c r="DS19" i="3"/>
  <c r="DR19" i="3"/>
  <c r="DQ19" i="3"/>
  <c r="DP19" i="3"/>
  <c r="DO19" i="3"/>
  <c r="DN19" i="3"/>
  <c r="DM19" i="3"/>
  <c r="DL19" i="3"/>
  <c r="DK19" i="3"/>
  <c r="DJ19" i="3"/>
  <c r="DI19" i="3"/>
  <c r="DH19" i="3"/>
  <c r="DG19" i="3"/>
  <c r="DF19" i="3"/>
  <c r="DE19" i="3"/>
  <c r="DD19" i="3"/>
  <c r="DC19" i="3"/>
  <c r="DB19" i="3"/>
  <c r="DA19" i="3"/>
  <c r="CZ19" i="3"/>
  <c r="CY19" i="3"/>
  <c r="CX19" i="3"/>
  <c r="CW19" i="3"/>
  <c r="CV19" i="3"/>
  <c r="CU19" i="3"/>
  <c r="CT19" i="3"/>
  <c r="CS19" i="3"/>
  <c r="CR19" i="3"/>
  <c r="CQ19" i="3"/>
  <c r="CP19" i="3"/>
  <c r="CO19" i="3"/>
  <c r="CN19" i="3"/>
  <c r="CM19" i="3"/>
  <c r="CL19" i="3"/>
  <c r="CK19" i="3"/>
  <c r="CJ19" i="3"/>
  <c r="CI19" i="3"/>
  <c r="CH19" i="3"/>
  <c r="CG19" i="3"/>
  <c r="CF19" i="3"/>
  <c r="CE19" i="3"/>
  <c r="CD19" i="3"/>
  <c r="CC19" i="3"/>
  <c r="CB19" i="3"/>
  <c r="CA19" i="3"/>
  <c r="BZ19" i="3"/>
  <c r="BY19" i="3"/>
  <c r="BX19" i="3"/>
  <c r="BW19" i="3"/>
  <c r="BV19" i="3"/>
  <c r="BU19" i="3"/>
  <c r="BT19" i="3"/>
  <c r="BS19" i="3"/>
  <c r="BR19" i="3"/>
  <c r="BQ19" i="3"/>
  <c r="BP19" i="3"/>
  <c r="BO19" i="3"/>
  <c r="BN19" i="3"/>
  <c r="BM19" i="3"/>
  <c r="BL19" i="3"/>
  <c r="BK19" i="3"/>
  <c r="BJ19" i="3"/>
  <c r="BI19" i="3"/>
  <c r="BH19" i="3"/>
  <c r="BG19" i="3"/>
  <c r="BF19" i="3"/>
  <c r="BE19" i="3"/>
  <c r="BD19" i="3"/>
  <c r="BC19" i="3"/>
  <c r="BB19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EE24" i="3"/>
  <c r="ED24" i="3"/>
  <c r="EC24" i="3"/>
  <c r="EB24" i="3"/>
  <c r="EA24" i="3"/>
  <c r="DZ24" i="3"/>
  <c r="DY24" i="3"/>
  <c r="DX24" i="3"/>
  <c r="DW24" i="3"/>
  <c r="DV24" i="3"/>
  <c r="DU24" i="3"/>
  <c r="DT24" i="3"/>
  <c r="DS24" i="3"/>
  <c r="DR24" i="3"/>
  <c r="DQ24" i="3"/>
  <c r="DP24" i="3"/>
  <c r="DO24" i="3"/>
  <c r="DN24" i="3"/>
  <c r="DM24" i="3"/>
  <c r="DL24" i="3"/>
  <c r="DK24" i="3"/>
  <c r="DJ24" i="3"/>
  <c r="DI24" i="3"/>
  <c r="DH24" i="3"/>
  <c r="DG24" i="3"/>
  <c r="DF24" i="3"/>
  <c r="DE24" i="3"/>
  <c r="DD24" i="3"/>
  <c r="DC24" i="3"/>
  <c r="DB24" i="3"/>
  <c r="DA24" i="3"/>
  <c r="CZ24" i="3"/>
  <c r="CY24" i="3"/>
  <c r="CX24" i="3"/>
  <c r="CW24" i="3"/>
  <c r="CV24" i="3"/>
  <c r="CU24" i="3"/>
  <c r="CT24" i="3"/>
  <c r="CS24" i="3"/>
  <c r="CR24" i="3"/>
  <c r="CQ24" i="3"/>
  <c r="CP24" i="3"/>
  <c r="CO24" i="3"/>
  <c r="CN24" i="3"/>
  <c r="CM24" i="3"/>
  <c r="CL24" i="3"/>
  <c r="CK24" i="3"/>
  <c r="CJ24" i="3"/>
  <c r="CI24" i="3"/>
  <c r="CH24" i="3"/>
  <c r="CG24" i="3"/>
  <c r="CF24" i="3"/>
  <c r="CE24" i="3"/>
  <c r="CD24" i="3"/>
  <c r="CC24" i="3"/>
  <c r="CB24" i="3"/>
  <c r="CA24" i="3"/>
  <c r="BZ24" i="3"/>
  <c r="BY24" i="3"/>
  <c r="BX24" i="3"/>
  <c r="BW24" i="3"/>
  <c r="BV24" i="3"/>
  <c r="BU24" i="3"/>
  <c r="BT24" i="3"/>
  <c r="BS24" i="3"/>
  <c r="BR24" i="3"/>
  <c r="BQ24" i="3"/>
  <c r="BP24" i="3"/>
  <c r="BO24" i="3"/>
  <c r="BN24" i="3"/>
  <c r="BM24" i="3"/>
  <c r="BL24" i="3"/>
  <c r="BK24" i="3"/>
  <c r="BJ24" i="3"/>
  <c r="BI24" i="3"/>
  <c r="BH24" i="3"/>
  <c r="BG24" i="3"/>
  <c r="BF24" i="3"/>
  <c r="BE24" i="3"/>
  <c r="BD24" i="3"/>
  <c r="BC24" i="3"/>
  <c r="BB24" i="3"/>
  <c r="BA24" i="3"/>
  <c r="AZ24" i="3"/>
  <c r="AY24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EE18" i="3"/>
  <c r="ED18" i="3"/>
  <c r="EC18" i="3"/>
  <c r="EB18" i="3"/>
  <c r="EA18" i="3"/>
  <c r="DZ18" i="3"/>
  <c r="DY18" i="3"/>
  <c r="DX18" i="3"/>
  <c r="DW18" i="3"/>
  <c r="DV18" i="3"/>
  <c r="DU18" i="3"/>
  <c r="DT18" i="3"/>
  <c r="DS18" i="3"/>
  <c r="DR18" i="3"/>
  <c r="DQ18" i="3"/>
  <c r="DP18" i="3"/>
  <c r="DO18" i="3"/>
  <c r="DN18" i="3"/>
  <c r="DM18" i="3"/>
  <c r="DL18" i="3"/>
  <c r="DK18" i="3"/>
  <c r="DJ18" i="3"/>
  <c r="DI18" i="3"/>
  <c r="DH18" i="3"/>
  <c r="DG18" i="3"/>
  <c r="DF18" i="3"/>
  <c r="DE18" i="3"/>
  <c r="DD18" i="3"/>
  <c r="DC18" i="3"/>
  <c r="DB18" i="3"/>
  <c r="DA18" i="3"/>
  <c r="CZ18" i="3"/>
  <c r="CY18" i="3"/>
  <c r="CX18" i="3"/>
  <c r="CW18" i="3"/>
  <c r="CV18" i="3"/>
  <c r="CU18" i="3"/>
  <c r="CT18" i="3"/>
  <c r="CS18" i="3"/>
  <c r="CR18" i="3"/>
  <c r="CQ18" i="3"/>
  <c r="CP18" i="3"/>
  <c r="CO18" i="3"/>
  <c r="CN18" i="3"/>
  <c r="CM18" i="3"/>
  <c r="CL18" i="3"/>
  <c r="CK18" i="3"/>
  <c r="CJ18" i="3"/>
  <c r="CI18" i="3"/>
  <c r="CH18" i="3"/>
  <c r="CG18" i="3"/>
  <c r="CF18" i="3"/>
  <c r="CE18" i="3"/>
  <c r="CD18" i="3"/>
  <c r="CC18" i="3"/>
  <c r="CB18" i="3"/>
  <c r="CA18" i="3"/>
  <c r="BZ18" i="3"/>
  <c r="BY18" i="3"/>
  <c r="BX18" i="3"/>
  <c r="BW18" i="3"/>
  <c r="BV18" i="3"/>
  <c r="BU18" i="3"/>
  <c r="BT18" i="3"/>
  <c r="BS18" i="3"/>
  <c r="BR18" i="3"/>
  <c r="BQ18" i="3"/>
  <c r="BP18" i="3"/>
  <c r="BO18" i="3"/>
  <c r="BN18" i="3"/>
  <c r="BM18" i="3"/>
  <c r="BL18" i="3"/>
  <c r="BK18" i="3"/>
  <c r="BJ18" i="3"/>
  <c r="BI18" i="3"/>
  <c r="BH18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EE11" i="3"/>
  <c r="ED11" i="3"/>
  <c r="EC11" i="3"/>
  <c r="EB11" i="3"/>
  <c r="EA11" i="3"/>
  <c r="DZ11" i="3"/>
  <c r="DY11" i="3"/>
  <c r="DX11" i="3"/>
  <c r="DW11" i="3"/>
  <c r="DV11" i="3"/>
  <c r="DU11" i="3"/>
  <c r="DT11" i="3"/>
  <c r="DS11" i="3"/>
  <c r="DR11" i="3"/>
  <c r="DQ11" i="3"/>
  <c r="DP11" i="3"/>
  <c r="DO11" i="3"/>
  <c r="DN11" i="3"/>
  <c r="DM11" i="3"/>
  <c r="DL11" i="3"/>
  <c r="DK11" i="3"/>
  <c r="DJ11" i="3"/>
  <c r="DI11" i="3"/>
  <c r="DH11" i="3"/>
  <c r="DG11" i="3"/>
  <c r="DF11" i="3"/>
  <c r="DE11" i="3"/>
  <c r="DD11" i="3"/>
  <c r="DC11" i="3"/>
  <c r="DB11" i="3"/>
  <c r="DA11" i="3"/>
  <c r="CZ11" i="3"/>
  <c r="CY11" i="3"/>
  <c r="CX11" i="3"/>
  <c r="CW11" i="3"/>
  <c r="CV11" i="3"/>
  <c r="CU11" i="3"/>
  <c r="CT11" i="3"/>
  <c r="CS11" i="3"/>
  <c r="CR11" i="3"/>
  <c r="CQ11" i="3"/>
  <c r="CP11" i="3"/>
  <c r="CO11" i="3"/>
  <c r="CN11" i="3"/>
  <c r="CM11" i="3"/>
  <c r="CL11" i="3"/>
  <c r="CK11" i="3"/>
  <c r="CJ11" i="3"/>
  <c r="CI11" i="3"/>
  <c r="CH11" i="3"/>
  <c r="CG11" i="3"/>
  <c r="CF11" i="3"/>
  <c r="CE11" i="3"/>
  <c r="CD11" i="3"/>
  <c r="CC11" i="3"/>
  <c r="CB11" i="3"/>
  <c r="CA11" i="3"/>
  <c r="BZ11" i="3"/>
  <c r="BY11" i="3"/>
  <c r="BX11" i="3"/>
  <c r="BW11" i="3"/>
  <c r="BV11" i="3"/>
  <c r="BU11" i="3"/>
  <c r="BT11" i="3"/>
  <c r="BS11" i="3"/>
  <c r="BR11" i="3"/>
  <c r="BQ11" i="3"/>
  <c r="BP11" i="3"/>
  <c r="BO11" i="3"/>
  <c r="BN11" i="3"/>
  <c r="BM11" i="3"/>
  <c r="BL11" i="3"/>
  <c r="BK11" i="3"/>
  <c r="BJ11" i="3"/>
  <c r="BI11" i="3"/>
  <c r="BH11" i="3"/>
  <c r="BG11" i="3"/>
  <c r="BF11" i="3"/>
  <c r="BE11" i="3"/>
  <c r="BD11" i="3"/>
  <c r="BC11" i="3"/>
  <c r="BB11" i="3"/>
  <c r="BA11" i="3"/>
  <c r="AZ11" i="3"/>
  <c r="AY11" i="3"/>
  <c r="AX11" i="3"/>
  <c r="AW11" i="3"/>
  <c r="AV11" i="3"/>
  <c r="AU11" i="3"/>
  <c r="AT11" i="3"/>
  <c r="AS11" i="3"/>
  <c r="AR11" i="3"/>
  <c r="AQ11" i="3"/>
  <c r="AP11" i="3"/>
  <c r="AO11" i="3"/>
  <c r="AN11" i="3"/>
  <c r="AM11" i="3"/>
  <c r="AL11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AM2" i="3"/>
  <c r="AN2" i="3"/>
  <c r="AO2" i="3"/>
  <c r="AP2" i="3"/>
  <c r="AQ2" i="3"/>
  <c r="AR2" i="3"/>
  <c r="AS2" i="3"/>
  <c r="AT2" i="3"/>
  <c r="AU2" i="3"/>
  <c r="AV2" i="3"/>
  <c r="AW2" i="3"/>
  <c r="AX2" i="3"/>
  <c r="AY2" i="3"/>
  <c r="AZ2" i="3"/>
  <c r="BA2" i="3"/>
  <c r="BB2" i="3"/>
  <c r="BC2" i="3"/>
  <c r="BD2" i="3"/>
  <c r="BE2" i="3"/>
  <c r="BF2" i="3"/>
  <c r="BG2" i="3"/>
  <c r="BH2" i="3"/>
  <c r="BI2" i="3"/>
  <c r="BJ2" i="3"/>
  <c r="BK2" i="3"/>
  <c r="BL2" i="3"/>
  <c r="BM2" i="3"/>
  <c r="BN2" i="3"/>
  <c r="BO2" i="3"/>
  <c r="BP2" i="3"/>
  <c r="BQ2" i="3"/>
  <c r="BR2" i="3"/>
  <c r="BS2" i="3"/>
  <c r="BT2" i="3"/>
  <c r="BU2" i="3"/>
  <c r="BV2" i="3"/>
  <c r="BW2" i="3"/>
  <c r="BX2" i="3"/>
  <c r="BY2" i="3"/>
  <c r="BZ2" i="3"/>
  <c r="CA2" i="3"/>
  <c r="CB2" i="3"/>
  <c r="CC2" i="3"/>
  <c r="CD2" i="3"/>
  <c r="CE2" i="3"/>
  <c r="CF2" i="3"/>
  <c r="CG2" i="3"/>
  <c r="CH2" i="3"/>
  <c r="CI2" i="3"/>
  <c r="CJ2" i="3"/>
  <c r="CK2" i="3"/>
  <c r="CL2" i="3"/>
  <c r="CM2" i="3"/>
  <c r="CN2" i="3"/>
  <c r="CO2" i="3"/>
  <c r="CP2" i="3"/>
  <c r="CQ2" i="3"/>
  <c r="CR2" i="3"/>
  <c r="CS2" i="3"/>
  <c r="CT2" i="3"/>
  <c r="CU2" i="3"/>
  <c r="CV2" i="3"/>
  <c r="CW2" i="3"/>
  <c r="CX2" i="3"/>
  <c r="CY2" i="3"/>
  <c r="CZ2" i="3"/>
  <c r="DA2" i="3"/>
  <c r="DB2" i="3"/>
  <c r="DC2" i="3"/>
  <c r="DD2" i="3"/>
  <c r="DE2" i="3"/>
  <c r="DF2" i="3"/>
  <c r="DG2" i="3"/>
  <c r="DH2" i="3"/>
  <c r="DI2" i="3"/>
  <c r="DJ2" i="3"/>
  <c r="DK2" i="3"/>
  <c r="DL2" i="3"/>
  <c r="DM2" i="3"/>
  <c r="DN2" i="3"/>
  <c r="DO2" i="3"/>
  <c r="DP2" i="3"/>
  <c r="DQ2" i="3"/>
  <c r="DR2" i="3"/>
  <c r="DS2" i="3"/>
  <c r="DT2" i="3"/>
  <c r="DU2" i="3"/>
  <c r="DV2" i="3"/>
  <c r="DW2" i="3"/>
  <c r="DX2" i="3"/>
  <c r="DY2" i="3"/>
  <c r="DZ2" i="3"/>
  <c r="EA2" i="3"/>
  <c r="EB2" i="3"/>
  <c r="EC2" i="3"/>
  <c r="ED2" i="3"/>
  <c r="EE2" i="3"/>
  <c r="D2" i="3"/>
  <c r="DU3" i="3"/>
  <c r="DV3" i="3"/>
  <c r="DW3" i="3"/>
  <c r="DX3" i="3"/>
  <c r="DY3" i="3"/>
  <c r="DZ3" i="3"/>
  <c r="EA3" i="3"/>
  <c r="EB3" i="3"/>
  <c r="EC3" i="3"/>
  <c r="ED3" i="3"/>
  <c r="EE3" i="3"/>
  <c r="DU4" i="3"/>
  <c r="DV4" i="3"/>
  <c r="DW4" i="3"/>
  <c r="DX4" i="3"/>
  <c r="DY4" i="3"/>
  <c r="DZ4" i="3"/>
  <c r="EA4" i="3"/>
  <c r="EB4" i="3"/>
  <c r="EC4" i="3"/>
  <c r="ED4" i="3"/>
  <c r="EE4" i="3"/>
  <c r="DU6" i="3"/>
  <c r="DV6" i="3"/>
  <c r="DW6" i="3"/>
  <c r="DX6" i="3"/>
  <c r="DY6" i="3"/>
  <c r="DZ6" i="3"/>
  <c r="EA6" i="3"/>
  <c r="EB6" i="3"/>
  <c r="EC6" i="3"/>
  <c r="ED6" i="3"/>
  <c r="EE6" i="3"/>
  <c r="DU7" i="3"/>
  <c r="DV7" i="3"/>
  <c r="DW7" i="3"/>
  <c r="DX7" i="3"/>
  <c r="DY7" i="3"/>
  <c r="DZ7" i="3"/>
  <c r="EA7" i="3"/>
  <c r="EB7" i="3"/>
  <c r="EC7" i="3"/>
  <c r="ED7" i="3"/>
  <c r="EE7" i="3"/>
  <c r="DU8" i="3"/>
  <c r="DV8" i="3"/>
  <c r="DW8" i="3"/>
  <c r="DX8" i="3"/>
  <c r="DY8" i="3"/>
  <c r="DZ8" i="3"/>
  <c r="EA8" i="3"/>
  <c r="EB8" i="3"/>
  <c r="EC8" i="3"/>
  <c r="ED8" i="3"/>
  <c r="EE8" i="3"/>
  <c r="DU9" i="3"/>
  <c r="DV9" i="3"/>
  <c r="DW9" i="3"/>
  <c r="DX9" i="3"/>
  <c r="DY9" i="3"/>
  <c r="DZ9" i="3"/>
  <c r="EA9" i="3"/>
  <c r="EB9" i="3"/>
  <c r="EC9" i="3"/>
  <c r="ED9" i="3"/>
  <c r="EE9" i="3"/>
  <c r="DU10" i="3"/>
  <c r="DV10" i="3"/>
  <c r="DW10" i="3"/>
  <c r="DX10" i="3"/>
  <c r="DY10" i="3"/>
  <c r="DZ10" i="3"/>
  <c r="EA10" i="3"/>
  <c r="EB10" i="3"/>
  <c r="EC10" i="3"/>
  <c r="ED10" i="3"/>
  <c r="EE10" i="3"/>
  <c r="DU16" i="3"/>
  <c r="DV16" i="3"/>
  <c r="DW16" i="3"/>
  <c r="DX16" i="3"/>
  <c r="DY16" i="3"/>
  <c r="DZ16" i="3"/>
  <c r="EA16" i="3"/>
  <c r="EB16" i="3"/>
  <c r="EC16" i="3"/>
  <c r="ED16" i="3"/>
  <c r="EE16" i="3"/>
  <c r="DU17" i="3"/>
  <c r="DV17" i="3"/>
  <c r="DW17" i="3"/>
  <c r="DX17" i="3"/>
  <c r="DY17" i="3"/>
  <c r="DZ17" i="3"/>
  <c r="EA17" i="3"/>
  <c r="EB17" i="3"/>
  <c r="EC17" i="3"/>
  <c r="ED17" i="3"/>
  <c r="EE17" i="3"/>
  <c r="DU22" i="3"/>
  <c r="DV22" i="3"/>
  <c r="DW22" i="3"/>
  <c r="DX22" i="3"/>
  <c r="DY22" i="3"/>
  <c r="DZ22" i="3"/>
  <c r="EA22" i="3"/>
  <c r="EB22" i="3"/>
  <c r="EC22" i="3"/>
  <c r="ED22" i="3"/>
  <c r="EE22" i="3"/>
  <c r="EE25" i="3"/>
  <c r="DU28" i="3"/>
  <c r="DV28" i="3"/>
  <c r="DW28" i="3"/>
  <c r="DX28" i="3"/>
  <c r="DY28" i="3"/>
  <c r="DZ28" i="3"/>
  <c r="EA28" i="3"/>
  <c r="EB28" i="3"/>
  <c r="EC28" i="3"/>
  <c r="ED28" i="3"/>
  <c r="EE28" i="3"/>
  <c r="EE31" i="3"/>
  <c r="CW3" i="3"/>
  <c r="CX3" i="3"/>
  <c r="CY3" i="3"/>
  <c r="CZ3" i="3"/>
  <c r="DA3" i="3"/>
  <c r="DB3" i="3"/>
  <c r="DC3" i="3"/>
  <c r="DD3" i="3"/>
  <c r="DE3" i="3"/>
  <c r="DF3" i="3"/>
  <c r="DG3" i="3"/>
  <c r="DH3" i="3"/>
  <c r="DI3" i="3"/>
  <c r="DJ3" i="3"/>
  <c r="DK3" i="3"/>
  <c r="DL3" i="3"/>
  <c r="DM3" i="3"/>
  <c r="DN3" i="3"/>
  <c r="DO3" i="3"/>
  <c r="DP3" i="3"/>
  <c r="DQ3" i="3"/>
  <c r="DR3" i="3"/>
  <c r="DS3" i="3"/>
  <c r="DT3" i="3"/>
  <c r="CW4" i="3"/>
  <c r="CX4" i="3"/>
  <c r="CY4" i="3"/>
  <c r="CZ4" i="3"/>
  <c r="DA4" i="3"/>
  <c r="DB4" i="3"/>
  <c r="DC4" i="3"/>
  <c r="DD4" i="3"/>
  <c r="DE4" i="3"/>
  <c r="DF4" i="3"/>
  <c r="DG4" i="3"/>
  <c r="DH4" i="3"/>
  <c r="DI4" i="3"/>
  <c r="DJ4" i="3"/>
  <c r="DK4" i="3"/>
  <c r="DL4" i="3"/>
  <c r="DM4" i="3"/>
  <c r="DN4" i="3"/>
  <c r="DO4" i="3"/>
  <c r="DP4" i="3"/>
  <c r="DQ4" i="3"/>
  <c r="DR4" i="3"/>
  <c r="DS4" i="3"/>
  <c r="DT4" i="3"/>
  <c r="CW6" i="3"/>
  <c r="CX6" i="3"/>
  <c r="CY6" i="3"/>
  <c r="CZ6" i="3"/>
  <c r="DA6" i="3"/>
  <c r="DB6" i="3"/>
  <c r="DC6" i="3"/>
  <c r="DD6" i="3"/>
  <c r="DE6" i="3"/>
  <c r="DF6" i="3"/>
  <c r="DG6" i="3"/>
  <c r="DH6" i="3"/>
  <c r="DI6" i="3"/>
  <c r="DJ6" i="3"/>
  <c r="DK6" i="3"/>
  <c r="DL6" i="3"/>
  <c r="DM6" i="3"/>
  <c r="DN6" i="3"/>
  <c r="DO6" i="3"/>
  <c r="DP6" i="3"/>
  <c r="DQ6" i="3"/>
  <c r="DR6" i="3"/>
  <c r="DS6" i="3"/>
  <c r="DT6" i="3"/>
  <c r="CW7" i="3"/>
  <c r="CX7" i="3"/>
  <c r="CY7" i="3"/>
  <c r="CZ7" i="3"/>
  <c r="DA7" i="3"/>
  <c r="DB7" i="3"/>
  <c r="DC7" i="3"/>
  <c r="DD7" i="3"/>
  <c r="DE7" i="3"/>
  <c r="DF7" i="3"/>
  <c r="DG7" i="3"/>
  <c r="DH7" i="3"/>
  <c r="DI7" i="3"/>
  <c r="DJ7" i="3"/>
  <c r="DK7" i="3"/>
  <c r="DL7" i="3"/>
  <c r="DM7" i="3"/>
  <c r="DN7" i="3"/>
  <c r="DO7" i="3"/>
  <c r="DP7" i="3"/>
  <c r="DQ7" i="3"/>
  <c r="DR7" i="3"/>
  <c r="DS7" i="3"/>
  <c r="DT7" i="3"/>
  <c r="CW8" i="3"/>
  <c r="CX8" i="3"/>
  <c r="CY8" i="3"/>
  <c r="CZ8" i="3"/>
  <c r="DA8" i="3"/>
  <c r="DB8" i="3"/>
  <c r="DC8" i="3"/>
  <c r="DD8" i="3"/>
  <c r="DE8" i="3"/>
  <c r="DF8" i="3"/>
  <c r="DG8" i="3"/>
  <c r="DH8" i="3"/>
  <c r="DI8" i="3"/>
  <c r="DJ8" i="3"/>
  <c r="DK8" i="3"/>
  <c r="DL8" i="3"/>
  <c r="DM8" i="3"/>
  <c r="DN8" i="3"/>
  <c r="DO8" i="3"/>
  <c r="DP8" i="3"/>
  <c r="DQ8" i="3"/>
  <c r="DR8" i="3"/>
  <c r="DS8" i="3"/>
  <c r="DT8" i="3"/>
  <c r="CW9" i="3"/>
  <c r="CX9" i="3"/>
  <c r="CY9" i="3"/>
  <c r="CZ9" i="3"/>
  <c r="DA9" i="3"/>
  <c r="DB9" i="3"/>
  <c r="DC9" i="3"/>
  <c r="DD9" i="3"/>
  <c r="DE9" i="3"/>
  <c r="DF9" i="3"/>
  <c r="DG9" i="3"/>
  <c r="DH9" i="3"/>
  <c r="DI9" i="3"/>
  <c r="DJ9" i="3"/>
  <c r="DK9" i="3"/>
  <c r="DL9" i="3"/>
  <c r="DM9" i="3"/>
  <c r="DN9" i="3"/>
  <c r="DO9" i="3"/>
  <c r="DP9" i="3"/>
  <c r="DQ9" i="3"/>
  <c r="DR9" i="3"/>
  <c r="DS9" i="3"/>
  <c r="DT9" i="3"/>
  <c r="CW10" i="3"/>
  <c r="CX10" i="3"/>
  <c r="CY10" i="3"/>
  <c r="CZ10" i="3"/>
  <c r="DA10" i="3"/>
  <c r="DB10" i="3"/>
  <c r="DC10" i="3"/>
  <c r="DD10" i="3"/>
  <c r="DE10" i="3"/>
  <c r="DF10" i="3"/>
  <c r="DG10" i="3"/>
  <c r="DH10" i="3"/>
  <c r="DI10" i="3"/>
  <c r="DJ10" i="3"/>
  <c r="DK10" i="3"/>
  <c r="DL10" i="3"/>
  <c r="DM10" i="3"/>
  <c r="DN10" i="3"/>
  <c r="DO10" i="3"/>
  <c r="DP10" i="3"/>
  <c r="DQ10" i="3"/>
  <c r="DR10" i="3"/>
  <c r="DS10" i="3"/>
  <c r="DT10" i="3"/>
  <c r="CW16" i="3"/>
  <c r="CX16" i="3"/>
  <c r="CY16" i="3"/>
  <c r="CZ16" i="3"/>
  <c r="DA16" i="3"/>
  <c r="DB16" i="3"/>
  <c r="DC16" i="3"/>
  <c r="DD16" i="3"/>
  <c r="DE16" i="3"/>
  <c r="DF16" i="3"/>
  <c r="DG16" i="3"/>
  <c r="DH16" i="3"/>
  <c r="DI16" i="3"/>
  <c r="DJ16" i="3"/>
  <c r="DK16" i="3"/>
  <c r="DL16" i="3"/>
  <c r="DM16" i="3"/>
  <c r="DN16" i="3"/>
  <c r="DO16" i="3"/>
  <c r="DP16" i="3"/>
  <c r="DQ16" i="3"/>
  <c r="DR16" i="3"/>
  <c r="DS16" i="3"/>
  <c r="DT16" i="3"/>
  <c r="CW17" i="3"/>
  <c r="CX17" i="3"/>
  <c r="CY17" i="3"/>
  <c r="CZ17" i="3"/>
  <c r="DA17" i="3"/>
  <c r="DB17" i="3"/>
  <c r="DC17" i="3"/>
  <c r="DD17" i="3"/>
  <c r="DE17" i="3"/>
  <c r="DF17" i="3"/>
  <c r="DG17" i="3"/>
  <c r="DH17" i="3"/>
  <c r="DI17" i="3"/>
  <c r="DJ17" i="3"/>
  <c r="DK17" i="3"/>
  <c r="DL17" i="3"/>
  <c r="DM17" i="3"/>
  <c r="DN17" i="3"/>
  <c r="DO17" i="3"/>
  <c r="DP17" i="3"/>
  <c r="DQ17" i="3"/>
  <c r="DR17" i="3"/>
  <c r="DS17" i="3"/>
  <c r="DT17" i="3"/>
  <c r="CW22" i="3"/>
  <c r="CX22" i="3"/>
  <c r="CY22" i="3"/>
  <c r="CZ22" i="3"/>
  <c r="DA22" i="3"/>
  <c r="DB22" i="3"/>
  <c r="DC22" i="3"/>
  <c r="DD22" i="3"/>
  <c r="DE22" i="3"/>
  <c r="DF22" i="3"/>
  <c r="DG22" i="3"/>
  <c r="DH22" i="3"/>
  <c r="DI22" i="3"/>
  <c r="DJ22" i="3"/>
  <c r="DK22" i="3"/>
  <c r="DL22" i="3"/>
  <c r="DM22" i="3"/>
  <c r="DN22" i="3"/>
  <c r="DO22" i="3"/>
  <c r="DP22" i="3"/>
  <c r="DQ22" i="3"/>
  <c r="DR22" i="3"/>
  <c r="DS22" i="3"/>
  <c r="DT22" i="3"/>
  <c r="CW28" i="3"/>
  <c r="CX28" i="3"/>
  <c r="CY28" i="3"/>
  <c r="CZ28" i="3"/>
  <c r="DA28" i="3"/>
  <c r="DB28" i="3"/>
  <c r="DC28" i="3"/>
  <c r="DD28" i="3"/>
  <c r="DE28" i="3"/>
  <c r="DF28" i="3"/>
  <c r="DG28" i="3"/>
  <c r="DH28" i="3"/>
  <c r="DI28" i="3"/>
  <c r="DJ28" i="3"/>
  <c r="DK28" i="3"/>
  <c r="DL28" i="3"/>
  <c r="DM28" i="3"/>
  <c r="DN28" i="3"/>
  <c r="DO28" i="3"/>
  <c r="DP28" i="3"/>
  <c r="DQ28" i="3"/>
  <c r="DR28" i="3"/>
  <c r="DS28" i="3"/>
  <c r="DT28" i="3"/>
  <c r="CC3" i="3"/>
  <c r="CD3" i="3"/>
  <c r="CE3" i="3"/>
  <c r="CF3" i="3"/>
  <c r="CG3" i="3"/>
  <c r="CH3" i="3"/>
  <c r="CI3" i="3"/>
  <c r="CJ3" i="3"/>
  <c r="CK3" i="3"/>
  <c r="CL3" i="3"/>
  <c r="CM3" i="3"/>
  <c r="CN3" i="3"/>
  <c r="CO3" i="3"/>
  <c r="CP3" i="3"/>
  <c r="CQ3" i="3"/>
  <c r="CR3" i="3"/>
  <c r="CS3" i="3"/>
  <c r="CT3" i="3"/>
  <c r="CU3" i="3"/>
  <c r="CV3" i="3"/>
  <c r="CC4" i="3"/>
  <c r="CD4" i="3"/>
  <c r="CE4" i="3"/>
  <c r="CF4" i="3"/>
  <c r="CG4" i="3"/>
  <c r="CH4" i="3"/>
  <c r="CI4" i="3"/>
  <c r="CJ4" i="3"/>
  <c r="CK4" i="3"/>
  <c r="CL4" i="3"/>
  <c r="CM4" i="3"/>
  <c r="CN4" i="3"/>
  <c r="CO4" i="3"/>
  <c r="CP4" i="3"/>
  <c r="CQ4" i="3"/>
  <c r="CR4" i="3"/>
  <c r="CS4" i="3"/>
  <c r="CT4" i="3"/>
  <c r="CU4" i="3"/>
  <c r="CV4" i="3"/>
  <c r="CC6" i="3"/>
  <c r="CD6" i="3"/>
  <c r="CE6" i="3"/>
  <c r="CF6" i="3"/>
  <c r="CG6" i="3"/>
  <c r="CH6" i="3"/>
  <c r="CI6" i="3"/>
  <c r="CJ6" i="3"/>
  <c r="CK6" i="3"/>
  <c r="CL6" i="3"/>
  <c r="CM6" i="3"/>
  <c r="CN6" i="3"/>
  <c r="CO6" i="3"/>
  <c r="CP6" i="3"/>
  <c r="CQ6" i="3"/>
  <c r="CR6" i="3"/>
  <c r="CS6" i="3"/>
  <c r="CT6" i="3"/>
  <c r="CU6" i="3"/>
  <c r="CV6" i="3"/>
  <c r="CC7" i="3"/>
  <c r="CD7" i="3"/>
  <c r="CE7" i="3"/>
  <c r="CF7" i="3"/>
  <c r="CG7" i="3"/>
  <c r="CH7" i="3"/>
  <c r="CI7" i="3"/>
  <c r="CJ7" i="3"/>
  <c r="CK7" i="3"/>
  <c r="CL7" i="3"/>
  <c r="CM7" i="3"/>
  <c r="CN7" i="3"/>
  <c r="CO7" i="3"/>
  <c r="CP7" i="3"/>
  <c r="CQ7" i="3"/>
  <c r="CR7" i="3"/>
  <c r="CS7" i="3"/>
  <c r="CT7" i="3"/>
  <c r="CU7" i="3"/>
  <c r="CV7" i="3"/>
  <c r="CC8" i="3"/>
  <c r="CD8" i="3"/>
  <c r="CE8" i="3"/>
  <c r="CF8" i="3"/>
  <c r="CG8" i="3"/>
  <c r="CH8" i="3"/>
  <c r="CI8" i="3"/>
  <c r="CJ8" i="3"/>
  <c r="CK8" i="3"/>
  <c r="CL8" i="3"/>
  <c r="CM8" i="3"/>
  <c r="CN8" i="3"/>
  <c r="CO8" i="3"/>
  <c r="CP8" i="3"/>
  <c r="CQ8" i="3"/>
  <c r="CR8" i="3"/>
  <c r="CS8" i="3"/>
  <c r="CT8" i="3"/>
  <c r="CU8" i="3"/>
  <c r="CV8" i="3"/>
  <c r="CC9" i="3"/>
  <c r="CD9" i="3"/>
  <c r="CE9" i="3"/>
  <c r="CF9" i="3"/>
  <c r="CG9" i="3"/>
  <c r="CH9" i="3"/>
  <c r="CI9" i="3"/>
  <c r="CJ9" i="3"/>
  <c r="CK9" i="3"/>
  <c r="CL9" i="3"/>
  <c r="CM9" i="3"/>
  <c r="CN9" i="3"/>
  <c r="CO9" i="3"/>
  <c r="CP9" i="3"/>
  <c r="CQ9" i="3"/>
  <c r="CR9" i="3"/>
  <c r="CS9" i="3"/>
  <c r="CT9" i="3"/>
  <c r="CU9" i="3"/>
  <c r="CV9" i="3"/>
  <c r="CC10" i="3"/>
  <c r="CD10" i="3"/>
  <c r="CE10" i="3"/>
  <c r="CF10" i="3"/>
  <c r="CG10" i="3"/>
  <c r="CH10" i="3"/>
  <c r="CI10" i="3"/>
  <c r="CJ10" i="3"/>
  <c r="CK10" i="3"/>
  <c r="CL10" i="3"/>
  <c r="CM10" i="3"/>
  <c r="CN10" i="3"/>
  <c r="CO10" i="3"/>
  <c r="CP10" i="3"/>
  <c r="CQ10" i="3"/>
  <c r="CR10" i="3"/>
  <c r="CS10" i="3"/>
  <c r="CT10" i="3"/>
  <c r="CU10" i="3"/>
  <c r="CV10" i="3"/>
  <c r="CC16" i="3"/>
  <c r="CD16" i="3"/>
  <c r="CE16" i="3"/>
  <c r="CF16" i="3"/>
  <c r="CG16" i="3"/>
  <c r="CH16" i="3"/>
  <c r="CI16" i="3"/>
  <c r="CJ16" i="3"/>
  <c r="CK16" i="3"/>
  <c r="CL16" i="3"/>
  <c r="CM16" i="3"/>
  <c r="CN16" i="3"/>
  <c r="CO16" i="3"/>
  <c r="CP16" i="3"/>
  <c r="CQ16" i="3"/>
  <c r="CR16" i="3"/>
  <c r="CS16" i="3"/>
  <c r="CT16" i="3"/>
  <c r="CU16" i="3"/>
  <c r="CV16" i="3"/>
  <c r="CC17" i="3"/>
  <c r="CD17" i="3"/>
  <c r="CE17" i="3"/>
  <c r="CF17" i="3"/>
  <c r="CG17" i="3"/>
  <c r="CH17" i="3"/>
  <c r="CI17" i="3"/>
  <c r="CJ17" i="3"/>
  <c r="CK17" i="3"/>
  <c r="CL17" i="3"/>
  <c r="CM17" i="3"/>
  <c r="CN17" i="3"/>
  <c r="CO17" i="3"/>
  <c r="CP17" i="3"/>
  <c r="CQ17" i="3"/>
  <c r="CR17" i="3"/>
  <c r="CS17" i="3"/>
  <c r="CT17" i="3"/>
  <c r="CU17" i="3"/>
  <c r="CV17" i="3"/>
  <c r="CC22" i="3"/>
  <c r="CD22" i="3"/>
  <c r="CE22" i="3"/>
  <c r="CF22" i="3"/>
  <c r="CG22" i="3"/>
  <c r="CH22" i="3"/>
  <c r="CI22" i="3"/>
  <c r="CJ22" i="3"/>
  <c r="CK22" i="3"/>
  <c r="CL22" i="3"/>
  <c r="CM22" i="3"/>
  <c r="CN22" i="3"/>
  <c r="CO22" i="3"/>
  <c r="CP22" i="3"/>
  <c r="CQ22" i="3"/>
  <c r="CR22" i="3"/>
  <c r="CS22" i="3"/>
  <c r="CT22" i="3"/>
  <c r="CU22" i="3"/>
  <c r="CV22" i="3"/>
  <c r="CC28" i="3"/>
  <c r="CD28" i="3"/>
  <c r="CE28" i="3"/>
  <c r="CF28" i="3"/>
  <c r="CG28" i="3"/>
  <c r="CH28" i="3"/>
  <c r="CI28" i="3"/>
  <c r="CJ28" i="3"/>
  <c r="CK28" i="3"/>
  <c r="CL28" i="3"/>
  <c r="CM28" i="3"/>
  <c r="CN28" i="3"/>
  <c r="CO28" i="3"/>
  <c r="CP28" i="3"/>
  <c r="CQ28" i="3"/>
  <c r="CR28" i="3"/>
  <c r="CS28" i="3"/>
  <c r="CT28" i="3"/>
  <c r="CU28" i="3"/>
  <c r="CV28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AY3" i="3"/>
  <c r="AZ3" i="3"/>
  <c r="BA3" i="3"/>
  <c r="BB3" i="3"/>
  <c r="BC3" i="3"/>
  <c r="BD3" i="3"/>
  <c r="BE3" i="3"/>
  <c r="BF3" i="3"/>
  <c r="BG3" i="3"/>
  <c r="BH3" i="3"/>
  <c r="BI3" i="3"/>
  <c r="BJ3" i="3"/>
  <c r="BK3" i="3"/>
  <c r="BL3" i="3"/>
  <c r="BM3" i="3"/>
  <c r="BN3" i="3"/>
  <c r="BO3" i="3"/>
  <c r="BP3" i="3"/>
  <c r="BQ3" i="3"/>
  <c r="BR3" i="3"/>
  <c r="BS3" i="3"/>
  <c r="BT3" i="3"/>
  <c r="BU3" i="3"/>
  <c r="BV3" i="3"/>
  <c r="BW3" i="3"/>
  <c r="BX3" i="3"/>
  <c r="BY3" i="3"/>
  <c r="BZ3" i="3"/>
  <c r="CA3" i="3"/>
  <c r="CB3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AN4" i="3"/>
  <c r="AO4" i="3"/>
  <c r="AP4" i="3"/>
  <c r="AQ4" i="3"/>
  <c r="AR4" i="3"/>
  <c r="AS4" i="3"/>
  <c r="AT4" i="3"/>
  <c r="AU4" i="3"/>
  <c r="AV4" i="3"/>
  <c r="AW4" i="3"/>
  <c r="AX4" i="3"/>
  <c r="AY4" i="3"/>
  <c r="AZ4" i="3"/>
  <c r="BA4" i="3"/>
  <c r="BB4" i="3"/>
  <c r="BC4" i="3"/>
  <c r="BD4" i="3"/>
  <c r="BE4" i="3"/>
  <c r="BF4" i="3"/>
  <c r="BG4" i="3"/>
  <c r="BH4" i="3"/>
  <c r="BI4" i="3"/>
  <c r="BJ4" i="3"/>
  <c r="BK4" i="3"/>
  <c r="BL4" i="3"/>
  <c r="BM4" i="3"/>
  <c r="BN4" i="3"/>
  <c r="BO4" i="3"/>
  <c r="BP4" i="3"/>
  <c r="BQ4" i="3"/>
  <c r="BR4" i="3"/>
  <c r="BS4" i="3"/>
  <c r="BT4" i="3"/>
  <c r="BU4" i="3"/>
  <c r="BV4" i="3"/>
  <c r="BW4" i="3"/>
  <c r="BX4" i="3"/>
  <c r="BY4" i="3"/>
  <c r="BZ4" i="3"/>
  <c r="CA4" i="3"/>
  <c r="CB4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AN6" i="3"/>
  <c r="AO6" i="3"/>
  <c r="AP6" i="3"/>
  <c r="AQ6" i="3"/>
  <c r="AR6" i="3"/>
  <c r="AS6" i="3"/>
  <c r="AT6" i="3"/>
  <c r="AU6" i="3"/>
  <c r="AV6" i="3"/>
  <c r="AW6" i="3"/>
  <c r="AX6" i="3"/>
  <c r="AY6" i="3"/>
  <c r="AZ6" i="3"/>
  <c r="BA6" i="3"/>
  <c r="BB6" i="3"/>
  <c r="BC6" i="3"/>
  <c r="BD6" i="3"/>
  <c r="BE6" i="3"/>
  <c r="BF6" i="3"/>
  <c r="BG6" i="3"/>
  <c r="BH6" i="3"/>
  <c r="BI6" i="3"/>
  <c r="BJ6" i="3"/>
  <c r="BK6" i="3"/>
  <c r="BL6" i="3"/>
  <c r="BM6" i="3"/>
  <c r="BN6" i="3"/>
  <c r="BO6" i="3"/>
  <c r="BP6" i="3"/>
  <c r="BQ6" i="3"/>
  <c r="BR6" i="3"/>
  <c r="BS6" i="3"/>
  <c r="BT6" i="3"/>
  <c r="BU6" i="3"/>
  <c r="BV6" i="3"/>
  <c r="BW6" i="3"/>
  <c r="BX6" i="3"/>
  <c r="BY6" i="3"/>
  <c r="BZ6" i="3"/>
  <c r="CA6" i="3"/>
  <c r="CB6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AP7" i="3"/>
  <c r="AQ7" i="3"/>
  <c r="AR7" i="3"/>
  <c r="AS7" i="3"/>
  <c r="AT7" i="3"/>
  <c r="AU7" i="3"/>
  <c r="AV7" i="3"/>
  <c r="AW7" i="3"/>
  <c r="AX7" i="3"/>
  <c r="AY7" i="3"/>
  <c r="AZ7" i="3"/>
  <c r="BA7" i="3"/>
  <c r="BB7" i="3"/>
  <c r="BC7" i="3"/>
  <c r="BD7" i="3"/>
  <c r="BE7" i="3"/>
  <c r="BF7" i="3"/>
  <c r="BG7" i="3"/>
  <c r="BH7" i="3"/>
  <c r="BI7" i="3"/>
  <c r="BJ7" i="3"/>
  <c r="BK7" i="3"/>
  <c r="BL7" i="3"/>
  <c r="BM7" i="3"/>
  <c r="BN7" i="3"/>
  <c r="BO7" i="3"/>
  <c r="BP7" i="3"/>
  <c r="BQ7" i="3"/>
  <c r="BR7" i="3"/>
  <c r="BS7" i="3"/>
  <c r="BT7" i="3"/>
  <c r="BU7" i="3"/>
  <c r="BV7" i="3"/>
  <c r="BW7" i="3"/>
  <c r="BX7" i="3"/>
  <c r="BY7" i="3"/>
  <c r="BZ7" i="3"/>
  <c r="CA7" i="3"/>
  <c r="CB7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AV8" i="3"/>
  <c r="AW8" i="3"/>
  <c r="AX8" i="3"/>
  <c r="AY8" i="3"/>
  <c r="AZ8" i="3"/>
  <c r="BA8" i="3"/>
  <c r="BB8" i="3"/>
  <c r="BC8" i="3"/>
  <c r="BD8" i="3"/>
  <c r="BE8" i="3"/>
  <c r="BF8" i="3"/>
  <c r="BG8" i="3"/>
  <c r="BH8" i="3"/>
  <c r="BI8" i="3"/>
  <c r="BJ8" i="3"/>
  <c r="BK8" i="3"/>
  <c r="BL8" i="3"/>
  <c r="BM8" i="3"/>
  <c r="BN8" i="3"/>
  <c r="BO8" i="3"/>
  <c r="BP8" i="3"/>
  <c r="BQ8" i="3"/>
  <c r="BR8" i="3"/>
  <c r="BS8" i="3"/>
  <c r="BT8" i="3"/>
  <c r="BU8" i="3"/>
  <c r="BV8" i="3"/>
  <c r="BW8" i="3"/>
  <c r="BX8" i="3"/>
  <c r="BY8" i="3"/>
  <c r="BZ8" i="3"/>
  <c r="CA8" i="3"/>
  <c r="CB8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AU9" i="3"/>
  <c r="AV9" i="3"/>
  <c r="AW9" i="3"/>
  <c r="AX9" i="3"/>
  <c r="AY9" i="3"/>
  <c r="AZ9" i="3"/>
  <c r="BA9" i="3"/>
  <c r="BB9" i="3"/>
  <c r="BC9" i="3"/>
  <c r="BD9" i="3"/>
  <c r="BE9" i="3"/>
  <c r="BF9" i="3"/>
  <c r="BG9" i="3"/>
  <c r="BH9" i="3"/>
  <c r="BI9" i="3"/>
  <c r="BJ9" i="3"/>
  <c r="BK9" i="3"/>
  <c r="BL9" i="3"/>
  <c r="BM9" i="3"/>
  <c r="BN9" i="3"/>
  <c r="BO9" i="3"/>
  <c r="BP9" i="3"/>
  <c r="BQ9" i="3"/>
  <c r="BR9" i="3"/>
  <c r="BS9" i="3"/>
  <c r="BT9" i="3"/>
  <c r="BU9" i="3"/>
  <c r="BV9" i="3"/>
  <c r="BW9" i="3"/>
  <c r="BX9" i="3"/>
  <c r="BY9" i="3"/>
  <c r="BZ9" i="3"/>
  <c r="CA9" i="3"/>
  <c r="CB9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AU10" i="3"/>
  <c r="AV10" i="3"/>
  <c r="AW10" i="3"/>
  <c r="AX10" i="3"/>
  <c r="AY10" i="3"/>
  <c r="AZ10" i="3"/>
  <c r="BA10" i="3"/>
  <c r="BB10" i="3"/>
  <c r="BC10" i="3"/>
  <c r="BD10" i="3"/>
  <c r="BE10" i="3"/>
  <c r="BF10" i="3"/>
  <c r="BG10" i="3"/>
  <c r="BH10" i="3"/>
  <c r="BI10" i="3"/>
  <c r="BJ10" i="3"/>
  <c r="BK10" i="3"/>
  <c r="BL10" i="3"/>
  <c r="BM10" i="3"/>
  <c r="BN10" i="3"/>
  <c r="BO10" i="3"/>
  <c r="BP10" i="3"/>
  <c r="BQ10" i="3"/>
  <c r="BR10" i="3"/>
  <c r="BS10" i="3"/>
  <c r="BT10" i="3"/>
  <c r="BU10" i="3"/>
  <c r="BV10" i="3"/>
  <c r="BW10" i="3"/>
  <c r="BX10" i="3"/>
  <c r="BY10" i="3"/>
  <c r="BZ10" i="3"/>
  <c r="CA10" i="3"/>
  <c r="CB10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AV16" i="3"/>
  <c r="AW16" i="3"/>
  <c r="AX16" i="3"/>
  <c r="AY16" i="3"/>
  <c r="AZ16" i="3"/>
  <c r="BA16" i="3"/>
  <c r="BB16" i="3"/>
  <c r="BC16" i="3"/>
  <c r="BD16" i="3"/>
  <c r="BE16" i="3"/>
  <c r="BF16" i="3"/>
  <c r="BG16" i="3"/>
  <c r="BH16" i="3"/>
  <c r="BI16" i="3"/>
  <c r="BJ16" i="3"/>
  <c r="BK16" i="3"/>
  <c r="BL16" i="3"/>
  <c r="BM16" i="3"/>
  <c r="BN16" i="3"/>
  <c r="BO16" i="3"/>
  <c r="BP16" i="3"/>
  <c r="BQ16" i="3"/>
  <c r="BR16" i="3"/>
  <c r="BS16" i="3"/>
  <c r="BT16" i="3"/>
  <c r="BU16" i="3"/>
  <c r="BV16" i="3"/>
  <c r="BW16" i="3"/>
  <c r="BX16" i="3"/>
  <c r="BY16" i="3"/>
  <c r="BZ16" i="3"/>
  <c r="CA16" i="3"/>
  <c r="CB16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AV17" i="3"/>
  <c r="AW17" i="3"/>
  <c r="AX17" i="3"/>
  <c r="AY17" i="3"/>
  <c r="AZ17" i="3"/>
  <c r="BA17" i="3"/>
  <c r="BB17" i="3"/>
  <c r="BC17" i="3"/>
  <c r="BD17" i="3"/>
  <c r="BE17" i="3"/>
  <c r="BF17" i="3"/>
  <c r="BG17" i="3"/>
  <c r="BH17" i="3"/>
  <c r="BI17" i="3"/>
  <c r="BJ17" i="3"/>
  <c r="BK17" i="3"/>
  <c r="BL17" i="3"/>
  <c r="BM17" i="3"/>
  <c r="BN17" i="3"/>
  <c r="BO17" i="3"/>
  <c r="BP17" i="3"/>
  <c r="BQ17" i="3"/>
  <c r="BR17" i="3"/>
  <c r="BS17" i="3"/>
  <c r="BT17" i="3"/>
  <c r="BU17" i="3"/>
  <c r="BV17" i="3"/>
  <c r="BW17" i="3"/>
  <c r="BX17" i="3"/>
  <c r="BY17" i="3"/>
  <c r="BZ17" i="3"/>
  <c r="CA17" i="3"/>
  <c r="CB17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AQ22" i="3"/>
  <c r="AR22" i="3"/>
  <c r="AS22" i="3"/>
  <c r="AT22" i="3"/>
  <c r="AU22" i="3"/>
  <c r="AV22" i="3"/>
  <c r="AW22" i="3"/>
  <c r="AX22" i="3"/>
  <c r="AY22" i="3"/>
  <c r="AZ22" i="3"/>
  <c r="BA22" i="3"/>
  <c r="BB22" i="3"/>
  <c r="BC22" i="3"/>
  <c r="BD22" i="3"/>
  <c r="BE22" i="3"/>
  <c r="BF22" i="3"/>
  <c r="BG22" i="3"/>
  <c r="BH22" i="3"/>
  <c r="BI22" i="3"/>
  <c r="BJ22" i="3"/>
  <c r="BK22" i="3"/>
  <c r="BL22" i="3"/>
  <c r="BM22" i="3"/>
  <c r="BN22" i="3"/>
  <c r="BO22" i="3"/>
  <c r="BP22" i="3"/>
  <c r="BQ22" i="3"/>
  <c r="BR22" i="3"/>
  <c r="BS22" i="3"/>
  <c r="BT22" i="3"/>
  <c r="BU22" i="3"/>
  <c r="BV22" i="3"/>
  <c r="BW22" i="3"/>
  <c r="BX22" i="3"/>
  <c r="BY22" i="3"/>
  <c r="BZ22" i="3"/>
  <c r="CA22" i="3"/>
  <c r="CB22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AN28" i="3"/>
  <c r="AO28" i="3"/>
  <c r="AP28" i="3"/>
  <c r="AQ28" i="3"/>
  <c r="AR28" i="3"/>
  <c r="AS28" i="3"/>
  <c r="AT28" i="3"/>
  <c r="AU28" i="3"/>
  <c r="AV28" i="3"/>
  <c r="AW28" i="3"/>
  <c r="AX28" i="3"/>
  <c r="AY28" i="3"/>
  <c r="AZ28" i="3"/>
  <c r="BA28" i="3"/>
  <c r="BB28" i="3"/>
  <c r="BC28" i="3"/>
  <c r="BD28" i="3"/>
  <c r="BE28" i="3"/>
  <c r="BF28" i="3"/>
  <c r="BG28" i="3"/>
  <c r="BH28" i="3"/>
  <c r="BI28" i="3"/>
  <c r="BJ28" i="3"/>
  <c r="BK28" i="3"/>
  <c r="BL28" i="3"/>
  <c r="BM28" i="3"/>
  <c r="BN28" i="3"/>
  <c r="BO28" i="3"/>
  <c r="BP28" i="3"/>
  <c r="BQ28" i="3"/>
  <c r="BR28" i="3"/>
  <c r="BS28" i="3"/>
  <c r="BT28" i="3"/>
  <c r="BU28" i="3"/>
  <c r="BV28" i="3"/>
  <c r="BW28" i="3"/>
  <c r="BX28" i="3"/>
  <c r="BY28" i="3"/>
  <c r="BZ28" i="3"/>
  <c r="CA28" i="3"/>
  <c r="CB28" i="3"/>
  <c r="D3" i="3"/>
  <c r="D4" i="3"/>
  <c r="D6" i="3"/>
  <c r="D7" i="3"/>
  <c r="D8" i="3"/>
  <c r="D9" i="3"/>
  <c r="D10" i="3"/>
  <c r="D50" i="3" s="1"/>
  <c r="D16" i="3"/>
  <c r="D17" i="3"/>
  <c r="D22" i="3"/>
  <c r="D28" i="3"/>
  <c r="E6" i="2"/>
  <c r="E5" i="2"/>
  <c r="E4" i="2"/>
  <c r="E7" i="2"/>
  <c r="C5" i="2"/>
  <c r="C6" i="2"/>
  <c r="C7" i="2"/>
  <c r="C8" i="2"/>
  <c r="C9" i="2"/>
  <c r="C10" i="2"/>
  <c r="C11" i="2"/>
  <c r="C12" i="2"/>
  <c r="C13" i="2"/>
  <c r="C14" i="2"/>
  <c r="C4" i="2"/>
  <c r="C3" i="2"/>
  <c r="E10" i="2"/>
  <c r="E11" i="2"/>
  <c r="E12" i="2"/>
  <c r="E13" i="2"/>
  <c r="E8" i="2"/>
  <c r="F8" i="2" s="1"/>
  <c r="E9" i="2"/>
  <c r="AM1" i="3" l="1"/>
  <c r="AL36" i="3"/>
  <c r="AI38" i="3"/>
  <c r="AA38" i="3"/>
  <c r="S38" i="3"/>
  <c r="K38" i="3"/>
  <c r="F40" i="3"/>
  <c r="N40" i="3"/>
  <c r="V40" i="3"/>
  <c r="AD40" i="3"/>
  <c r="AH39" i="3"/>
  <c r="Z39" i="3"/>
  <c r="R39" i="3"/>
  <c r="J39" i="3"/>
  <c r="D41" i="3"/>
  <c r="L41" i="3"/>
  <c r="X41" i="3"/>
  <c r="AF41" i="3"/>
  <c r="D42" i="3"/>
  <c r="AI42" i="3"/>
  <c r="AA42" i="3"/>
  <c r="S42" i="3"/>
  <c r="G42" i="3"/>
  <c r="AD38" i="3"/>
  <c r="Z38" i="3"/>
  <c r="N38" i="3"/>
  <c r="F38" i="3"/>
  <c r="K40" i="3"/>
  <c r="S40" i="3"/>
  <c r="AA40" i="3"/>
  <c r="AI40" i="3"/>
  <c r="D38" i="3"/>
  <c r="AE38" i="3"/>
  <c r="W38" i="3"/>
  <c r="O38" i="3"/>
  <c r="G38" i="3"/>
  <c r="J40" i="3"/>
  <c r="R40" i="3"/>
  <c r="Z40" i="3"/>
  <c r="AH40" i="3"/>
  <c r="AD39" i="3"/>
  <c r="V39" i="3"/>
  <c r="N39" i="3"/>
  <c r="F39" i="3"/>
  <c r="H41" i="3"/>
  <c r="P41" i="3"/>
  <c r="T41" i="3"/>
  <c r="AB41" i="3"/>
  <c r="AJ41" i="3"/>
  <c r="AE42" i="3"/>
  <c r="W42" i="3"/>
  <c r="O42" i="3"/>
  <c r="K42" i="3"/>
  <c r="AH38" i="3"/>
  <c r="V38" i="3"/>
  <c r="R38" i="3"/>
  <c r="J38" i="3"/>
  <c r="G40" i="3"/>
  <c r="O40" i="3"/>
  <c r="W40" i="3"/>
  <c r="AE40" i="3"/>
  <c r="E41" i="3"/>
  <c r="M41" i="3"/>
  <c r="U41" i="3"/>
  <c r="AC41" i="3"/>
  <c r="AH42" i="3"/>
  <c r="Z42" i="3"/>
  <c r="R42" i="3"/>
  <c r="J42" i="3"/>
  <c r="AK38" i="3"/>
  <c r="AG38" i="3"/>
  <c r="AC38" i="3"/>
  <c r="Y38" i="3"/>
  <c r="U38" i="3"/>
  <c r="Q38" i="3"/>
  <c r="M38" i="3"/>
  <c r="I38" i="3"/>
  <c r="E38" i="3"/>
  <c r="D40" i="3"/>
  <c r="H40" i="3"/>
  <c r="L40" i="3"/>
  <c r="P40" i="3"/>
  <c r="T40" i="3"/>
  <c r="X40" i="3"/>
  <c r="AB40" i="3"/>
  <c r="AF40" i="3"/>
  <c r="AJ40" i="3"/>
  <c r="I41" i="3"/>
  <c r="Q41" i="3"/>
  <c r="Y41" i="3"/>
  <c r="AG41" i="3"/>
  <c r="AK41" i="3"/>
  <c r="AD42" i="3"/>
  <c r="V42" i="3"/>
  <c r="N42" i="3"/>
  <c r="F42" i="3"/>
  <c r="AJ38" i="3"/>
  <c r="AF38" i="3"/>
  <c r="AB38" i="3"/>
  <c r="X38" i="3"/>
  <c r="T38" i="3"/>
  <c r="P38" i="3"/>
  <c r="L38" i="3"/>
  <c r="H38" i="3"/>
  <c r="E40" i="3"/>
  <c r="I40" i="3"/>
  <c r="M40" i="3"/>
  <c r="Q40" i="3"/>
  <c r="U40" i="3"/>
  <c r="Y40" i="3"/>
  <c r="AC40" i="3"/>
  <c r="AG40" i="3"/>
  <c r="AK40" i="3"/>
  <c r="F41" i="3"/>
  <c r="J41" i="3"/>
  <c r="N41" i="3"/>
  <c r="R41" i="3"/>
  <c r="V41" i="3"/>
  <c r="Z41" i="3"/>
  <c r="AD41" i="3"/>
  <c r="AH41" i="3"/>
  <c r="AK42" i="3"/>
  <c r="AG42" i="3"/>
  <c r="AC42" i="3"/>
  <c r="Y42" i="3"/>
  <c r="U42" i="3"/>
  <c r="Q42" i="3"/>
  <c r="M42" i="3"/>
  <c r="I42" i="3"/>
  <c r="E42" i="3"/>
  <c r="G41" i="3"/>
  <c r="K41" i="3"/>
  <c r="O41" i="3"/>
  <c r="S41" i="3"/>
  <c r="W41" i="3"/>
  <c r="AA41" i="3"/>
  <c r="AE41" i="3"/>
  <c r="AI41" i="3"/>
  <c r="AJ42" i="3"/>
  <c r="AF42" i="3"/>
  <c r="AB42" i="3"/>
  <c r="X42" i="3"/>
  <c r="T42" i="3"/>
  <c r="P42" i="3"/>
  <c r="L42" i="3"/>
  <c r="H42" i="3"/>
  <c r="AK39" i="3"/>
  <c r="AG39" i="3"/>
  <c r="AC39" i="3"/>
  <c r="Y39" i="3"/>
  <c r="U39" i="3"/>
  <c r="Q39" i="3"/>
  <c r="M39" i="3"/>
  <c r="I39" i="3"/>
  <c r="E39" i="3"/>
  <c r="AI37" i="3"/>
  <c r="AE37" i="3"/>
  <c r="AA37" i="3"/>
  <c r="W37" i="3"/>
  <c r="S37" i="3"/>
  <c r="O37" i="3"/>
  <c r="K37" i="3"/>
  <c r="G37" i="3"/>
  <c r="AH37" i="3"/>
  <c r="AD37" i="3"/>
  <c r="Z37" i="3"/>
  <c r="V37" i="3"/>
  <c r="R37" i="3"/>
  <c r="N37" i="3"/>
  <c r="J37" i="3"/>
  <c r="F37" i="3"/>
  <c r="D37" i="3"/>
  <c r="AK37" i="3"/>
  <c r="AG37" i="3"/>
  <c r="AC37" i="3"/>
  <c r="Y37" i="3"/>
  <c r="U37" i="3"/>
  <c r="Q37" i="3"/>
  <c r="M37" i="3"/>
  <c r="I37" i="3"/>
  <c r="E37" i="3"/>
  <c r="AJ37" i="3"/>
  <c r="AF37" i="3"/>
  <c r="AB37" i="3"/>
  <c r="X37" i="3"/>
  <c r="T37" i="3"/>
  <c r="P37" i="3"/>
  <c r="L37" i="3"/>
  <c r="H37" i="3"/>
  <c r="D39" i="3"/>
  <c r="AJ39" i="3"/>
  <c r="AF39" i="3"/>
  <c r="AB39" i="3"/>
  <c r="X39" i="3"/>
  <c r="T39" i="3"/>
  <c r="P39" i="3"/>
  <c r="L39" i="3"/>
  <c r="H39" i="3"/>
  <c r="AI39" i="3"/>
  <c r="AE39" i="3"/>
  <c r="AA39" i="3"/>
  <c r="W39" i="3"/>
  <c r="S39" i="3"/>
  <c r="O39" i="3"/>
  <c r="K39" i="3"/>
  <c r="G39" i="3"/>
  <c r="D53" i="3" l="1"/>
  <c r="AL37" i="3"/>
  <c r="AL38" i="3"/>
  <c r="AL41" i="3"/>
  <c r="AL42" i="3"/>
  <c r="AL39" i="3"/>
  <c r="AL40" i="3"/>
  <c r="AN1" i="3"/>
  <c r="AM36" i="3"/>
  <c r="AM40" i="3" l="1"/>
  <c r="AM42" i="3"/>
  <c r="AM41" i="3"/>
  <c r="AM37" i="3"/>
  <c r="AM38" i="3"/>
  <c r="AM39" i="3"/>
  <c r="AO1" i="3"/>
  <c r="AN36" i="3"/>
  <c r="AP1" i="3" l="1"/>
  <c r="AO36" i="3"/>
  <c r="AN39" i="3"/>
  <c r="AN41" i="3"/>
  <c r="AN42" i="3"/>
  <c r="AN37" i="3"/>
  <c r="AN40" i="3"/>
  <c r="AN38" i="3"/>
  <c r="AO41" i="3" l="1"/>
  <c r="AO37" i="3"/>
  <c r="AO38" i="3"/>
  <c r="AO40" i="3"/>
  <c r="AO42" i="3"/>
  <c r="AO39" i="3"/>
  <c r="AQ1" i="3"/>
  <c r="AP36" i="3"/>
  <c r="AR1" i="3" l="1"/>
  <c r="AQ36" i="3"/>
  <c r="AP39" i="3"/>
  <c r="AP38" i="3"/>
  <c r="AP41" i="3"/>
  <c r="AP40" i="3"/>
  <c r="AP42" i="3"/>
  <c r="AP37" i="3"/>
  <c r="AQ42" i="3" l="1"/>
  <c r="AQ41" i="3"/>
  <c r="AQ38" i="3"/>
  <c r="AQ40" i="3"/>
  <c r="AQ37" i="3"/>
  <c r="AQ39" i="3"/>
  <c r="AS1" i="3"/>
  <c r="AR36" i="3"/>
  <c r="AT1" i="3" l="1"/>
  <c r="AS36" i="3"/>
  <c r="AR37" i="3"/>
  <c r="AR38" i="3"/>
  <c r="AR40" i="3"/>
  <c r="AR39" i="3"/>
  <c r="AR42" i="3"/>
  <c r="AR41" i="3"/>
  <c r="AS38" i="3" l="1"/>
  <c r="AS39" i="3"/>
  <c r="AS42" i="3"/>
  <c r="AS40" i="3"/>
  <c r="AS37" i="3"/>
  <c r="AS41" i="3"/>
  <c r="AU1" i="3"/>
  <c r="AT36" i="3"/>
  <c r="AT40" i="3" l="1"/>
  <c r="AT41" i="3"/>
  <c r="AT37" i="3"/>
  <c r="AT38" i="3"/>
  <c r="AT39" i="3"/>
  <c r="AT42" i="3"/>
  <c r="AV1" i="3"/>
  <c r="AU36" i="3"/>
  <c r="AW1" i="3" l="1"/>
  <c r="AV36" i="3"/>
  <c r="AU37" i="3"/>
  <c r="AU42" i="3"/>
  <c r="AU41" i="3"/>
  <c r="AU38" i="3"/>
  <c r="AU40" i="3"/>
  <c r="AU39" i="3"/>
  <c r="AV40" i="3" l="1"/>
  <c r="AV38" i="3"/>
  <c r="AV42" i="3"/>
  <c r="AV41" i="3"/>
  <c r="AV37" i="3"/>
  <c r="AV39" i="3"/>
  <c r="AX1" i="3"/>
  <c r="AW36" i="3"/>
  <c r="AY1" i="3" l="1"/>
  <c r="AX36" i="3"/>
  <c r="AW40" i="3"/>
  <c r="AW39" i="3"/>
  <c r="AW41" i="3"/>
  <c r="AW42" i="3"/>
  <c r="AW37" i="3"/>
  <c r="AW38" i="3"/>
  <c r="AX38" i="3" l="1"/>
  <c r="AX42" i="3"/>
  <c r="AX39" i="3"/>
  <c r="AX37" i="3"/>
  <c r="AX40" i="3"/>
  <c r="AX41" i="3"/>
  <c r="AZ1" i="3"/>
  <c r="AY36" i="3"/>
  <c r="BA1" i="3" l="1"/>
  <c r="AZ36" i="3"/>
  <c r="AY40" i="3"/>
  <c r="AY37" i="3"/>
  <c r="AY38" i="3"/>
  <c r="AY42" i="3"/>
  <c r="AY41" i="3"/>
  <c r="AY39" i="3"/>
  <c r="AZ42" i="3" l="1"/>
  <c r="AZ40" i="3"/>
  <c r="AZ39" i="3"/>
  <c r="AZ38" i="3"/>
  <c r="AZ37" i="3"/>
  <c r="AZ41" i="3"/>
  <c r="BB1" i="3"/>
  <c r="BA36" i="3"/>
  <c r="BC1" i="3" l="1"/>
  <c r="BB36" i="3"/>
  <c r="BA41" i="3"/>
  <c r="BA42" i="3"/>
  <c r="BA40" i="3"/>
  <c r="BA39" i="3"/>
  <c r="BA38" i="3"/>
  <c r="BA37" i="3"/>
  <c r="BB37" i="3" l="1"/>
  <c r="BB40" i="3"/>
  <c r="BB39" i="3"/>
  <c r="BB42" i="3"/>
  <c r="BB38" i="3"/>
  <c r="BB41" i="3"/>
  <c r="BD1" i="3"/>
  <c r="BC36" i="3"/>
  <c r="BC42" i="3" l="1"/>
  <c r="BC38" i="3"/>
  <c r="BC41" i="3"/>
  <c r="BC39" i="3"/>
  <c r="BC37" i="3"/>
  <c r="BC40" i="3"/>
  <c r="BE1" i="3"/>
  <c r="BD36" i="3"/>
  <c r="BD39" i="3" l="1"/>
  <c r="BD41" i="3"/>
  <c r="BD40" i="3"/>
  <c r="BD38" i="3"/>
  <c r="BD37" i="3"/>
  <c r="BD42" i="3"/>
  <c r="BF1" i="3"/>
  <c r="BE36" i="3"/>
  <c r="BG1" i="3" l="1"/>
  <c r="BF36" i="3"/>
  <c r="BE37" i="3"/>
  <c r="BE38" i="3"/>
  <c r="BE41" i="3"/>
  <c r="BE40" i="3"/>
  <c r="BE42" i="3"/>
  <c r="BE39" i="3"/>
  <c r="BF42" i="3" l="1"/>
  <c r="BF41" i="3"/>
  <c r="BF39" i="3"/>
  <c r="BF38" i="3"/>
  <c r="BF40" i="3"/>
  <c r="BF37" i="3"/>
  <c r="BH1" i="3"/>
  <c r="BG36" i="3"/>
  <c r="BI1" i="3" l="1"/>
  <c r="BH36" i="3"/>
  <c r="BG40" i="3"/>
  <c r="BG41" i="3"/>
  <c r="BG39" i="3"/>
  <c r="BG38" i="3"/>
  <c r="BG42" i="3"/>
  <c r="BG37" i="3"/>
  <c r="BH41" i="3" l="1"/>
  <c r="BH40" i="3"/>
  <c r="BH37" i="3"/>
  <c r="BH38" i="3"/>
  <c r="BH42" i="3"/>
  <c r="BH39" i="3"/>
  <c r="BJ1" i="3"/>
  <c r="BI36" i="3"/>
  <c r="BK1" i="3" l="1"/>
  <c r="BJ36" i="3"/>
  <c r="BI38" i="3"/>
  <c r="BI41" i="3"/>
  <c r="BI39" i="3"/>
  <c r="BI42" i="3"/>
  <c r="BI40" i="3"/>
  <c r="BI37" i="3"/>
  <c r="BJ39" i="3" l="1"/>
  <c r="BJ38" i="3"/>
  <c r="BJ42" i="3"/>
  <c r="BJ41" i="3"/>
  <c r="BJ37" i="3"/>
  <c r="BJ40" i="3"/>
  <c r="BL1" i="3"/>
  <c r="BK36" i="3"/>
  <c r="BM1" i="3" l="1"/>
  <c r="BL36" i="3"/>
  <c r="BK38" i="3"/>
  <c r="BK37" i="3"/>
  <c r="BK40" i="3"/>
  <c r="BK41" i="3"/>
  <c r="BK39" i="3"/>
  <c r="BK42" i="3"/>
  <c r="BL41" i="3" l="1"/>
  <c r="BL38" i="3"/>
  <c r="BL40" i="3"/>
  <c r="BL42" i="3"/>
  <c r="BL37" i="3"/>
  <c r="BL39" i="3"/>
  <c r="BN1" i="3"/>
  <c r="BM36" i="3"/>
  <c r="BO1" i="3" l="1"/>
  <c r="BN36" i="3"/>
  <c r="BM39" i="3"/>
  <c r="BM42" i="3"/>
  <c r="BM40" i="3"/>
  <c r="BM41" i="3"/>
  <c r="BM38" i="3"/>
  <c r="BM37" i="3"/>
  <c r="BN40" i="3" l="1"/>
  <c r="BN39" i="3"/>
  <c r="BN42" i="3"/>
  <c r="BN41" i="3"/>
  <c r="BN38" i="3"/>
  <c r="BN37" i="3"/>
  <c r="BP1" i="3"/>
  <c r="BO36" i="3"/>
  <c r="BQ1" i="3" l="1"/>
  <c r="BP36" i="3"/>
  <c r="BO38" i="3"/>
  <c r="BO42" i="3"/>
  <c r="BO40" i="3"/>
  <c r="BO39" i="3"/>
  <c r="BO37" i="3"/>
  <c r="BO41" i="3"/>
  <c r="BP42" i="3" l="1"/>
  <c r="BP41" i="3"/>
  <c r="BP38" i="3"/>
  <c r="BP40" i="3"/>
  <c r="BP39" i="3"/>
  <c r="BP37" i="3"/>
  <c r="BR1" i="3"/>
  <c r="BQ36" i="3"/>
  <c r="BS1" i="3" l="1"/>
  <c r="BR36" i="3"/>
  <c r="BQ42" i="3"/>
  <c r="BQ38" i="3"/>
  <c r="BQ37" i="3"/>
  <c r="BQ39" i="3"/>
  <c r="BQ41" i="3"/>
  <c r="BQ40" i="3"/>
  <c r="BR39" i="3" l="1"/>
  <c r="BR38" i="3"/>
  <c r="BR42" i="3"/>
  <c r="BR37" i="3"/>
  <c r="BR40" i="3"/>
  <c r="BR41" i="3"/>
  <c r="BT1" i="3"/>
  <c r="BS36" i="3"/>
  <c r="BU1" i="3" l="1"/>
  <c r="BT36" i="3"/>
  <c r="BS41" i="3"/>
  <c r="BS37" i="3"/>
  <c r="BS38" i="3"/>
  <c r="BS42" i="3"/>
  <c r="BS40" i="3"/>
  <c r="BS39" i="3"/>
  <c r="BT39" i="3" l="1"/>
  <c r="BT41" i="3"/>
  <c r="BT42" i="3"/>
  <c r="BT40" i="3"/>
  <c r="BT37" i="3"/>
  <c r="BT38" i="3"/>
  <c r="BV1" i="3"/>
  <c r="BU36" i="3"/>
  <c r="BW1" i="3" l="1"/>
  <c r="BV36" i="3"/>
  <c r="BU41" i="3"/>
  <c r="BU37" i="3"/>
  <c r="BU38" i="3"/>
  <c r="BU40" i="3"/>
  <c r="BU42" i="3"/>
  <c r="BU39" i="3"/>
  <c r="BV40" i="3" l="1"/>
  <c r="BV39" i="3"/>
  <c r="BV41" i="3"/>
  <c r="BV38" i="3"/>
  <c r="BV37" i="3"/>
  <c r="BV42" i="3"/>
  <c r="BX1" i="3"/>
  <c r="BW36" i="3"/>
  <c r="BW42" i="3" l="1"/>
  <c r="BW41" i="3"/>
  <c r="BW39" i="3"/>
  <c r="BW40" i="3"/>
  <c r="BW38" i="3"/>
  <c r="BW37" i="3"/>
  <c r="BY1" i="3"/>
  <c r="BX36" i="3"/>
  <c r="BX40" i="3" l="1"/>
  <c r="BX37" i="3"/>
  <c r="BX38" i="3"/>
  <c r="BX39" i="3"/>
  <c r="BX41" i="3"/>
  <c r="BX42" i="3"/>
  <c r="BZ1" i="3"/>
  <c r="BY36" i="3"/>
  <c r="BY38" i="3" l="1"/>
  <c r="BY40" i="3"/>
  <c r="BY39" i="3"/>
  <c r="BY41" i="3"/>
  <c r="BY42" i="3"/>
  <c r="BY37" i="3"/>
  <c r="CA1" i="3"/>
  <c r="BZ36" i="3"/>
  <c r="CB1" i="3" l="1"/>
  <c r="CA36" i="3"/>
  <c r="BZ40" i="3"/>
  <c r="BZ41" i="3"/>
  <c r="BZ39" i="3"/>
  <c r="BZ37" i="3"/>
  <c r="BZ38" i="3"/>
  <c r="BZ42" i="3"/>
  <c r="CA37" i="3" l="1"/>
  <c r="CA42" i="3"/>
  <c r="CA41" i="3"/>
  <c r="CA38" i="3"/>
  <c r="CA40" i="3"/>
  <c r="CA39" i="3"/>
  <c r="CC1" i="3"/>
  <c r="CB36" i="3"/>
  <c r="CD1" i="3" l="1"/>
  <c r="CC36" i="3"/>
  <c r="CB38" i="3"/>
  <c r="CB40" i="3"/>
  <c r="CB42" i="3"/>
  <c r="CB39" i="3"/>
  <c r="CB37" i="3"/>
  <c r="CB41" i="3"/>
  <c r="CC39" i="3" l="1"/>
  <c r="CC41" i="3"/>
  <c r="CC42" i="3"/>
  <c r="CC40" i="3"/>
  <c r="CC38" i="3"/>
  <c r="CC37" i="3"/>
  <c r="CE1" i="3"/>
  <c r="CD36" i="3"/>
  <c r="CF1" i="3" l="1"/>
  <c r="CE36" i="3"/>
  <c r="CD40" i="3"/>
  <c r="CD42" i="3"/>
  <c r="CD38" i="3"/>
  <c r="CD39" i="3"/>
  <c r="CD41" i="3"/>
  <c r="CD37" i="3"/>
  <c r="CE40" i="3" l="1"/>
  <c r="CE38" i="3"/>
  <c r="CE37" i="3"/>
  <c r="CE42" i="3"/>
  <c r="CE41" i="3"/>
  <c r="CE39" i="3"/>
  <c r="CG1" i="3"/>
  <c r="CF36" i="3"/>
  <c r="CH1" i="3" l="1"/>
  <c r="CG36" i="3"/>
  <c r="CF42" i="3"/>
  <c r="CF41" i="3"/>
  <c r="CF37" i="3"/>
  <c r="CF38" i="3"/>
  <c r="CF39" i="3"/>
  <c r="CF40" i="3"/>
  <c r="CG41" i="3" l="1"/>
  <c r="CG42" i="3"/>
  <c r="CG39" i="3"/>
  <c r="CG38" i="3"/>
  <c r="CG40" i="3"/>
  <c r="CG37" i="3"/>
  <c r="CI1" i="3"/>
  <c r="CH36" i="3"/>
  <c r="CJ1" i="3" l="1"/>
  <c r="CI36" i="3"/>
  <c r="CH38" i="3"/>
  <c r="CH40" i="3"/>
  <c r="CH42" i="3"/>
  <c r="CH37" i="3"/>
  <c r="CH41" i="3"/>
  <c r="CH39" i="3"/>
  <c r="CI42" i="3" l="1"/>
  <c r="CI40" i="3"/>
  <c r="CI38" i="3"/>
  <c r="CI39" i="3"/>
  <c r="CI37" i="3"/>
  <c r="CI41" i="3"/>
  <c r="CK1" i="3"/>
  <c r="CJ36" i="3"/>
  <c r="CJ39" i="3" l="1"/>
  <c r="CJ42" i="3"/>
  <c r="CJ38" i="3"/>
  <c r="CJ41" i="3"/>
  <c r="CJ40" i="3"/>
  <c r="CJ37" i="3"/>
  <c r="CL1" i="3"/>
  <c r="CK36" i="3"/>
  <c r="CM1" i="3" l="1"/>
  <c r="CL36" i="3"/>
  <c r="CK37" i="3"/>
  <c r="CK38" i="3"/>
  <c r="CK40" i="3"/>
  <c r="CK41" i="3"/>
  <c r="CK42" i="3"/>
  <c r="CK39" i="3"/>
  <c r="CL42" i="3" l="1"/>
  <c r="CL41" i="3"/>
  <c r="CL38" i="3"/>
  <c r="CL40" i="3"/>
  <c r="CL37" i="3"/>
  <c r="CL39" i="3"/>
  <c r="CN1" i="3"/>
  <c r="CM36" i="3"/>
  <c r="CO1" i="3" l="1"/>
  <c r="CN36" i="3"/>
  <c r="CM41" i="3"/>
  <c r="CM39" i="3"/>
  <c r="CM38" i="3"/>
  <c r="CM40" i="3"/>
  <c r="CM37" i="3"/>
  <c r="CM42" i="3"/>
  <c r="CN41" i="3" l="1"/>
  <c r="CN40" i="3"/>
  <c r="CN37" i="3"/>
  <c r="CN38" i="3"/>
  <c r="CN42" i="3"/>
  <c r="CN39" i="3"/>
  <c r="CP1" i="3"/>
  <c r="CO36" i="3"/>
  <c r="CQ1" i="3" l="1"/>
  <c r="CP36" i="3"/>
  <c r="CO38" i="3"/>
  <c r="CO40" i="3"/>
  <c r="CO41" i="3"/>
  <c r="CO39" i="3"/>
  <c r="CO37" i="3"/>
  <c r="CO42" i="3"/>
  <c r="CP37" i="3" l="1"/>
  <c r="CP39" i="3"/>
  <c r="CP38" i="3"/>
  <c r="CP42" i="3"/>
  <c r="CP41" i="3"/>
  <c r="CP40" i="3"/>
  <c r="CR1" i="3"/>
  <c r="CQ36" i="3"/>
  <c r="CS1" i="3" l="1"/>
  <c r="CR36" i="3"/>
  <c r="CQ38" i="3"/>
  <c r="CQ37" i="3"/>
  <c r="CQ41" i="3"/>
  <c r="CQ40" i="3"/>
  <c r="CQ42" i="3"/>
  <c r="CQ39" i="3"/>
  <c r="CR41" i="3" l="1"/>
  <c r="CR38" i="3"/>
  <c r="CR40" i="3"/>
  <c r="CR42" i="3"/>
  <c r="CR39" i="3"/>
  <c r="CR37" i="3"/>
  <c r="CT1" i="3"/>
  <c r="CS36" i="3"/>
  <c r="CU1" i="3" l="1"/>
  <c r="CT36" i="3"/>
  <c r="CS39" i="3"/>
  <c r="CS42" i="3"/>
  <c r="CS40" i="3"/>
  <c r="CS37" i="3"/>
  <c r="CS38" i="3"/>
  <c r="CS41" i="3"/>
  <c r="CT40" i="3" l="1"/>
  <c r="CT39" i="3"/>
  <c r="CT41" i="3"/>
  <c r="CT42" i="3"/>
  <c r="CT37" i="3"/>
  <c r="CT38" i="3"/>
  <c r="CV1" i="3"/>
  <c r="CU36" i="3"/>
  <c r="CW1" i="3" l="1"/>
  <c r="CV36" i="3"/>
  <c r="CU38" i="3"/>
  <c r="CU42" i="3"/>
  <c r="CU39" i="3"/>
  <c r="CU41" i="3"/>
  <c r="CU37" i="3"/>
  <c r="CU40" i="3"/>
  <c r="CV42" i="3" l="1"/>
  <c r="CV41" i="3"/>
  <c r="CV38" i="3"/>
  <c r="CV40" i="3"/>
  <c r="CV37" i="3"/>
  <c r="CV39" i="3"/>
  <c r="CX1" i="3"/>
  <c r="CW36" i="3"/>
  <c r="CY1" i="3" l="1"/>
  <c r="CX36" i="3"/>
  <c r="CW42" i="3"/>
  <c r="CW37" i="3"/>
  <c r="CW38" i="3"/>
  <c r="CW41" i="3"/>
  <c r="CW39" i="3"/>
  <c r="CW40" i="3"/>
  <c r="CX39" i="3" l="1"/>
  <c r="CX42" i="3"/>
  <c r="CX40" i="3"/>
  <c r="CX38" i="3"/>
  <c r="CX41" i="3"/>
  <c r="CX37" i="3"/>
  <c r="CZ1" i="3"/>
  <c r="CY36" i="3"/>
  <c r="DA1" i="3" l="1"/>
  <c r="CZ36" i="3"/>
  <c r="CY42" i="3"/>
  <c r="CY38" i="3"/>
  <c r="CY41" i="3"/>
  <c r="CY40" i="3"/>
  <c r="CY39" i="3"/>
  <c r="CY37" i="3"/>
  <c r="CZ37" i="3" l="1"/>
  <c r="CZ39" i="3"/>
  <c r="CZ41" i="3"/>
  <c r="CZ38" i="3"/>
  <c r="CZ42" i="3"/>
  <c r="CZ40" i="3"/>
  <c r="DB1" i="3"/>
  <c r="DA36" i="3"/>
  <c r="DC1" i="3" l="1"/>
  <c r="DB36" i="3"/>
  <c r="DA41" i="3"/>
  <c r="DA38" i="3"/>
  <c r="DA40" i="3"/>
  <c r="DA37" i="3"/>
  <c r="DA42" i="3"/>
  <c r="DA39" i="3"/>
  <c r="DB39" i="3" l="1"/>
  <c r="DB41" i="3"/>
  <c r="DB37" i="3"/>
  <c r="DB40" i="3"/>
  <c r="DB38" i="3"/>
  <c r="DB42" i="3"/>
  <c r="DD1" i="3"/>
  <c r="DC36" i="3"/>
  <c r="DE1" i="3" l="1"/>
  <c r="DD36" i="3"/>
  <c r="DC38" i="3"/>
  <c r="DC40" i="3"/>
  <c r="DC41" i="3"/>
  <c r="DC37" i="3"/>
  <c r="DC39" i="3"/>
  <c r="DC42" i="3"/>
  <c r="DD38" i="3" l="1"/>
  <c r="DD40" i="3"/>
  <c r="DD41" i="3"/>
  <c r="DD37" i="3"/>
  <c r="DD39" i="3"/>
  <c r="DD42" i="3"/>
  <c r="DF1" i="3"/>
  <c r="DE36" i="3"/>
  <c r="DG1" i="3" l="1"/>
  <c r="DF36" i="3"/>
  <c r="DE40" i="3"/>
  <c r="DE39" i="3"/>
  <c r="DE42" i="3"/>
  <c r="DE38" i="3"/>
  <c r="DE37" i="3"/>
  <c r="DE41" i="3"/>
  <c r="DF40" i="3" l="1"/>
  <c r="DF41" i="3"/>
  <c r="DF37" i="3"/>
  <c r="DF38" i="3"/>
  <c r="DF39" i="3"/>
  <c r="DF42" i="3"/>
  <c r="DH1" i="3"/>
  <c r="DG36" i="3"/>
  <c r="DI1" i="3" l="1"/>
  <c r="DH36" i="3"/>
  <c r="DG42" i="3"/>
  <c r="DG40" i="3"/>
  <c r="DG38" i="3"/>
  <c r="DG41" i="3"/>
  <c r="DG39" i="3"/>
  <c r="DG37" i="3"/>
  <c r="DH40" i="3" l="1"/>
  <c r="DH42" i="3"/>
  <c r="DH38" i="3"/>
  <c r="DH37" i="3"/>
  <c r="DH41" i="3"/>
  <c r="DH39" i="3"/>
  <c r="DJ1" i="3"/>
  <c r="DI36" i="3"/>
  <c r="DK1" i="3" l="1"/>
  <c r="DJ36" i="3"/>
  <c r="DI39" i="3"/>
  <c r="DI41" i="3"/>
  <c r="DI42" i="3"/>
  <c r="DI40" i="3"/>
  <c r="DI38" i="3"/>
  <c r="DI37" i="3"/>
  <c r="DJ38" i="3" l="1"/>
  <c r="DJ40" i="3"/>
  <c r="DJ42" i="3"/>
  <c r="DJ39" i="3"/>
  <c r="DJ41" i="3"/>
  <c r="DJ37" i="3"/>
  <c r="DL1" i="3"/>
  <c r="DK36" i="3"/>
  <c r="DM1" i="3" l="1"/>
  <c r="DL36" i="3"/>
  <c r="DK42" i="3"/>
  <c r="DK40" i="3"/>
  <c r="DK37" i="3"/>
  <c r="DK38" i="3"/>
  <c r="DK41" i="3"/>
  <c r="DK39" i="3"/>
  <c r="DL42" i="3" l="1"/>
  <c r="DL39" i="3"/>
  <c r="DL40" i="3"/>
  <c r="DL41" i="3"/>
  <c r="DL37" i="3"/>
  <c r="DL38" i="3"/>
  <c r="DN1" i="3"/>
  <c r="DM36" i="3"/>
  <c r="DO1" i="3" l="1"/>
  <c r="DN36" i="3"/>
  <c r="DM41" i="3"/>
  <c r="DM42" i="3"/>
  <c r="DM37" i="3"/>
  <c r="DM38" i="3"/>
  <c r="DM39" i="3"/>
  <c r="DM40" i="3"/>
  <c r="DN38" i="3" l="1"/>
  <c r="DN39" i="3"/>
  <c r="DN40" i="3"/>
  <c r="DN42" i="3"/>
  <c r="DN37" i="3"/>
  <c r="DN41" i="3"/>
  <c r="DP1" i="3"/>
  <c r="DO36" i="3"/>
  <c r="DO42" i="3" l="1"/>
  <c r="DO40" i="3"/>
  <c r="DO41" i="3"/>
  <c r="DO38" i="3"/>
  <c r="DO39" i="3"/>
  <c r="DO37" i="3"/>
  <c r="DQ1" i="3"/>
  <c r="DP36" i="3"/>
  <c r="DR1" i="3" l="1"/>
  <c r="DQ36" i="3"/>
  <c r="DP37" i="3"/>
  <c r="DP39" i="3"/>
  <c r="DP38" i="3"/>
  <c r="DP41" i="3"/>
  <c r="DP40" i="3"/>
  <c r="DP42" i="3"/>
  <c r="DQ38" i="3" l="1"/>
  <c r="DQ41" i="3"/>
  <c r="DQ39" i="3"/>
  <c r="DQ40" i="3"/>
  <c r="DQ42" i="3"/>
  <c r="DQ37" i="3"/>
  <c r="DS1" i="3"/>
  <c r="DR36" i="3"/>
  <c r="DT1" i="3" l="1"/>
  <c r="DS36" i="3"/>
  <c r="DR41" i="3"/>
  <c r="DR37" i="3"/>
  <c r="DR39" i="3"/>
  <c r="DR42" i="3"/>
  <c r="DR40" i="3"/>
  <c r="DR38" i="3"/>
  <c r="DS40" i="3" l="1"/>
  <c r="DS42" i="3"/>
  <c r="DS41" i="3"/>
  <c r="DS37" i="3"/>
  <c r="DS39" i="3"/>
  <c r="DS38" i="3"/>
  <c r="DU1" i="3"/>
  <c r="DT36" i="3"/>
  <c r="DV1" i="3" l="1"/>
  <c r="DU36" i="3"/>
  <c r="DT41" i="3"/>
  <c r="DT38" i="3"/>
  <c r="DT40" i="3"/>
  <c r="DT42" i="3"/>
  <c r="DT39" i="3"/>
  <c r="DT37" i="3"/>
  <c r="DU37" i="3" l="1"/>
  <c r="DU38" i="3"/>
  <c r="DU40" i="3"/>
  <c r="DU41" i="3"/>
  <c r="DU39" i="3"/>
  <c r="DU42" i="3"/>
  <c r="DW1" i="3"/>
  <c r="DV36" i="3"/>
  <c r="DX1" i="3" l="1"/>
  <c r="DW36" i="3"/>
  <c r="DV37" i="3"/>
  <c r="DV38" i="3"/>
  <c r="DV39" i="3"/>
  <c r="DV41" i="3"/>
  <c r="DV42" i="3"/>
  <c r="DV40" i="3"/>
  <c r="DW38" i="3" l="1"/>
  <c r="DW42" i="3"/>
  <c r="DW41" i="3"/>
  <c r="DW40" i="3"/>
  <c r="DW39" i="3"/>
  <c r="DW37" i="3"/>
  <c r="DY1" i="3"/>
  <c r="DX36" i="3"/>
  <c r="DZ1" i="3" l="1"/>
  <c r="DY36" i="3"/>
  <c r="DX41" i="3"/>
  <c r="DX40" i="3"/>
  <c r="DX42" i="3"/>
  <c r="DX38" i="3"/>
  <c r="DX37" i="3"/>
  <c r="DX39" i="3"/>
  <c r="DY39" i="3" l="1"/>
  <c r="DY40" i="3"/>
  <c r="DY42" i="3"/>
  <c r="DY37" i="3"/>
  <c r="DY38" i="3"/>
  <c r="DY41" i="3"/>
  <c r="EA1" i="3"/>
  <c r="DZ36" i="3"/>
  <c r="EB1" i="3" l="1"/>
  <c r="EA36" i="3"/>
  <c r="DZ40" i="3"/>
  <c r="DZ39" i="3"/>
  <c r="DZ42" i="3"/>
  <c r="DZ41" i="3"/>
  <c r="DZ37" i="3"/>
  <c r="DZ38" i="3"/>
  <c r="EA40" i="3" l="1"/>
  <c r="EA42" i="3"/>
  <c r="EA39" i="3"/>
  <c r="EA37" i="3"/>
  <c r="EA38" i="3"/>
  <c r="EA41" i="3"/>
  <c r="EC1" i="3"/>
  <c r="EB36" i="3"/>
  <c r="ED1" i="3" l="1"/>
  <c r="EC36" i="3"/>
  <c r="EB38" i="3"/>
  <c r="EB41" i="3"/>
  <c r="EB40" i="3"/>
  <c r="EB37" i="3"/>
  <c r="EB39" i="3"/>
  <c r="EB42" i="3"/>
  <c r="EC42" i="3" l="1"/>
  <c r="EC39" i="3"/>
  <c r="EC37" i="3"/>
  <c r="EC40" i="3"/>
  <c r="EC41" i="3"/>
  <c r="EC38" i="3"/>
  <c r="EE1" i="3"/>
  <c r="ED36" i="3"/>
  <c r="D65" i="1" l="1"/>
  <c r="Q65" i="1"/>
  <c r="C65" i="1"/>
  <c r="P65" i="1"/>
  <c r="F65" i="1"/>
  <c r="E65" i="1"/>
  <c r="G65" i="1"/>
  <c r="H65" i="1"/>
  <c r="I65" i="1"/>
  <c r="J65" i="1"/>
  <c r="M65" i="1"/>
  <c r="K65" i="1"/>
  <c r="L65" i="1"/>
  <c r="L8" i="1"/>
  <c r="M8" i="1"/>
  <c r="D8" i="1"/>
  <c r="C8" i="1"/>
  <c r="K8" i="1"/>
  <c r="H8" i="1"/>
  <c r="J8" i="1"/>
  <c r="G8" i="1"/>
  <c r="F8" i="1"/>
  <c r="I8" i="1"/>
  <c r="E8" i="1"/>
  <c r="H27" i="1"/>
  <c r="G27" i="1"/>
  <c r="E27" i="1"/>
  <c r="K27" i="1"/>
  <c r="M27" i="1"/>
  <c r="F27" i="1"/>
  <c r="J27" i="1"/>
  <c r="I27" i="1"/>
  <c r="D27" i="1"/>
  <c r="C27" i="1"/>
  <c r="L27" i="1"/>
  <c r="C46" i="1"/>
  <c r="J46" i="1"/>
  <c r="D46" i="1"/>
  <c r="L46" i="1"/>
  <c r="H46" i="1"/>
  <c r="I46" i="1"/>
  <c r="E46" i="1"/>
  <c r="F46" i="1"/>
  <c r="K46" i="1"/>
  <c r="G46" i="1"/>
  <c r="M46" i="1"/>
  <c r="Q46" i="1"/>
  <c r="P46" i="1"/>
  <c r="P27" i="1"/>
  <c r="Q27" i="1"/>
  <c r="P7" i="1"/>
  <c r="Q7" i="1" s="1"/>
  <c r="E77" i="3"/>
  <c r="F77" i="3" s="1"/>
  <c r="G77" i="3" s="1"/>
  <c r="H77" i="3" s="1"/>
  <c r="I77" i="3" s="1"/>
  <c r="J77" i="3" s="1"/>
  <c r="K77" i="3" s="1"/>
  <c r="L77" i="3" s="1"/>
  <c r="M77" i="3" s="1"/>
  <c r="N77" i="3" s="1"/>
  <c r="O77" i="3" s="1"/>
  <c r="P77" i="3" s="1"/>
  <c r="Q8" i="1"/>
  <c r="P8" i="1"/>
  <c r="D78" i="3"/>
  <c r="D74" i="3"/>
  <c r="E49" i="3"/>
  <c r="EE36" i="3"/>
  <c r="ED39" i="3"/>
  <c r="ED42" i="3"/>
  <c r="ED40" i="3"/>
  <c r="ED38" i="3"/>
  <c r="ED37" i="3"/>
  <c r="ED41" i="3"/>
  <c r="F78" i="3" l="1"/>
  <c r="E78" i="3"/>
  <c r="F49" i="3"/>
  <c r="E50" i="3"/>
  <c r="E53" i="3" s="1"/>
  <c r="EE38" i="3"/>
  <c r="EE42" i="3"/>
  <c r="EE41" i="3"/>
  <c r="EE39" i="3"/>
  <c r="EE37" i="3"/>
  <c r="EE40" i="3"/>
  <c r="G78" i="3" l="1"/>
  <c r="F50" i="3"/>
  <c r="F53" i="3" s="1"/>
  <c r="G49" i="3"/>
  <c r="H78" i="3" l="1"/>
  <c r="G50" i="3"/>
  <c r="G53" i="3" s="1"/>
  <c r="H49" i="3"/>
  <c r="I78" i="3" l="1"/>
  <c r="H50" i="3"/>
  <c r="H53" i="3" s="1"/>
  <c r="I49" i="3"/>
  <c r="J78" i="3" l="1"/>
  <c r="I50" i="3"/>
  <c r="I53" i="3" s="1"/>
  <c r="J49" i="3"/>
  <c r="K78" i="3" l="1"/>
  <c r="J50" i="3"/>
  <c r="J53" i="3" s="1"/>
  <c r="K49" i="3"/>
  <c r="L78" i="3" l="1"/>
  <c r="K50" i="3"/>
  <c r="K53" i="3" s="1"/>
  <c r="L49" i="3"/>
  <c r="M78" i="3" l="1"/>
  <c r="L50" i="3"/>
  <c r="L53" i="3" s="1"/>
  <c r="M49" i="3"/>
  <c r="N78" i="3" l="1"/>
  <c r="M50" i="3"/>
  <c r="M53" i="3" s="1"/>
  <c r="N49" i="3"/>
  <c r="O78" i="3" l="1"/>
  <c r="P78" i="3"/>
  <c r="N50" i="3"/>
  <c r="N53" i="3" s="1"/>
  <c r="O49" i="3"/>
  <c r="O50" i="3" l="1"/>
  <c r="O53" i="3" s="1"/>
  <c r="P49" i="3"/>
  <c r="Q49" i="3" l="1"/>
  <c r="P50" i="3"/>
  <c r="P53" i="3" s="1"/>
  <c r="Q50" i="3" l="1"/>
  <c r="Q53" i="3" s="1"/>
  <c r="R49" i="3"/>
  <c r="S49" i="3" s="1"/>
  <c r="R50" i="3" l="1"/>
  <c r="R53" i="3" s="1"/>
  <c r="T49" i="3"/>
  <c r="S50" i="3"/>
  <c r="S53" i="3" s="1"/>
  <c r="U49" i="3" l="1"/>
  <c r="T50" i="3"/>
  <c r="T53" i="3" s="1"/>
  <c r="V49" i="3" l="1"/>
  <c r="U50" i="3"/>
  <c r="U53" i="3" s="1"/>
  <c r="W49" i="3" l="1"/>
  <c r="V50" i="3"/>
  <c r="V53" i="3" s="1"/>
  <c r="X49" i="3" l="1"/>
  <c r="W50" i="3"/>
  <c r="W53" i="3" s="1"/>
  <c r="Y49" i="3" l="1"/>
  <c r="X50" i="3"/>
  <c r="X53" i="3" s="1"/>
  <c r="Z49" i="3" l="1"/>
  <c r="Y50" i="3"/>
  <c r="Y53" i="3" s="1"/>
  <c r="AA49" i="3" l="1"/>
  <c r="Z50" i="3"/>
  <c r="Z53" i="3" s="1"/>
  <c r="AB49" i="3" l="1"/>
  <c r="AA50" i="3"/>
  <c r="AA53" i="3" s="1"/>
  <c r="AC49" i="3" l="1"/>
  <c r="AB50" i="3"/>
  <c r="AB53" i="3" s="1"/>
  <c r="AD49" i="3" l="1"/>
  <c r="AC50" i="3"/>
  <c r="AC53" i="3" s="1"/>
  <c r="AE49" i="3" l="1"/>
  <c r="AD50" i="3"/>
  <c r="AD53" i="3" s="1"/>
  <c r="AF49" i="3" l="1"/>
  <c r="AE50" i="3"/>
  <c r="AE53" i="3" s="1"/>
  <c r="AG49" i="3" l="1"/>
  <c r="AF50" i="3"/>
  <c r="AF53" i="3" s="1"/>
  <c r="AH49" i="3" l="1"/>
  <c r="AG50" i="3"/>
  <c r="AG53" i="3" s="1"/>
  <c r="AI49" i="3" l="1"/>
  <c r="AH50" i="3"/>
  <c r="AH53" i="3" s="1"/>
  <c r="AJ49" i="3" l="1"/>
  <c r="AI50" i="3"/>
  <c r="AI53" i="3" s="1"/>
  <c r="AK49" i="3" l="1"/>
  <c r="AJ50" i="3"/>
  <c r="AJ53" i="3" s="1"/>
  <c r="AL49" i="3" l="1"/>
  <c r="AK50" i="3"/>
  <c r="AK53" i="3" s="1"/>
  <c r="AM49" i="3" l="1"/>
  <c r="AL50" i="3"/>
  <c r="AL53" i="3" s="1"/>
  <c r="AN49" i="3" l="1"/>
  <c r="AM50" i="3"/>
  <c r="AM53" i="3" s="1"/>
  <c r="AO49" i="3" l="1"/>
  <c r="AN50" i="3"/>
  <c r="AN53" i="3" s="1"/>
  <c r="AP49" i="3" l="1"/>
  <c r="AO50" i="3"/>
  <c r="AO53" i="3" s="1"/>
  <c r="AQ49" i="3" l="1"/>
  <c r="AP50" i="3"/>
  <c r="AP53" i="3" s="1"/>
  <c r="AR49" i="3" l="1"/>
  <c r="AQ50" i="3"/>
  <c r="AQ53" i="3" s="1"/>
  <c r="AS49" i="3" l="1"/>
  <c r="AR50" i="3"/>
  <c r="AR53" i="3" s="1"/>
  <c r="AT49" i="3" l="1"/>
  <c r="AS50" i="3"/>
  <c r="AS53" i="3" s="1"/>
  <c r="AU49" i="3" l="1"/>
  <c r="AT50" i="3"/>
  <c r="AT53" i="3" s="1"/>
  <c r="AV49" i="3" l="1"/>
  <c r="AU50" i="3"/>
  <c r="AU53" i="3" s="1"/>
  <c r="AW49" i="3" l="1"/>
  <c r="AV50" i="3"/>
  <c r="AV53" i="3" s="1"/>
  <c r="AX49" i="3" l="1"/>
  <c r="AW50" i="3"/>
  <c r="AW53" i="3" s="1"/>
  <c r="AY49" i="3" l="1"/>
  <c r="AX50" i="3"/>
  <c r="AX53" i="3" s="1"/>
  <c r="AZ49" i="3" l="1"/>
  <c r="AY50" i="3"/>
  <c r="AY53" i="3" s="1"/>
  <c r="BA49" i="3" l="1"/>
  <c r="AZ50" i="3"/>
  <c r="AZ53" i="3" s="1"/>
  <c r="BB49" i="3" l="1"/>
  <c r="BA50" i="3"/>
  <c r="BA53" i="3" s="1"/>
  <c r="BC49" i="3" l="1"/>
  <c r="BB50" i="3"/>
  <c r="BB53" i="3" s="1"/>
  <c r="BD49" i="3" l="1"/>
  <c r="BC50" i="3"/>
  <c r="BC53" i="3" s="1"/>
  <c r="BE49" i="3" l="1"/>
  <c r="BD50" i="3"/>
  <c r="BD53" i="3" s="1"/>
  <c r="BF49" i="3" l="1"/>
  <c r="BE50" i="3"/>
  <c r="BE53" i="3" s="1"/>
  <c r="BG49" i="3" l="1"/>
  <c r="BF50" i="3"/>
  <c r="BF53" i="3" s="1"/>
  <c r="BH49" i="3" l="1"/>
  <c r="BG50" i="3"/>
  <c r="BG53" i="3" s="1"/>
  <c r="BI49" i="3" l="1"/>
  <c r="BH50" i="3"/>
  <c r="BH53" i="3" s="1"/>
  <c r="BJ49" i="3" l="1"/>
  <c r="BI50" i="3"/>
  <c r="BI53" i="3" s="1"/>
  <c r="BK49" i="3" l="1"/>
  <c r="BJ50" i="3"/>
  <c r="BJ53" i="3" s="1"/>
  <c r="BL49" i="3" l="1"/>
  <c r="BK50" i="3"/>
  <c r="BK53" i="3" s="1"/>
  <c r="BM49" i="3" l="1"/>
  <c r="BL50" i="3"/>
  <c r="BL53" i="3" s="1"/>
  <c r="BN49" i="3" l="1"/>
  <c r="BM50" i="3"/>
  <c r="BM53" i="3" s="1"/>
  <c r="BO49" i="3" l="1"/>
  <c r="BN50" i="3"/>
  <c r="BN53" i="3" s="1"/>
  <c r="BP49" i="3" l="1"/>
  <c r="BO50" i="3"/>
  <c r="BO53" i="3" s="1"/>
  <c r="BQ49" i="3" l="1"/>
  <c r="BP50" i="3"/>
  <c r="BP53" i="3" s="1"/>
  <c r="BR49" i="3" l="1"/>
  <c r="BQ50" i="3"/>
  <c r="BQ53" i="3" s="1"/>
  <c r="BS49" i="3" l="1"/>
  <c r="BR50" i="3"/>
  <c r="BR53" i="3" s="1"/>
  <c r="BT49" i="3" l="1"/>
  <c r="BS50" i="3"/>
  <c r="BS53" i="3" s="1"/>
  <c r="BU49" i="3" l="1"/>
  <c r="BT50" i="3"/>
  <c r="BT53" i="3" s="1"/>
  <c r="BV49" i="3" l="1"/>
  <c r="BU50" i="3"/>
  <c r="BU53" i="3" s="1"/>
  <c r="BW49" i="3" l="1"/>
  <c r="BV50" i="3"/>
  <c r="BV53" i="3" s="1"/>
  <c r="BX49" i="3" l="1"/>
  <c r="BW50" i="3"/>
  <c r="BW53" i="3" s="1"/>
  <c r="BY49" i="3" l="1"/>
  <c r="BX50" i="3"/>
  <c r="BX53" i="3" s="1"/>
  <c r="BZ49" i="3" l="1"/>
  <c r="BY50" i="3"/>
  <c r="BY53" i="3" s="1"/>
  <c r="CA49" i="3" l="1"/>
  <c r="BZ50" i="3"/>
  <c r="BZ53" i="3" s="1"/>
  <c r="CB49" i="3" l="1"/>
  <c r="CA50" i="3"/>
  <c r="CA53" i="3" s="1"/>
  <c r="CC49" i="3" l="1"/>
  <c r="CB50" i="3"/>
  <c r="CB53" i="3" s="1"/>
  <c r="CD49" i="3" l="1"/>
  <c r="CC50" i="3"/>
  <c r="CC53" i="3" s="1"/>
  <c r="CE49" i="3" l="1"/>
  <c r="CD50" i="3"/>
  <c r="CD53" i="3" s="1"/>
  <c r="CF49" i="3" l="1"/>
  <c r="CE50" i="3"/>
  <c r="CE53" i="3" s="1"/>
  <c r="CG49" i="3" l="1"/>
  <c r="CF50" i="3"/>
  <c r="CF53" i="3" s="1"/>
  <c r="CH49" i="3" l="1"/>
  <c r="CG50" i="3"/>
  <c r="CG53" i="3" s="1"/>
  <c r="CI49" i="3" l="1"/>
  <c r="CH50" i="3"/>
  <c r="CH53" i="3" s="1"/>
  <c r="CJ49" i="3" l="1"/>
  <c r="CI50" i="3"/>
  <c r="CI53" i="3" s="1"/>
  <c r="CK49" i="3" l="1"/>
  <c r="CJ50" i="3"/>
  <c r="CJ53" i="3" s="1"/>
  <c r="CL49" i="3" l="1"/>
  <c r="CK50" i="3"/>
  <c r="CK53" i="3" s="1"/>
  <c r="CM49" i="3" l="1"/>
  <c r="CL50" i="3"/>
  <c r="CL53" i="3" s="1"/>
  <c r="CN49" i="3" l="1"/>
  <c r="CM50" i="3"/>
  <c r="CM53" i="3" s="1"/>
  <c r="CO49" i="3" l="1"/>
  <c r="CN50" i="3"/>
  <c r="CN53" i="3" s="1"/>
  <c r="CP49" i="3" l="1"/>
  <c r="CO50" i="3"/>
  <c r="CO53" i="3" s="1"/>
  <c r="CQ49" i="3" l="1"/>
  <c r="CP50" i="3"/>
  <c r="CP53" i="3" s="1"/>
  <c r="CR49" i="3" l="1"/>
  <c r="CQ50" i="3"/>
  <c r="CQ53" i="3" s="1"/>
  <c r="CS49" i="3" l="1"/>
  <c r="CR50" i="3"/>
  <c r="CR53" i="3" s="1"/>
  <c r="CT49" i="3" l="1"/>
  <c r="CS50" i="3"/>
  <c r="CS53" i="3" s="1"/>
  <c r="CU49" i="3" l="1"/>
  <c r="CT50" i="3"/>
  <c r="CT53" i="3" s="1"/>
  <c r="CV49" i="3" l="1"/>
  <c r="CU50" i="3"/>
  <c r="CU53" i="3" s="1"/>
  <c r="CW49" i="3" l="1"/>
  <c r="CV50" i="3"/>
  <c r="CV53" i="3" s="1"/>
  <c r="CX49" i="3" l="1"/>
  <c r="CW50" i="3"/>
  <c r="CW53" i="3" s="1"/>
  <c r="CY49" i="3" l="1"/>
  <c r="CX50" i="3"/>
  <c r="CX53" i="3" s="1"/>
  <c r="CZ49" i="3" l="1"/>
  <c r="CY50" i="3"/>
  <c r="CY53" i="3" s="1"/>
  <c r="DA49" i="3" l="1"/>
  <c r="CZ50" i="3"/>
  <c r="CZ53" i="3" s="1"/>
  <c r="DB49" i="3" l="1"/>
  <c r="DA50" i="3"/>
  <c r="DA53" i="3" s="1"/>
  <c r="DC49" i="3" l="1"/>
  <c r="DB50" i="3"/>
  <c r="DB53" i="3" s="1"/>
  <c r="DD49" i="3" l="1"/>
  <c r="DC50" i="3"/>
  <c r="DC53" i="3" s="1"/>
  <c r="DE49" i="3" l="1"/>
  <c r="DD50" i="3"/>
  <c r="DD53" i="3" s="1"/>
  <c r="DF49" i="3" l="1"/>
  <c r="DE50" i="3"/>
  <c r="DE53" i="3" s="1"/>
  <c r="DG49" i="3" l="1"/>
  <c r="DF50" i="3"/>
  <c r="DF53" i="3" s="1"/>
  <c r="DH49" i="3" l="1"/>
  <c r="DG50" i="3"/>
  <c r="DG53" i="3" s="1"/>
  <c r="DI49" i="3" l="1"/>
  <c r="DH50" i="3"/>
  <c r="DH53" i="3" s="1"/>
  <c r="DJ49" i="3" l="1"/>
  <c r="DI50" i="3"/>
  <c r="DI53" i="3" s="1"/>
  <c r="DK49" i="3" l="1"/>
  <c r="DJ50" i="3"/>
  <c r="DJ53" i="3" s="1"/>
  <c r="DL49" i="3" l="1"/>
  <c r="DK50" i="3"/>
  <c r="DK53" i="3" s="1"/>
  <c r="DM49" i="3" l="1"/>
  <c r="DL50" i="3"/>
  <c r="DL53" i="3" s="1"/>
  <c r="DN49" i="3" l="1"/>
  <c r="DM50" i="3"/>
  <c r="DM53" i="3" s="1"/>
  <c r="DO49" i="3" l="1"/>
  <c r="DN50" i="3"/>
  <c r="DN53" i="3" s="1"/>
  <c r="DP49" i="3" l="1"/>
  <c r="DO50" i="3"/>
  <c r="DO53" i="3" s="1"/>
  <c r="DQ49" i="3" l="1"/>
  <c r="DP50" i="3"/>
  <c r="DP53" i="3" s="1"/>
  <c r="DR49" i="3" l="1"/>
  <c r="DQ50" i="3"/>
  <c r="DQ53" i="3" s="1"/>
  <c r="DS49" i="3" l="1"/>
  <c r="DR50" i="3"/>
  <c r="DR53" i="3" s="1"/>
  <c r="DT49" i="3" l="1"/>
  <c r="DS50" i="3"/>
  <c r="DS53" i="3" s="1"/>
  <c r="DU49" i="3" l="1"/>
  <c r="DT50" i="3"/>
  <c r="DT53" i="3" s="1"/>
  <c r="DV49" i="3" l="1"/>
  <c r="DU50" i="3"/>
  <c r="DU53" i="3" s="1"/>
  <c r="DW49" i="3" l="1"/>
  <c r="DV50" i="3"/>
  <c r="DV53" i="3" s="1"/>
  <c r="DX49" i="3" l="1"/>
  <c r="DW50" i="3"/>
  <c r="DW53" i="3" s="1"/>
  <c r="DY49" i="3" l="1"/>
  <c r="DX50" i="3"/>
  <c r="DX53" i="3" s="1"/>
  <c r="DZ49" i="3" l="1"/>
  <c r="DY50" i="3"/>
  <c r="DY53" i="3" s="1"/>
  <c r="EA49" i="3" l="1"/>
  <c r="DZ50" i="3"/>
  <c r="DZ53" i="3" s="1"/>
  <c r="EB49" i="3" l="1"/>
  <c r="EA50" i="3"/>
  <c r="EA53" i="3" s="1"/>
  <c r="EC49" i="3" l="1"/>
  <c r="EB50" i="3"/>
  <c r="EB53" i="3" s="1"/>
  <c r="ED49" i="3" l="1"/>
  <c r="EC50" i="3"/>
  <c r="EC53" i="3" s="1"/>
  <c r="EE49" i="3" l="1"/>
  <c r="ED50" i="3"/>
  <c r="ED53" i="3" s="1"/>
  <c r="EE50" i="3" l="1"/>
  <c r="EE53" i="3" s="1"/>
  <c r="DI52" i="3" a="1"/>
  <c r="DI52" i="3" s="1"/>
  <c r="C52" i="3"/>
  <c r="C52" i="3" a="1"/>
  <c r="G52" i="3" a="1"/>
  <c r="G52" i="3" s="1"/>
  <c r="I52" i="3" a="1"/>
  <c r="I52" i="3" s="1"/>
  <c r="K52" i="3" a="1"/>
  <c r="K52" i="3" s="1"/>
  <c r="L52" i="3" a="1"/>
  <c r="L52" i="3" s="1"/>
  <c r="O52" i="3" a="1"/>
  <c r="O52" i="3" s="1"/>
  <c r="Q52" i="3" a="1"/>
  <c r="Q52" i="3" s="1"/>
  <c r="R52" i="3" a="1"/>
  <c r="R52" i="3" s="1"/>
  <c r="U52" i="3" a="1"/>
  <c r="U52" i="3" s="1"/>
  <c r="W52" i="3" a="1"/>
  <c r="W52" i="3" s="1"/>
  <c r="Y52" i="3" a="1"/>
  <c r="Y52" i="3" s="1"/>
  <c r="AA52" i="3" a="1"/>
  <c r="AA52" i="3" s="1"/>
  <c r="AC52" i="3" a="1"/>
  <c r="AC52" i="3" s="1"/>
  <c r="AE52" i="3" a="1"/>
  <c r="AE52" i="3" s="1"/>
  <c r="AG52" i="3" a="1"/>
  <c r="AG52" i="3" s="1"/>
  <c r="AI52" i="3" a="1"/>
  <c r="AI52" i="3" s="1"/>
  <c r="AK52" i="3" a="1"/>
  <c r="AK52" i="3" s="1"/>
  <c r="AM52" i="3" a="1"/>
  <c r="AM52" i="3" s="1"/>
  <c r="AO52" i="3" a="1"/>
  <c r="AO52" i="3" s="1"/>
  <c r="AQ52" i="3" a="1"/>
  <c r="AQ52" i="3" s="1"/>
  <c r="AS52" i="3" a="1"/>
  <c r="AS52" i="3" s="1"/>
  <c r="AU52" i="3" a="1"/>
  <c r="AU52" i="3" s="1"/>
  <c r="AW52" i="3" a="1"/>
  <c r="AW52" i="3" s="1"/>
  <c r="AY52" i="3" a="1"/>
  <c r="AY52" i="3" s="1"/>
  <c r="BA52" i="3" a="1"/>
  <c r="BA52" i="3" s="1"/>
  <c r="BC52" i="3" a="1"/>
  <c r="BC52" i="3" s="1"/>
  <c r="BE52" i="3" a="1"/>
  <c r="BE52" i="3" s="1"/>
  <c r="BG52" i="3" a="1"/>
  <c r="BG52" i="3" s="1"/>
  <c r="BI52" i="3" a="1"/>
  <c r="BI52" i="3" s="1"/>
  <c r="BK52" i="3" a="1"/>
  <c r="BK52" i="3" s="1"/>
  <c r="BM52" i="3" a="1"/>
  <c r="BM52" i="3" s="1"/>
  <c r="BO52" i="3" a="1"/>
  <c r="BO52" i="3" s="1"/>
  <c r="BQ52" i="3" a="1"/>
  <c r="BQ52" i="3" s="1"/>
  <c r="BS52" i="3" a="1"/>
  <c r="BS52" i="3" s="1"/>
  <c r="BU52" i="3" a="1"/>
  <c r="BU52" i="3" s="1"/>
  <c r="BW52" i="3" a="1"/>
  <c r="BW52" i="3" s="1"/>
  <c r="BY52" i="3" a="1"/>
  <c r="BY52" i="3" s="1"/>
  <c r="CA52" i="3" a="1"/>
  <c r="CA52" i="3" s="1"/>
  <c r="CC52" i="3" a="1"/>
  <c r="CC52" i="3" s="1"/>
  <c r="CE52" i="3" a="1"/>
  <c r="CE52" i="3" s="1"/>
  <c r="CG52" i="3" a="1"/>
  <c r="CG52" i="3" s="1"/>
  <c r="CI52" i="3" a="1"/>
  <c r="CI52" i="3" s="1"/>
  <c r="CK52" i="3" a="1"/>
  <c r="CK52" i="3" s="1"/>
  <c r="CM52" i="3" a="1"/>
  <c r="CM52" i="3" s="1"/>
  <c r="CO52" i="3" a="1"/>
  <c r="CO52" i="3" s="1"/>
  <c r="CQ52" i="3" a="1"/>
  <c r="CQ52" i="3" s="1"/>
  <c r="CS52" i="3" a="1"/>
  <c r="CS52" i="3" s="1"/>
  <c r="CU52" i="3" a="1"/>
  <c r="CU52" i="3" s="1"/>
  <c r="CW52" i="3" a="1"/>
  <c r="CW52" i="3" s="1"/>
  <c r="CY52" i="3" a="1"/>
  <c r="CY52" i="3" s="1"/>
  <c r="DA52" i="3" a="1"/>
  <c r="DA52" i="3" s="1"/>
  <c r="DC52" i="3" a="1"/>
  <c r="DC52" i="3" s="1"/>
  <c r="DE52" i="3" a="1"/>
  <c r="DE52" i="3" s="1"/>
  <c r="DG52" i="3" a="1"/>
  <c r="DG52" i="3" s="1"/>
  <c r="DK52" i="3" a="1"/>
  <c r="DK52" i="3" s="1"/>
  <c r="DM52" i="3" a="1"/>
  <c r="DM52" i="3" s="1"/>
  <c r="DO52" i="3" a="1"/>
  <c r="DO52" i="3" s="1"/>
  <c r="DQ52" i="3" a="1"/>
  <c r="DQ52" i="3" s="1"/>
  <c r="DS52" i="3" a="1"/>
  <c r="DS52" i="3" s="1"/>
  <c r="DW52" i="3" a="1"/>
  <c r="DW52" i="3" s="1"/>
  <c r="DY52" i="3" a="1"/>
  <c r="DY52" i="3" s="1"/>
  <c r="EA52" i="3" a="1"/>
  <c r="EA52" i="3" s="1"/>
  <c r="EC52" i="3" a="1"/>
  <c r="EC52" i="3" s="1"/>
  <c r="EE52" i="3" a="1"/>
  <c r="EE52" i="3" s="1"/>
  <c r="DU52" i="3" a="1"/>
  <c r="DU52" i="3" s="1"/>
  <c r="E52" i="3" a="1"/>
  <c r="E52" i="3" s="1"/>
  <c r="D52" i="3"/>
  <c r="D52" i="3" a="1"/>
  <c r="F52" i="3" a="1"/>
  <c r="F52" i="3" s="1"/>
  <c r="H52" i="3" a="1"/>
  <c r="H52" i="3" s="1"/>
  <c r="J52" i="3" a="1"/>
  <c r="J52" i="3" s="1"/>
  <c r="M52" i="3" a="1"/>
  <c r="M52" i="3" s="1"/>
  <c r="N52" i="3" a="1"/>
  <c r="N52" i="3" s="1"/>
  <c r="P52" i="3" a="1"/>
  <c r="P52" i="3" s="1"/>
  <c r="S52" i="3" a="1"/>
  <c r="S52" i="3" s="1"/>
  <c r="T52" i="3" a="1"/>
  <c r="T52" i="3" s="1"/>
  <c r="V52" i="3" a="1"/>
  <c r="V52" i="3" s="1"/>
  <c r="X52" i="3" a="1"/>
  <c r="X52" i="3" s="1"/>
  <c r="Z52" i="3" a="1"/>
  <c r="Z52" i="3" s="1"/>
  <c r="AB52" i="3" a="1"/>
  <c r="AB52" i="3" s="1"/>
  <c r="AD52" i="3" a="1"/>
  <c r="AD52" i="3" s="1"/>
  <c r="AF52" i="3" a="1"/>
  <c r="AF52" i="3" s="1"/>
  <c r="AH52" i="3" a="1"/>
  <c r="AH52" i="3" s="1"/>
  <c r="AJ52" i="3" a="1"/>
  <c r="AJ52" i="3" s="1"/>
  <c r="AL52" i="3" a="1"/>
  <c r="AL52" i="3" s="1"/>
  <c r="AN52" i="3" a="1"/>
  <c r="AN52" i="3" s="1"/>
  <c r="AP52" i="3" a="1"/>
  <c r="AP52" i="3" s="1"/>
  <c r="AR52" i="3" a="1"/>
  <c r="AR52" i="3" s="1"/>
  <c r="AT52" i="3" a="1"/>
  <c r="AT52" i="3" s="1"/>
  <c r="AV52" i="3" a="1"/>
  <c r="AV52" i="3" s="1"/>
  <c r="AX52" i="3" a="1"/>
  <c r="AX52" i="3" s="1"/>
  <c r="AZ52" i="3" a="1"/>
  <c r="AZ52" i="3" s="1"/>
  <c r="BB52" i="3" a="1"/>
  <c r="BB52" i="3" s="1"/>
  <c r="BD52" i="3" a="1"/>
  <c r="BD52" i="3" s="1"/>
  <c r="BF52" i="3" a="1"/>
  <c r="BF52" i="3" s="1"/>
  <c r="BH52" i="3" a="1"/>
  <c r="BH52" i="3" s="1"/>
  <c r="BJ52" i="3" a="1"/>
  <c r="BJ52" i="3" s="1"/>
  <c r="BL52" i="3" a="1"/>
  <c r="BL52" i="3" s="1"/>
  <c r="BN52" i="3" a="1"/>
  <c r="BN52" i="3" s="1"/>
  <c r="BP52" i="3" a="1"/>
  <c r="BP52" i="3" s="1"/>
  <c r="BR52" i="3" a="1"/>
  <c r="BR52" i="3" s="1"/>
  <c r="BT52" i="3" a="1"/>
  <c r="BT52" i="3" s="1"/>
  <c r="BV52" i="3" a="1"/>
  <c r="BV52" i="3" s="1"/>
  <c r="BX52" i="3" a="1"/>
  <c r="BX52" i="3" s="1"/>
  <c r="BZ52" i="3" a="1"/>
  <c r="BZ52" i="3" s="1"/>
  <c r="CB52" i="3" a="1"/>
  <c r="CB52" i="3" s="1"/>
  <c r="CD52" i="3" a="1"/>
  <c r="CD52" i="3" s="1"/>
  <c r="CF52" i="3" a="1"/>
  <c r="CF52" i="3" s="1"/>
  <c r="CH52" i="3" a="1"/>
  <c r="CH52" i="3" s="1"/>
  <c r="CJ52" i="3" a="1"/>
  <c r="CJ52" i="3" s="1"/>
  <c r="CL52" i="3" a="1"/>
  <c r="CL52" i="3" s="1"/>
  <c r="CN52" i="3" a="1"/>
  <c r="CN52" i="3" s="1"/>
  <c r="CP52" i="3" a="1"/>
  <c r="CP52" i="3" s="1"/>
  <c r="CR52" i="3" a="1"/>
  <c r="CR52" i="3" s="1"/>
  <c r="CT52" i="3" a="1"/>
  <c r="CT52" i="3" s="1"/>
  <c r="CV52" i="3" a="1"/>
  <c r="CV52" i="3" s="1"/>
  <c r="CX52" i="3" a="1"/>
  <c r="CX52" i="3" s="1"/>
  <c r="CZ52" i="3" a="1"/>
  <c r="CZ52" i="3" s="1"/>
  <c r="DB52" i="3" a="1"/>
  <c r="DB52" i="3" s="1"/>
  <c r="DD52" i="3" a="1"/>
  <c r="DD52" i="3" s="1"/>
  <c r="DF52" i="3" a="1"/>
  <c r="DF52" i="3" s="1"/>
  <c r="DH52" i="3" a="1"/>
  <c r="DH52" i="3" s="1"/>
  <c r="DJ52" i="3" a="1"/>
  <c r="DJ52" i="3" s="1"/>
  <c r="DL52" i="3" a="1"/>
  <c r="DL52" i="3" s="1"/>
  <c r="DN52" i="3" a="1"/>
  <c r="DN52" i="3" s="1"/>
  <c r="DP52" i="3" a="1"/>
  <c r="DP52" i="3" s="1"/>
  <c r="DR52" i="3" a="1"/>
  <c r="DR52" i="3" s="1"/>
  <c r="DT52" i="3" a="1"/>
  <c r="DT52" i="3" s="1"/>
  <c r="DV52" i="3" a="1"/>
  <c r="DV52" i="3" s="1"/>
  <c r="DX52" i="3" a="1"/>
  <c r="DX52" i="3" s="1"/>
  <c r="DZ52" i="3" a="1"/>
  <c r="DZ52" i="3" s="1"/>
  <c r="EB52" i="3" a="1"/>
  <c r="EB52" i="3" s="1"/>
  <c r="ED52" i="3" a="1"/>
  <c r="ED5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<sst xmlns="http://schemas.openxmlformats.org/spreadsheetml/2006/main" count="222" uniqueCount="185">
  <si>
    <t>Month</t>
  </si>
  <si>
    <t>July</t>
  </si>
  <si>
    <t>Year</t>
  </si>
  <si>
    <t>Year calculation</t>
  </si>
  <si>
    <t xml:space="preserve">Values update automatically! Please only modify if you see an error being indicated. </t>
  </si>
  <si>
    <t>#</t>
  </si>
  <si>
    <t>Select month to view:</t>
  </si>
  <si>
    <t>Select year to view:</t>
  </si>
  <si>
    <t>KPI 1</t>
  </si>
  <si>
    <t>KPI 3</t>
  </si>
  <si>
    <t>KPI 5</t>
  </si>
  <si>
    <t>KPI 6</t>
  </si>
  <si>
    <t>KPI 7</t>
  </si>
  <si>
    <t>KPI 10</t>
  </si>
  <si>
    <t>KPI 11</t>
  </si>
  <si>
    <t>KPI 13</t>
  </si>
  <si>
    <t>KPI 14</t>
  </si>
  <si>
    <t>KPI 15</t>
  </si>
  <si>
    <t>KPI 17</t>
  </si>
  <si>
    <t>KPI 18</t>
  </si>
  <si>
    <t>KPI 22</t>
  </si>
  <si>
    <t>KPI 24</t>
  </si>
  <si>
    <t>KPI 26</t>
  </si>
  <si>
    <t>KPI 27</t>
  </si>
  <si>
    <t>KPI 30</t>
  </si>
  <si>
    <t>KPI 32</t>
  </si>
  <si>
    <t>KPI 4 %</t>
  </si>
  <si>
    <t>KPI 8 %</t>
  </si>
  <si>
    <t>KPI 9 %</t>
  </si>
  <si>
    <t>KPI 12 %</t>
  </si>
  <si>
    <t>KPI 16 %</t>
  </si>
  <si>
    <t>KPI 19 %</t>
  </si>
  <si>
    <t>KPI 20 %</t>
  </si>
  <si>
    <t>KPI 21 %</t>
  </si>
  <si>
    <t>KPI 28 %</t>
  </si>
  <si>
    <t>KPI 29 %</t>
  </si>
  <si>
    <t>KPI 31 R</t>
  </si>
  <si>
    <t>KPI 23 R</t>
  </si>
  <si>
    <t>KPI 25 R</t>
  </si>
  <si>
    <t>KPI 2 R</t>
  </si>
  <si>
    <t>Month and year</t>
  </si>
  <si>
    <t>Jan-20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</si>
  <si>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</si>
  <si>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</si>
  <si>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</si>
  <si>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</si>
  <si>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</si>
  <si>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</si>
  <si>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</si>
  <si>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</si>
  <si>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</si>
  <si>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</si>
  <si>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</si>
  <si>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</si>
  <si>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</si>
  <si>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</si>
  <si>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</si>
  <si>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Jul-27</t>
  </si>
  <si>
    <t>Aug-27</t>
  </si>
  <si>
    <t>Sep-27</t>
  </si>
  <si>
    <t>Oct-27</t>
  </si>
  <si>
    <t>Nov-27</t>
  </si>
  <si>
    <t>Dec-27</t>
  </si>
  <si>
    <t>Jan-28</t>
  </si>
  <si>
    <t>Feb-28</t>
  </si>
  <si>
    <t>Mar-28</t>
  </si>
  <si>
    <t>Apr-28</t>
  </si>
  <si>
    <t>May-28</t>
  </si>
  <si>
    <t>Jun-28</t>
  </si>
  <si>
    <t>Jul-28</t>
  </si>
  <si>
    <t>Aug-28</t>
  </si>
  <si>
    <t>Sep-28</t>
  </si>
  <si>
    <t>Oct-28</t>
  </si>
  <si>
    <t>Nov-28</t>
  </si>
  <si>
    <t>Dec-28</t>
  </si>
  <si>
    <t>Jan-29</t>
  </si>
  <si>
    <t>Feb-29</t>
  </si>
  <si>
    <t>Mar-29</t>
  </si>
  <si>
    <t>Apr-29</t>
  </si>
  <si>
    <t>Feb-30</t>
  </si>
  <si>
    <t>Sep-30</t>
  </si>
  <si>
    <t>Select KPI:</t>
  </si>
  <si>
    <t>Raw data:</t>
  </si>
  <si>
    <t>Select end month &amp; year:</t>
  </si>
  <si>
    <t>Select start month &amp; year: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</si>
  <si>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</si>
  <si>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</si>
  <si>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</si>
  <si>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</si>
  <si>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</si>
  <si>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</si>
  <si>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</si>
  <si>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</si>
  <si>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</si>
  <si>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</si>
  <si>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</si>
  <si>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</si>
  <si>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</si>
  <si>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</si>
  <si>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</si>
  <si>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</si>
  <si>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</si>
  <si>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</si>
  <si>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</si>
  <si>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</si>
  <si>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</si>
  <si>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</si>
  <si>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</si>
  <si>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</si>
  <si>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</si>
  <si>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</si>
  <si>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</si>
  <si>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</si>
  <si>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</si>
  <si>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</si>
  <si>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</si>
  <si>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</si>
  <si>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</si>
  <si>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</si>
  <si>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</si>
  <si>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</si>
  <si>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</si>
  <si>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</si>
  <si>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</si>
  <si>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</si>
  <si>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</si>
  <si>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</si>
  <si>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</si>
  <si>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</si>
  <si>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</si>
  <si>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</si>
  <si>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</si>
  <si>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</si>
  <si>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</si>
  <si>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</si>
  <si>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</si>
  <si>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</si>
  <si>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</si>
  <si>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</si>
  <si>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</si>
  <si>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</si>
  <si>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</si>
  <si>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</si>
  <si>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</si>
  <si>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</si>
  <si>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</si>
  <si>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</si>
  <si>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</si>
  <si>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</si>
  <si>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</si>
  <si>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</si>
  <si>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</si>
  <si>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</si>
  <si>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</si>
  <si>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</si>
  <si>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</si>
  <si>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</si>
  <si>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</si>
  <si>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</si>
  <si>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</si>
  <si>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</si>
  <si>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</si>
  <si>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</si>
  <si>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</si>
  <si>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</si>
  <si>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</si>
  <si>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</si>
  <si>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</si>
  <si>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</si>
  <si>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</si>
  <si>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</si>
  <si>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</si>
  <si>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</si>
  <si>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</si>
  <si>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</si>
  <si>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</si>
  <si>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</si>
  <si>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</si>
  <si>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</si>
  <si>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</si>
  <si>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Displaying data:</t>
  </si>
  <si>
    <t>End date</t>
  </si>
  <si>
    <t xml:space="preserve">As you will see, this chart does not really work if you have a long timeline and users can select their date ranges freely. 
You may wish to restrict the date selection criteria so that there is always a set date range available for the chart to display, or consider using the type of solution shown below. </t>
  </si>
  <si>
    <t xml:space="preserve">Here, your users can select the start date but not the end date. You can change the time range to cover a different number of months, (e.g. 6, 12, 24, etc.). For added usability, you could add a drop-down list where users can select the time range after choosing the start date. You will then have to edit the formulae and the chart to include correct data. </t>
  </si>
  <si>
    <t>Copyright: Veera Seaman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</si>
</sst>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7" tint="-0.24994659260841701"/>
      </left>
      <right style="thin">
        <color theme="7" tint="-0.24994659260841701"/>
      </right>
      <top style="thin">
        <color theme="7" tint="-0.24994659260841701"/>
      </top>
      <bottom style="thin">
        <color theme="7" tint="-0.24994659260841701"/>
      </bottom>
      <diagonal/>
    </border>
    <border>
      <left style="thin">
        <color theme="7" tint="-0.24994659260841701"/>
      </left>
      <right style="thin">
        <color theme="7" tint="-0.24994659260841701"/>
      </right>
      <top style="thin">
        <color theme="7" tint="-0.24994659260841701"/>
      </top>
      <bottom/>
      <diagonal/>
    </border>
    <border>
      <left style="thin">
        <color theme="7" tint="-0.24994659260841701"/>
      </left>
      <right style="thin">
        <color theme="7" tint="-0.24994659260841701"/>
      </right>
      <top/>
      <bottom/>
      <diagonal/>
    </border>
    <border>
      <left style="thin">
        <color theme="7" tint="-0.24994659260841701"/>
      </left>
      <right style="thin">
        <color theme="7" tint="-0.24994659260841701"/>
      </right>
      <top/>
      <bottom style="thin">
        <color theme="7" tint="-0.24994659260841701"/>
      </bottom>
      <diagonal/>
    </border>
    <border>
      <left style="thin">
        <color theme="4" tint="0.59996337778862885"/>
      </left>
      <right/>
      <top style="thin">
        <color theme="4" tint="0.59996337778862885"/>
      </top>
      <bottom/>
      <diagonal/>
    </border>
    <border>
      <left/>
      <right/>
      <top style="thin">
        <color theme="4" tint="0.59996337778862885"/>
      </top>
      <bottom/>
      <diagonal/>
    </border>
    <border>
      <left/>
      <right style="thin">
        <color theme="4" tint="0.59996337778862885"/>
      </right>
      <top style="thin">
        <color theme="4" tint="0.59996337778862885"/>
      </top>
      <bottom/>
      <diagonal/>
    </border>
    <border>
      <left style="thin">
        <color theme="4" tint="0.59996337778862885"/>
      </left>
      <right/>
      <top/>
      <bottom/>
      <diagonal/>
    </border>
    <border>
      <left/>
      <right style="thin">
        <color theme="4" tint="0.59996337778862885"/>
      </right>
      <top/>
      <bottom/>
      <diagonal/>
    </border>
    <border>
      <left style="thin">
        <color theme="4" tint="0.59996337778862885"/>
      </left>
      <right/>
      <top/>
      <bottom style="thin">
        <color theme="4" tint="0.59996337778862885"/>
      </bottom>
      <diagonal/>
    </border>
    <border>
      <left/>
      <right/>
      <top/>
      <bottom style="thin">
        <color theme="4" tint="0.59996337778862885"/>
      </bottom>
      <diagonal/>
    </border>
    <border>
      <left/>
      <right style="thin">
        <color theme="4" tint="0.59996337778862885"/>
      </right>
      <top/>
      <bottom style="thin">
        <color theme="4" tint="0.59996337778862885"/>
      </bottom>
      <diagonal/>
    </border>
    <border>
      <left/>
      <right style="thin">
        <color theme="7" tint="-0.24994659260841701"/>
      </right>
      <top style="thin">
        <color theme="7" tint="-0.24994659260841701"/>
      </top>
      <bottom style="thin">
        <color theme="7" tint="-0.2499465926084170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4" fillId="0" borderId="0" xfId="0" applyFont="1"/>
    <xf numFmtId="0" fontId="4" fillId="4" borderId="0" xfId="0" applyFont="1" applyFill="1" applyAlignment="1">
      <alignment horizontal="center" vertical="top"/>
    </xf>
    <xf numFmtId="0" fontId="4" fillId="4" borderId="0" xfId="0" applyFont="1" applyFill="1" applyAlignment="1">
      <alignment vertical="top"/>
    </xf>
    <xf numFmtId="0" fontId="1" fillId="2" borderId="0" xfId="0" applyFont="1" applyFill="1" applyAlignment="1">
      <alignment horizontal="center" vertical="top"/>
    </xf>
    <xf numFmtId="1" fontId="0" fillId="0" borderId="0" xfId="0" applyNumberFormat="1"/>
    <xf numFmtId="49" fontId="0" fillId="0" borderId="0" xfId="0" applyNumberFormat="1"/>
    <xf numFmtId="0" fontId="0" fillId="0" borderId="0" xfId="0" applyAlignment="1">
      <alignment horizontal="right" vertical="top" indent="1"/>
    </xf>
    <xf numFmtId="17" fontId="0" fillId="0" borderId="0" xfId="0" applyNumberFormat="1"/>
    <xf numFmtId="17" fontId="1" fillId="2" borderId="0" xfId="0" applyNumberFormat="1" applyFont="1" applyFill="1" applyAlignment="1">
      <alignment horizontal="center" vertical="top"/>
    </xf>
    <xf numFmtId="4" fontId="0" fillId="0" borderId="0" xfId="0" applyNumberFormat="1"/>
    <xf numFmtId="2" fontId="0" fillId="0" borderId="0" xfId="0" applyNumberFormat="1" applyAlignment="1">
      <alignment horizontal="center" vertical="top"/>
    </xf>
    <xf numFmtId="0" fontId="0" fillId="0" borderId="0" xfId="0" applyFill="1" applyBorder="1" applyAlignment="1">
      <alignment horizontal="right" vertical="top" indent="1"/>
    </xf>
    <xf numFmtId="1" fontId="0" fillId="0" borderId="0" xfId="0" applyNumberFormat="1" applyAlignment="1">
      <alignment horizontal="left" indent="1"/>
    </xf>
    <xf numFmtId="0" fontId="2" fillId="0" borderId="0" xfId="0" applyFont="1"/>
    <xf numFmtId="0" fontId="1" fillId="0" borderId="0" xfId="0" applyFont="1" applyFill="1" applyBorder="1" applyAlignment="1">
      <alignment horizontal="left" vertical="top"/>
    </xf>
    <xf numFmtId="2" fontId="0" fillId="0" borderId="0" xfId="0" applyNumberFormat="1" applyAlignment="1">
      <alignment horizontal="left" vertical="top"/>
    </xf>
    <xf numFmtId="49" fontId="0" fillId="0" borderId="0" xfId="0" applyNumberFormat="1" applyBorder="1"/>
    <xf numFmtId="0" fontId="1" fillId="2" borderId="0" xfId="0" applyFont="1" applyFill="1" applyAlignment="1">
      <alignment horizontal="right" vertical="top" indent="2"/>
    </xf>
    <xf numFmtId="0" fontId="0" fillId="0" borderId="0" xfId="0" applyBorder="1" applyAlignment="1">
      <alignment vertical="top" wrapText="1"/>
    </xf>
    <xf numFmtId="0" fontId="0" fillId="0" borderId="0" xfId="0" applyBorder="1"/>
    <xf numFmtId="0" fontId="0" fillId="3" borderId="0" xfId="0" applyFill="1" applyBorder="1" applyAlignment="1">
      <alignment horizontal="right" indent="3"/>
    </xf>
    <xf numFmtId="0" fontId="0" fillId="2" borderId="0" xfId="0" applyFill="1" applyAlignment="1" applyProtection="1">
      <alignment horizontal="center" vertical="top"/>
      <protection locked="0"/>
    </xf>
    <xf numFmtId="0" fontId="1" fillId="2" borderId="0" xfId="0" applyFont="1" applyFill="1" applyAlignment="1" applyProtection="1">
      <alignment horizontal="center" vertical="top"/>
      <protection locked="0"/>
    </xf>
    <xf numFmtId="1" fontId="0" fillId="0" borderId="1" xfId="0" applyNumberFormat="1" applyBorder="1" applyAlignment="1" applyProtection="1">
      <alignment horizontal="center" vertical="top"/>
      <protection locked="0"/>
    </xf>
    <xf numFmtId="0" fontId="0" fillId="0" borderId="1" xfId="0" applyBorder="1" applyAlignment="1" applyProtection="1">
      <alignment vertical="top"/>
      <protection locked="0"/>
    </xf>
    <xf numFmtId="1" fontId="0" fillId="0" borderId="1" xfId="0" applyNumberFormat="1" applyBorder="1" applyAlignment="1" applyProtection="1">
      <alignment vertical="top"/>
      <protection locked="0"/>
    </xf>
    <xf numFmtId="1" fontId="0" fillId="0" borderId="0" xfId="0" applyNumberFormat="1" applyAlignment="1" applyProtection="1">
      <alignment horizontal="center" vertical="top"/>
      <protection locked="0"/>
    </xf>
    <xf numFmtId="14" fontId="0" fillId="0" borderId="1" xfId="0" applyNumberFormat="1" applyBorder="1" applyAlignment="1" applyProtection="1">
      <alignment vertical="top"/>
      <protection locked="0"/>
    </xf>
    <xf numFmtId="0" fontId="4" fillId="0" borderId="1" xfId="0" applyFont="1" applyBorder="1" applyAlignment="1" applyProtection="1">
      <alignment horizontal="center" vertical="top" wrapText="1"/>
      <protection locked="0"/>
    </xf>
    <xf numFmtId="1" fontId="0" fillId="0" borderId="0" xfId="0" applyNumberFormat="1" applyProtection="1">
      <protection locked="0"/>
    </xf>
    <xf numFmtId="0" fontId="0" fillId="3" borderId="0" xfId="0" applyFill="1" applyBorder="1" applyAlignment="1" applyProtection="1">
      <alignment horizontal="right" indent="3"/>
      <protection locked="0"/>
    </xf>
    <xf numFmtId="0" fontId="0" fillId="3" borderId="0" xfId="0" applyFill="1" applyBorder="1" applyAlignment="1">
      <alignment horizontal="right" vertical="top" indent="3"/>
    </xf>
    <xf numFmtId="49" fontId="1" fillId="5" borderId="14" xfId="0" applyNumberFormat="1" applyFont="1" applyFill="1" applyBorder="1" applyAlignment="1" applyProtection="1">
      <alignment horizontal="left" vertical="top" indent="1"/>
      <protection locked="0"/>
    </xf>
    <xf numFmtId="0" fontId="1" fillId="5" borderId="14" xfId="0" applyNumberFormat="1" applyFont="1" applyFill="1" applyBorder="1" applyAlignment="1" applyProtection="1">
      <alignment horizontal="left" vertical="top" indent="1"/>
      <protection locked="0"/>
    </xf>
    <xf numFmtId="49" fontId="0" fillId="0" borderId="3" xfId="0" applyNumberFormat="1" applyBorder="1" applyProtection="1">
      <protection locked="0"/>
    </xf>
    <xf numFmtId="49" fontId="0" fillId="0" borderId="4" xfId="0" applyNumberFormat="1" applyBorder="1" applyProtection="1">
      <protection locked="0"/>
    </xf>
    <xf numFmtId="49" fontId="0" fillId="0" borderId="5" xfId="0" applyNumberFormat="1" applyBorder="1" applyProtection="1">
      <protection locked="0"/>
    </xf>
    <xf numFmtId="49" fontId="0" fillId="0" borderId="2" xfId="0" applyNumberFormat="1" applyBorder="1" applyProtection="1">
      <protection locked="0"/>
    </xf>
    <xf numFmtId="0" fontId="0" fillId="0" borderId="6" xfId="0" applyBorder="1" applyAlignment="1">
      <alignment horizontal="left" vertical="top" wrapText="1" indent="1"/>
    </xf>
    <xf numFmtId="0" fontId="0" fillId="0" borderId="7" xfId="0" applyBorder="1" applyAlignment="1">
      <alignment horizontal="left" vertical="top" wrapText="1" indent="1"/>
    </xf>
    <xf numFmtId="0" fontId="0" fillId="0" borderId="8" xfId="0" applyBorder="1" applyAlignment="1">
      <alignment horizontal="left" vertical="top" wrapText="1" indent="1"/>
    </xf>
    <xf numFmtId="0" fontId="0" fillId="0" borderId="9" xfId="0" applyBorder="1" applyAlignment="1">
      <alignment horizontal="left" vertical="top" wrapText="1" indent="1"/>
    </xf>
    <xf numFmtId="0" fontId="0" fillId="0" borderId="0" xfId="0" applyBorder="1" applyAlignment="1">
      <alignment horizontal="left" vertical="top" wrapText="1" indent="1"/>
    </xf>
    <xf numFmtId="0" fontId="0" fillId="0" borderId="10" xfId="0" applyBorder="1" applyAlignment="1">
      <alignment horizontal="left" vertical="top" wrapText="1" indent="1"/>
    </xf>
    <xf numFmtId="0" fontId="0" fillId="0" borderId="11" xfId="0" applyBorder="1" applyAlignment="1">
      <alignment horizontal="left" vertical="top" wrapText="1" indent="1"/>
    </xf>
    <xf numFmtId="0" fontId="0" fillId="0" borderId="12" xfId="0" applyBorder="1" applyAlignment="1">
      <alignment horizontal="left" vertical="top" wrapText="1" indent="1"/>
    </xf>
    <xf numFmtId="0" fontId="0" fillId="0" borderId="13" xfId="0" applyBorder="1" applyAlignment="1">
      <alignment horizontal="left" vertical="top" wrapText="1" indent="1"/>
    </xf>
  </cellXfs>
  <cellStyles count="1">
    <cellStyle name="Normal" xfId="0" builtinId="0"/>
  </cellStyles>
  <dxfs count="158">
    <dxf>
      <fill>
        <patternFill>
          <bgColor theme="9" tint="0.79998168889431442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</dxfs>
  <tableStyles count="2" defaultTableStyle="TableStyleMedium2" defaultPivotStyle="PivotStyleLight16">
    <tableStyle name="PivotTable Style 1" table="0" count="0" xr9:uid="{33839052-B1CD-4DDE-B6B5-6726ECAB2D75}"/>
    <tableStyle name="Table Style 1" pivot="0" count="0" xr9:uid="{74E50D39-F2AB-4053-921B-11C12C3193A1}"/>
  </tableStyles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Data!$B$8</c:f>
              <c:strCache>
                <c:ptCount val="1"/>
                <c:pt idx="0">
                  <c:v>KPI 28 %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5400" cap="rnd">
                <a:solidFill>
                  <a:schemeClr val="accent3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Data!$C$7:$M$7</c:f>
              <c:strCache>
                <c:ptCount val="11"/>
                <c:pt idx="0">
                  <c:v>Jul-24</c:v>
                </c:pt>
                <c:pt idx="1">
                  <c:v>Aug-24</c:v>
                </c:pt>
                <c:pt idx="2">
                  <c:v>Sep-24</c:v>
                </c:pt>
                <c:pt idx="3">
                  <c:v>Oct-24</c:v>
                </c:pt>
                <c:pt idx="4">
                  <c:v>Nov-24</c:v>
                </c:pt>
                <c:pt idx="5">
                  <c:v>Dec-24</c:v>
                </c:pt>
                <c:pt idx="6">
                  <c:v>Jan-25</c:v>
                </c:pt>
                <c:pt idx="7">
                  <c:v>Feb-25</c:v>
                </c:pt>
                <c:pt idx="8">
                  <c:v>Mar-25</c:v>
                </c:pt>
                <c:pt idx="9">
                  <c:v>Apr-25</c:v>
                </c:pt>
                <c:pt idx="10">
                  <c:v>May-25</c:v>
                </c:pt>
              </c:strCache>
            </c:strRef>
          </c:cat>
          <c:val>
            <c:numRef>
              <c:f>Data!$C$8:$M$8</c:f>
              <c:numCache>
                <c:formatCode>0.00</c:formatCode>
                <c:ptCount val="11"/>
                <c:pt idx="0">
                  <c:v>1.4237530892543235</c:v>
                </c:pt>
                <c:pt idx="1">
                  <c:v>1.1021254360803523</c:v>
                </c:pt>
                <c:pt idx="2">
                  <c:v>1.4816275126422438</c:v>
                </c:pt>
                <c:pt idx="3">
                  <c:v>1.8536547655575282</c:v>
                </c:pt>
                <c:pt idx="4">
                  <c:v>1.738378465264643</c:v>
                </c:pt>
                <c:pt idx="5">
                  <c:v>1.9372689245384491</c:v>
                </c:pt>
                <c:pt idx="6">
                  <c:v>1.9906614151262829</c:v>
                </c:pt>
                <c:pt idx="7">
                  <c:v>1.4825801308557682</c:v>
                </c:pt>
                <c:pt idx="8">
                  <c:v>1.1029104960990148</c:v>
                </c:pt>
                <c:pt idx="9">
                  <c:v>1.6685650287953031</c:v>
                </c:pt>
                <c:pt idx="10">
                  <c:v>1.1379321278630243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04-410B-B32D-8F87280ECB1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59325808"/>
        <c:axId val="609912952"/>
      </c:lineChart>
      <c:catAx>
        <c:axId val="759325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912952"/>
        <c:crosses val="autoZero"/>
        <c:auto val="1"/>
        <c:lblAlgn val="ctr"/>
        <c:lblOffset val="100"/>
        <c:noMultiLvlLbl val="0"/>
      </c:catAx>
      <c:valAx>
        <c:axId val="609912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325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5875" cap="flat" cmpd="sng" algn="ctr">
      <a:solidFill>
        <a:schemeClr val="accent1">
          <a:lumMod val="60000"/>
          <a:lumOff val="4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Data!$B$27</c:f>
              <c:strCache>
                <c:ptCount val="1"/>
                <c:pt idx="0">
                  <c:v>KPI 8 %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5400" cap="rnd">
                <a:solidFill>
                  <a:schemeClr val="accent3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Data!$C$26:$M$26</c:f>
              <c:strCache>
                <c:ptCount val="11"/>
                <c:pt idx="0">
                  <c:v>Jul-24</c:v>
                </c:pt>
                <c:pt idx="1">
                  <c:v>Aug-24</c:v>
                </c:pt>
                <c:pt idx="2">
                  <c:v>Sep-24</c:v>
                </c:pt>
                <c:pt idx="3">
                  <c:v>Oct-24</c:v>
                </c:pt>
                <c:pt idx="4">
                  <c:v>Nov-24</c:v>
                </c:pt>
                <c:pt idx="5">
                  <c:v>Dec-24</c:v>
                </c:pt>
                <c:pt idx="6">
                  <c:v>Jan-25</c:v>
                </c:pt>
                <c:pt idx="7">
                  <c:v>Feb-25</c:v>
                </c:pt>
                <c:pt idx="8">
                  <c:v>Mar-25</c:v>
                </c:pt>
                <c:pt idx="9">
                  <c:v>Apr-25</c:v>
                </c:pt>
                <c:pt idx="10">
                  <c:v>May-25</c:v>
                </c:pt>
              </c:strCache>
            </c:strRef>
          </c:cat>
          <c:val>
            <c:numRef>
              <c:f>Data!$C$27:$M$27</c:f>
              <c:numCache>
                <c:formatCode>0.00</c:formatCode>
                <c:ptCount val="11"/>
                <c:pt idx="0">
                  <c:v>0.65342011878842621</c:v>
                </c:pt>
                <c:pt idx="1">
                  <c:v>0.64553863954133917</c:v>
                </c:pt>
                <c:pt idx="2">
                  <c:v>0.47858841138895092</c:v>
                </c:pt>
                <c:pt idx="3">
                  <c:v>6.8056617130420771E-2</c:v>
                </c:pt>
                <c:pt idx="4">
                  <c:v>0.65742948820821656</c:v>
                </c:pt>
                <c:pt idx="5">
                  <c:v>0.97936444585281957</c:v>
                </c:pt>
                <c:pt idx="6">
                  <c:v>0.26415308776781787</c:v>
                </c:pt>
                <c:pt idx="7">
                  <c:v>0.10239877360387872</c:v>
                </c:pt>
                <c:pt idx="8">
                  <c:v>0.49162755279799064</c:v>
                </c:pt>
                <c:pt idx="9">
                  <c:v>0.19141694369036921</c:v>
                </c:pt>
                <c:pt idx="10">
                  <c:v>0.2391300394042849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ED-4CEF-A4BB-BD5BA5867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9325808"/>
        <c:axId val="609912952"/>
      </c:lineChart>
      <c:catAx>
        <c:axId val="759325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912952"/>
        <c:crosses val="autoZero"/>
        <c:auto val="1"/>
        <c:lblAlgn val="ctr"/>
        <c:lblOffset val="100"/>
        <c:noMultiLvlLbl val="0"/>
      </c:catAx>
      <c:valAx>
        <c:axId val="609912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325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5875" cap="flat" cmpd="sng" algn="ctr">
      <a:solidFill>
        <a:schemeClr val="accent1">
          <a:lumMod val="60000"/>
          <a:lumOff val="4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Data!$B$46</c:f>
              <c:strCache>
                <c:ptCount val="1"/>
                <c:pt idx="0">
                  <c:v>KPI 16 %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5400" cap="rnd">
                <a:solidFill>
                  <a:schemeClr val="accent3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Data!$C$45:$M$45</c:f>
              <c:strCache>
                <c:ptCount val="11"/>
                <c:pt idx="0">
                  <c:v>Jul-24</c:v>
                </c:pt>
                <c:pt idx="1">
                  <c:v>Aug-24</c:v>
                </c:pt>
                <c:pt idx="2">
                  <c:v>Sep-24</c:v>
                </c:pt>
                <c:pt idx="3">
                  <c:v>Oct-24</c:v>
                </c:pt>
                <c:pt idx="4">
                  <c:v>Nov-24</c:v>
                </c:pt>
                <c:pt idx="5">
                  <c:v>Dec-24</c:v>
                </c:pt>
                <c:pt idx="6">
                  <c:v>Jan-25</c:v>
                </c:pt>
                <c:pt idx="7">
                  <c:v>Feb-25</c:v>
                </c:pt>
                <c:pt idx="8">
                  <c:v>Mar-25</c:v>
                </c:pt>
                <c:pt idx="9">
                  <c:v>Apr-25</c:v>
                </c:pt>
                <c:pt idx="10">
                  <c:v>May-25</c:v>
                </c:pt>
              </c:strCache>
            </c:strRef>
          </c:cat>
          <c:val>
            <c:numRef>
              <c:f>Data!$C$46:$M$46</c:f>
              <c:numCache>
                <c:formatCode>0.00</c:formatCode>
                <c:ptCount val="11"/>
                <c:pt idx="0">
                  <c:v>0.1651601234887452</c:v>
                </c:pt>
                <c:pt idx="1">
                  <c:v>0.42635973271419036</c:v>
                </c:pt>
                <c:pt idx="2">
                  <c:v>7.752794637267546E-2</c:v>
                </c:pt>
                <c:pt idx="3">
                  <c:v>0.57783571805395328</c:v>
                </c:pt>
                <c:pt idx="4">
                  <c:v>0.42333479619758607</c:v>
                </c:pt>
                <c:pt idx="5">
                  <c:v>0.65813652661705979</c:v>
                </c:pt>
                <c:pt idx="6">
                  <c:v>8.1254899393535251E-2</c:v>
                </c:pt>
                <c:pt idx="7">
                  <c:v>0.85771780752333637</c:v>
                </c:pt>
                <c:pt idx="8">
                  <c:v>0.48766960723517183</c:v>
                </c:pt>
                <c:pt idx="9">
                  <c:v>0.48300958939561034</c:v>
                </c:pt>
                <c:pt idx="10">
                  <c:v>0.40253417140442505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44-44A7-91A5-C4EB34FE0F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9325808"/>
        <c:axId val="609912952"/>
      </c:lineChart>
      <c:catAx>
        <c:axId val="759325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912952"/>
        <c:crosses val="autoZero"/>
        <c:auto val="1"/>
        <c:lblAlgn val="ctr"/>
        <c:lblOffset val="100"/>
        <c:noMultiLvlLbl val="0"/>
      </c:catAx>
      <c:valAx>
        <c:axId val="609912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325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5875" cap="flat" cmpd="sng" algn="ctr">
      <a:solidFill>
        <a:schemeClr val="accent1">
          <a:lumMod val="60000"/>
          <a:lumOff val="4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Data!$B$65</c:f>
              <c:strCache>
                <c:ptCount val="1"/>
                <c:pt idx="0">
                  <c:v>KPI 8 %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5400" cap="rnd">
                <a:solidFill>
                  <a:schemeClr val="accent3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Data!$C$64:$M$64</c:f>
              <c:strCache>
                <c:ptCount val="11"/>
                <c:pt idx="0">
                  <c:v>Jul-24</c:v>
                </c:pt>
                <c:pt idx="1">
                  <c:v>Aug-24</c:v>
                </c:pt>
                <c:pt idx="2">
                  <c:v>Sep-24</c:v>
                </c:pt>
                <c:pt idx="3">
                  <c:v>Oct-24</c:v>
                </c:pt>
                <c:pt idx="4">
                  <c:v>Nov-24</c:v>
                </c:pt>
                <c:pt idx="5">
                  <c:v>Dec-24</c:v>
                </c:pt>
                <c:pt idx="6">
                  <c:v>Jan-25</c:v>
                </c:pt>
                <c:pt idx="7">
                  <c:v>Feb-25</c:v>
                </c:pt>
                <c:pt idx="8">
                  <c:v>Mar-25</c:v>
                </c:pt>
                <c:pt idx="9">
                  <c:v>Apr-25</c:v>
                </c:pt>
                <c:pt idx="10">
                  <c:v>May-25</c:v>
                </c:pt>
              </c:strCache>
            </c:strRef>
          </c:cat>
          <c:val>
            <c:numRef>
              <c:f>Data!$C$65:$M$65</c:f>
              <c:numCache>
                <c:formatCode>0.00</c:formatCode>
                <c:ptCount val="11"/>
                <c:pt idx="0">
                  <c:v>0.65342011878842621</c:v>
                </c:pt>
                <c:pt idx="1">
                  <c:v>0.64553863954133917</c:v>
                </c:pt>
                <c:pt idx="2">
                  <c:v>0.47858841138895092</c:v>
                </c:pt>
                <c:pt idx="3">
                  <c:v>6.8056617130420771E-2</c:v>
                </c:pt>
                <c:pt idx="4">
                  <c:v>0.65742948820821656</c:v>
                </c:pt>
                <c:pt idx="5">
                  <c:v>0.97936444585281957</c:v>
                </c:pt>
                <c:pt idx="6">
                  <c:v>0.26415308776781787</c:v>
                </c:pt>
                <c:pt idx="7">
                  <c:v>0.10239877360387872</c:v>
                </c:pt>
                <c:pt idx="8">
                  <c:v>0.49162755279799064</c:v>
                </c:pt>
                <c:pt idx="9">
                  <c:v>0.19141694369036921</c:v>
                </c:pt>
                <c:pt idx="10">
                  <c:v>0.2391300394042849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D6-466A-BFA0-31333F15FE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9325808"/>
        <c:axId val="609912952"/>
      </c:lineChart>
      <c:catAx>
        <c:axId val="759325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912952"/>
        <c:crosses val="autoZero"/>
        <c:auto val="1"/>
        <c:lblAlgn val="ctr"/>
        <c:lblOffset val="100"/>
        <c:noMultiLvlLbl val="0"/>
      </c:catAx>
      <c:valAx>
        <c:axId val="609912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325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5875" cap="flat" cmpd="sng" algn="ctr">
      <a:solidFill>
        <a:schemeClr val="accent1">
          <a:lumMod val="60000"/>
          <a:lumOff val="4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Raw!$C$53</c:f>
              <c:strCache>
                <c:ptCount val="1"/>
                <c:pt idx="0">
                  <c:v>KPI 9 %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Raw!$D$52:$EE$52</c:f>
              <c:strCache>
                <c:ptCount val="129"/>
                <c:pt idx="0">
                  <c:v>Jan-20</c:v>
                </c:pt>
                <c:pt idx="1">
                  <c:v>Feb-20</c:v>
                </c:pt>
                <c:pt idx="2">
                  <c:v>Mar-20</c:v>
                </c:pt>
                <c:pt idx="3">
                  <c:v>Apr-20</c:v>
                </c:pt>
                <c:pt idx="4">
                  <c:v>May-20</c:v>
                </c:pt>
                <c:pt idx="5">
                  <c:v>Jun-20</c:v>
                </c:pt>
                <c:pt idx="6">
                  <c:v>Jul-20</c:v>
                </c:pt>
                <c:pt idx="7">
                  <c:v>Aug-20</c:v>
                </c:pt>
                <c:pt idx="8">
                  <c:v>Sep-20</c:v>
                </c:pt>
                <c:pt idx="9">
                  <c:v>Oct-20</c:v>
                </c:pt>
                <c:pt idx="10">
                  <c:v>Nov-20</c:v>
                </c:pt>
                <c:pt idx="11">
                  <c:v>Dec-20</c:v>
                </c:pt>
                <c:pt idx="12">
                  <c:v>Jan-21</c:v>
                </c:pt>
                <c:pt idx="13">
                  <c:v>Feb-21</c:v>
                </c:pt>
                <c:pt idx="14">
                  <c:v>Mar-21</c:v>
                </c:pt>
                <c:pt idx="15">
                  <c:v>Apr-21</c:v>
                </c:pt>
                <c:pt idx="16">
                  <c:v>May-21</c:v>
                </c:pt>
                <c:pt idx="17">
                  <c:v>Jun-21</c:v>
                </c:pt>
                <c:pt idx="18">
                  <c:v>Jul-21</c:v>
                </c:pt>
                <c:pt idx="19">
                  <c:v>Aug-21</c:v>
                </c:pt>
                <c:pt idx="20">
                  <c:v>Sep-21</c:v>
                </c:pt>
                <c:pt idx="21">
                  <c:v>Oct-21</c:v>
                </c:pt>
                <c:pt idx="22">
                  <c:v>Nov-21</c:v>
                </c:pt>
                <c:pt idx="23">
                  <c:v>Dec-21</c:v>
                </c:pt>
                <c:pt idx="24">
                  <c:v>Jan-22</c:v>
                </c:pt>
                <c:pt idx="25">
                  <c:v>Feb-22</c:v>
                </c:pt>
                <c:pt idx="26">
                  <c:v>Mar-22</c:v>
                </c:pt>
                <c:pt idx="27">
                  <c:v>Apr-22</c:v>
                </c:pt>
                <c:pt idx="28">
                  <c:v>May-22</c:v>
                </c:pt>
                <c:pt idx="29">
                  <c:v>Jun-22</c:v>
                </c:pt>
                <c:pt idx="30">
                  <c:v>Jul-22</c:v>
                </c:pt>
                <c:pt idx="31">
                  <c:v>Aug-22</c:v>
                </c:pt>
                <c:pt idx="32">
                  <c:v>Sep-22</c:v>
                </c:pt>
                <c:pt idx="33">
                  <c:v>Oct-22</c:v>
                </c:pt>
                <c:pt idx="34">
                  <c:v>Nov-22</c:v>
                </c:pt>
                <c:pt idx="35">
                  <c:v>Dec-22</c:v>
                </c:pt>
                <c:pt idx="36">
                  <c:v>Jan-23</c:v>
                </c:pt>
                <c:pt idx="37">
                  <c:v>Feb-23</c:v>
                </c:pt>
                <c:pt idx="38">
                  <c:v>Mar-23</c:v>
                </c:pt>
                <c:pt idx="39">
                  <c:v>Apr-23</c:v>
                </c:pt>
                <c:pt idx="40">
                  <c:v>May-23</c:v>
                </c:pt>
                <c:pt idx="41">
                  <c:v>Jun-23</c:v>
                </c:pt>
                <c:pt idx="42">
                  <c:v>Jul-23</c:v>
                </c:pt>
                <c:pt idx="43">
                  <c:v>Aug-23</c:v>
                </c:pt>
                <c:pt idx="44">
                  <c:v>Sep-23</c:v>
                </c:pt>
                <c:pt idx="45">
                  <c:v>Oct-23</c:v>
                </c:pt>
                <c:pt idx="46">
                  <c:v>Nov-23</c:v>
                </c:pt>
                <c:pt idx="47">
                  <c:v>Dec-23</c:v>
                </c:pt>
                <c:pt idx="48">
                  <c:v>Jan-24</c:v>
                </c:pt>
                <c:pt idx="49">
                  <c:v>Feb-24</c:v>
                </c:pt>
                <c:pt idx="50">
                  <c:v>Mar-24</c:v>
                </c:pt>
                <c:pt idx="51">
                  <c:v>Apr-24</c:v>
                </c:pt>
                <c:pt idx="52">
                  <c:v>May-24</c:v>
                </c:pt>
                <c:pt idx="53">
                  <c:v>Jun-24</c:v>
                </c:pt>
                <c:pt idx="54">
                  <c:v>Jul-24</c:v>
                </c:pt>
                <c:pt idx="55">
                  <c:v>Aug-24</c:v>
                </c:pt>
                <c:pt idx="56">
                  <c:v>Sep-24</c:v>
                </c:pt>
                <c:pt idx="57">
                  <c:v>Oct-24</c:v>
                </c:pt>
                <c:pt idx="58">
                  <c:v>Nov-24</c:v>
                </c:pt>
                <c:pt idx="59">
                  <c:v>Dec-24</c:v>
                </c:pt>
                <c:pt idx="60">
                  <c:v>Jan-25</c:v>
                </c:pt>
                <c:pt idx="61">
                  <c:v>Feb-25</c:v>
                </c:pt>
                <c:pt idx="62">
                  <c:v>Mar-25</c:v>
                </c:pt>
                <c:pt idx="63">
                  <c:v>Apr-25</c:v>
                </c:pt>
                <c:pt idx="64">
                  <c:v>May-25</c:v>
                </c:pt>
                <c:pt idx="65">
                  <c:v>Jun-25</c:v>
                </c:pt>
                <c:pt idx="66">
                  <c:v>Jul-25</c:v>
                </c:pt>
                <c:pt idx="67">
                  <c:v>Aug-25</c:v>
                </c:pt>
                <c:pt idx="68">
                  <c:v>Sep-25</c:v>
                </c:pt>
                <c:pt idx="69">
                  <c:v>Oct-25</c:v>
                </c:pt>
                <c:pt idx="70">
                  <c:v>Nov-25</c:v>
                </c:pt>
                <c:pt idx="71">
                  <c:v>Dec-25</c:v>
                </c:pt>
                <c:pt idx="72">
                  <c:v>Jan-26</c:v>
                </c:pt>
                <c:pt idx="73">
                  <c:v>Feb-26</c:v>
                </c:pt>
                <c:pt idx="74">
                  <c:v>Mar-26</c:v>
                </c:pt>
                <c:pt idx="75">
                  <c:v>Apr-26</c:v>
                </c:pt>
                <c:pt idx="76">
                  <c:v>May-26</c:v>
                </c:pt>
                <c:pt idx="77">
                  <c:v>Jun-26</c:v>
                </c:pt>
                <c:pt idx="78">
                  <c:v>Jul-26</c:v>
                </c:pt>
                <c:pt idx="79">
                  <c:v>Aug-26</c:v>
                </c:pt>
                <c:pt idx="80">
                  <c:v>Sep-26</c:v>
                </c:pt>
                <c:pt idx="81">
                  <c:v>Oct-26</c:v>
                </c:pt>
                <c:pt idx="82">
                  <c:v>Nov-26</c:v>
                </c:pt>
                <c:pt idx="83">
                  <c:v>Dec-26</c:v>
                </c:pt>
                <c:pt idx="84">
                  <c:v>Jan-27</c:v>
                </c:pt>
                <c:pt idx="85">
                  <c:v>Feb-27</c:v>
                </c:pt>
                <c:pt idx="86">
                  <c:v>Mar-27</c:v>
                </c:pt>
                <c:pt idx="87">
                  <c:v>Apr-27</c:v>
                </c:pt>
                <c:pt idx="88">
                  <c:v>May-27</c:v>
                </c:pt>
                <c:pt idx="89">
                  <c:v>Jun-27</c:v>
                </c:pt>
                <c:pt idx="90">
                  <c:v>Jul-27</c:v>
                </c:pt>
                <c:pt idx="91">
                  <c:v>Aug-27</c:v>
                </c:pt>
                <c:pt idx="92">
                  <c:v>Sep-27</c:v>
                </c:pt>
                <c:pt idx="93">
                  <c:v>Oct-27</c:v>
                </c:pt>
                <c:pt idx="94">
                  <c:v>Nov-27</c:v>
                </c:pt>
                <c:pt idx="95">
                  <c:v>Dec-27</c:v>
                </c:pt>
                <c:pt idx="96">
                  <c:v>Jan-28</c:v>
                </c:pt>
                <c:pt idx="97">
                  <c:v>Feb-28</c:v>
                </c:pt>
                <c:pt idx="98">
                  <c:v>Mar-28</c:v>
                </c:pt>
                <c:pt idx="99">
                  <c:v>Apr-28</c:v>
                </c:pt>
                <c:pt idx="100">
                  <c:v>May-28</c:v>
                </c:pt>
                <c:pt idx="101">
                  <c:v>Jun-28</c:v>
                </c:pt>
                <c:pt idx="102">
                  <c:v>Jul-28</c:v>
                </c:pt>
                <c:pt idx="103">
                  <c:v>Aug-28</c:v>
                </c:pt>
                <c:pt idx="104">
                  <c:v>Sep-28</c:v>
                </c:pt>
                <c:pt idx="105">
                  <c:v>Oct-28</c:v>
                </c:pt>
                <c:pt idx="106">
                  <c:v>Nov-28</c:v>
                </c:pt>
                <c:pt idx="107">
                  <c:v>Dec-28</c:v>
                </c:pt>
                <c:pt idx="108">
                  <c:v>Jan-29</c:v>
                </c:pt>
                <c:pt idx="109">
                  <c:v>Feb-29</c:v>
                </c:pt>
                <c:pt idx="110">
                  <c:v>Mar-29</c:v>
                </c:pt>
                <c:pt idx="111">
                  <c:v>Apr-29</c:v>
                </c:pt>
                <c:pt idx="112">
                  <c:v>May-29</c:v>
                </c:pt>
                <c:pt idx="113">
                  <c:v>Jun-29</c:v>
                </c:pt>
                <c:pt idx="114">
                  <c:v>Jul-29</c:v>
                </c:pt>
                <c:pt idx="115">
                  <c:v>Aug-29</c:v>
                </c:pt>
                <c:pt idx="116">
                  <c:v>Sep-29</c:v>
                </c:pt>
                <c:pt idx="117">
                  <c:v>Oct-29</c:v>
                </c:pt>
                <c:pt idx="118">
                  <c:v>Nov-29</c:v>
                </c:pt>
                <c:pt idx="119">
                  <c:v>Dec-29</c:v>
                </c:pt>
                <c:pt idx="120">
                  <c:v>Jan-30</c:v>
                </c:pt>
                <c:pt idx="121">
                  <c:v>Feb-30</c:v>
                </c:pt>
                <c:pt idx="122">
                  <c:v>Mar-30</c:v>
                </c:pt>
                <c:pt idx="123">
                  <c:v>Apr-30</c:v>
                </c:pt>
                <c:pt idx="124">
                  <c:v>May-30</c:v>
                </c:pt>
                <c:pt idx="125">
                  <c:v>Jun-30</c:v>
                </c:pt>
                <c:pt idx="126">
                  <c:v>Jul-30</c:v>
                </c:pt>
                <c:pt idx="127">
                  <c:v>Aug-30</c:v>
                </c:pt>
                <c:pt idx="128">
                  <c:v>Sep-30</c:v>
                </c:pt>
              </c:strCache>
            </c:strRef>
          </c:cat>
          <c:val>
            <c:numRef>
              <c:f>Raw!$D$53:$EE$53</c:f>
              <c:numCache>
                <c:formatCode>General</c:formatCode>
                <c:ptCount val="132"/>
                <c:pt idx="0">
                  <c:v>0.45432669505472378</c:v>
                </c:pt>
                <c:pt idx="1">
                  <c:v>0.77478422847105832</c:v>
                </c:pt>
                <c:pt idx="2">
                  <c:v>0.9810503773574405</c:v>
                </c:pt>
                <c:pt idx="3">
                  <c:v>0.22909456961590968</c:v>
                </c:pt>
                <c:pt idx="4">
                  <c:v>0.58598511179741375</c:v>
                </c:pt>
                <c:pt idx="5">
                  <c:v>4.7664701587642577E-2</c:v>
                </c:pt>
                <c:pt idx="6">
                  <c:v>0.32108978948166034</c:v>
                </c:pt>
                <c:pt idx="7">
                  <c:v>0.62709148181114516</c:v>
                </c:pt>
                <c:pt idx="8">
                  <c:v>0.60745707460436704</c:v>
                </c:pt>
                <c:pt idx="9">
                  <c:v>0.54142976386836206</c:v>
                </c:pt>
                <c:pt idx="10">
                  <c:v>0.7702791910940987</c:v>
                </c:pt>
                <c:pt idx="11">
                  <c:v>8.5123976567346271E-2</c:v>
                </c:pt>
                <c:pt idx="12">
                  <c:v>0.82520318483480593</c:v>
                </c:pt>
                <c:pt idx="13">
                  <c:v>0.63724537332298437</c:v>
                </c:pt>
                <c:pt idx="14">
                  <c:v>0.10002762966497947</c:v>
                </c:pt>
                <c:pt idx="15">
                  <c:v>0.89546528141623671</c:v>
                </c:pt>
                <c:pt idx="16">
                  <c:v>0.15305441452287905</c:v>
                </c:pt>
                <c:pt idx="17">
                  <c:v>0.34449976155250595</c:v>
                </c:pt>
                <c:pt idx="18">
                  <c:v>2.0147477130656455E-2</c:v>
                </c:pt>
                <c:pt idx="19">
                  <c:v>0.24497793989829564</c:v>
                </c:pt>
                <c:pt idx="20">
                  <c:v>8.7653508073254116E-2</c:v>
                </c:pt>
                <c:pt idx="21">
                  <c:v>0.91150598590449539</c:v>
                </c:pt>
                <c:pt idx="22">
                  <c:v>0.82564089435301835</c:v>
                </c:pt>
                <c:pt idx="23">
                  <c:v>8.1609090101872894E-2</c:v>
                </c:pt>
                <c:pt idx="24">
                  <c:v>0.12694245794753334</c:v>
                </c:pt>
                <c:pt idx="25">
                  <c:v>0.66304860877293392</c:v>
                </c:pt>
                <c:pt idx="26">
                  <c:v>0.96325723975760513</c:v>
                </c:pt>
                <c:pt idx="27">
                  <c:v>0.70501325029189021</c:v>
                </c:pt>
                <c:pt idx="28">
                  <c:v>0.77423413646433192</c:v>
                </c:pt>
                <c:pt idx="29">
                  <c:v>0.58940804172689498</c:v>
                </c:pt>
                <c:pt idx="30">
                  <c:v>0.23797091841883422</c:v>
                </c:pt>
                <c:pt idx="31">
                  <c:v>0.5054032715673048</c:v>
                </c:pt>
                <c:pt idx="32">
                  <c:v>0.92473131363533312</c:v>
                </c:pt>
                <c:pt idx="33">
                  <c:v>0.47603155718655765</c:v>
                </c:pt>
                <c:pt idx="34">
                  <c:v>9.3742627173325266E-2</c:v>
                </c:pt>
                <c:pt idx="35">
                  <c:v>4.3114004014346952E-2</c:v>
                </c:pt>
                <c:pt idx="36">
                  <c:v>0.49830262396019087</c:v>
                </c:pt>
                <c:pt idx="37">
                  <c:v>0.72434867072150677</c:v>
                </c:pt>
                <c:pt idx="38">
                  <c:v>4.3114685293138999E-2</c:v>
                </c:pt>
                <c:pt idx="39">
                  <c:v>0.95813433671475445</c:v>
                </c:pt>
                <c:pt idx="40">
                  <c:v>0.45886439918407407</c:v>
                </c:pt>
                <c:pt idx="41">
                  <c:v>0.11067450053399353</c:v>
                </c:pt>
                <c:pt idx="42">
                  <c:v>0.40485562397132313</c:v>
                </c:pt>
                <c:pt idx="43">
                  <c:v>0.71235502079819046</c:v>
                </c:pt>
                <c:pt idx="44">
                  <c:v>0.29029895827055918</c:v>
                </c:pt>
                <c:pt idx="45">
                  <c:v>0.26353232495323886</c:v>
                </c:pt>
                <c:pt idx="46">
                  <c:v>0.65380445376841434</c:v>
                </c:pt>
                <c:pt idx="47">
                  <c:v>0.21316025737866318</c:v>
                </c:pt>
                <c:pt idx="48">
                  <c:v>0.5419292561415755</c:v>
                </c:pt>
                <c:pt idx="49">
                  <c:v>0.99851399710003841</c:v>
                </c:pt>
                <c:pt idx="50">
                  <c:v>0.51258581691214977</c:v>
                </c:pt>
                <c:pt idx="51">
                  <c:v>0.32451574013096007</c:v>
                </c:pt>
                <c:pt idx="52">
                  <c:v>0.80058188246163664</c:v>
                </c:pt>
                <c:pt idx="53">
                  <c:v>0.19573812735509555</c:v>
                </c:pt>
                <c:pt idx="54">
                  <c:v>0.99756532810171894</c:v>
                </c:pt>
                <c:pt idx="55">
                  <c:v>0.52325751114889874</c:v>
                </c:pt>
                <c:pt idx="56">
                  <c:v>0.24868728299008158</c:v>
                </c:pt>
                <c:pt idx="57">
                  <c:v>0.72945414256776619</c:v>
                </c:pt>
                <c:pt idx="58">
                  <c:v>0.43969633207371661</c:v>
                </c:pt>
                <c:pt idx="59">
                  <c:v>0.43242940710275912</c:v>
                </c:pt>
                <c:pt idx="60">
                  <c:v>0.46162435480538733</c:v>
                </c:pt>
                <c:pt idx="61">
                  <c:v>3.2188707376029968E-2</c:v>
                </c:pt>
                <c:pt idx="62">
                  <c:v>0.99773331834304402</c:v>
                </c:pt>
                <c:pt idx="63">
                  <c:v>0.68256329738892119</c:v>
                </c:pt>
                <c:pt idx="64">
                  <c:v>0.93141228044447544</c:v>
                </c:pt>
                <c:pt idx="65">
                  <c:v>0.17442009623724153</c:v>
                </c:pt>
                <c:pt idx="66">
                  <c:v>0.38433707748442059</c:v>
                </c:pt>
                <c:pt idx="67">
                  <c:v>9.4778388354151977E-3</c:v>
                </c:pt>
                <c:pt idx="68">
                  <c:v>0.34958315126078443</c:v>
                </c:pt>
                <c:pt idx="69">
                  <c:v>0.84376370876741658</c:v>
                </c:pt>
                <c:pt idx="70">
                  <c:v>0.9374377077521826</c:v>
                </c:pt>
                <c:pt idx="71">
                  <c:v>0.68688400150006279</c:v>
                </c:pt>
                <c:pt idx="72">
                  <c:v>0.25349349643628838</c:v>
                </c:pt>
                <c:pt idx="73">
                  <c:v>0.77225271940800322</c:v>
                </c:pt>
                <c:pt idx="74">
                  <c:v>0.38613583804745355</c:v>
                </c:pt>
                <c:pt idx="75">
                  <c:v>0.28648591814405966</c:v>
                </c:pt>
                <c:pt idx="76">
                  <c:v>0.4957489194130581</c:v>
                </c:pt>
                <c:pt idx="77">
                  <c:v>0.95060762437270929</c:v>
                </c:pt>
                <c:pt idx="78">
                  <c:v>0.8656705956118681</c:v>
                </c:pt>
                <c:pt idx="79">
                  <c:v>0.58033034236185876</c:v>
                </c:pt>
                <c:pt idx="80">
                  <c:v>7.0293925772013321E-2</c:v>
                </c:pt>
                <c:pt idx="81">
                  <c:v>0.20945798370707513</c:v>
                </c:pt>
                <c:pt idx="82">
                  <c:v>0.62402914947865074</c:v>
                </c:pt>
                <c:pt idx="83">
                  <c:v>0.22087529473161016</c:v>
                </c:pt>
                <c:pt idx="84">
                  <c:v>0.92695577136482754</c:v>
                </c:pt>
                <c:pt idx="85">
                  <c:v>0.29760259781402709</c:v>
                </c:pt>
                <c:pt idx="86">
                  <c:v>5.7136033371669392E-2</c:v>
                </c:pt>
                <c:pt idx="87">
                  <c:v>0.94532613746608862</c:v>
                </c:pt>
                <c:pt idx="88">
                  <c:v>0.55061860889925696</c:v>
                </c:pt>
                <c:pt idx="89">
                  <c:v>0.18883503091516718</c:v>
                </c:pt>
                <c:pt idx="90">
                  <c:v>0.98756399727174882</c:v>
                </c:pt>
                <c:pt idx="91">
                  <c:v>0.9970375703323523</c:v>
                </c:pt>
                <c:pt idx="92">
                  <c:v>0.7189992621376321</c:v>
                </c:pt>
                <c:pt idx="93">
                  <c:v>0.63880258030743375</c:v>
                </c:pt>
                <c:pt idx="94">
                  <c:v>0.12436666174440369</c:v>
                </c:pt>
                <c:pt idx="95">
                  <c:v>0.84321524625646649</c:v>
                </c:pt>
                <c:pt idx="96">
                  <c:v>0.85691751065341593</c:v>
                </c:pt>
                <c:pt idx="97">
                  <c:v>0.64527347288161729</c:v>
                </c:pt>
                <c:pt idx="98">
                  <c:v>0.61182411940377079</c:v>
                </c:pt>
                <c:pt idx="99">
                  <c:v>3.3127913128722097E-3</c:v>
                </c:pt>
                <c:pt idx="100">
                  <c:v>0.73181158680827163</c:v>
                </c:pt>
                <c:pt idx="101">
                  <c:v>0.26257613737320484</c:v>
                </c:pt>
                <c:pt idx="102">
                  <c:v>0.2452963032545189</c:v>
                </c:pt>
                <c:pt idx="103">
                  <c:v>0.93082387873832551</c:v>
                </c:pt>
                <c:pt idx="104">
                  <c:v>3.7933646026239609E-2</c:v>
                </c:pt>
                <c:pt idx="105">
                  <c:v>0.86837674622841465</c:v>
                </c:pt>
                <c:pt idx="106">
                  <c:v>0.81790414278588586</c:v>
                </c:pt>
                <c:pt idx="107">
                  <c:v>7.666294676778429E-2</c:v>
                </c:pt>
                <c:pt idx="108">
                  <c:v>0.43458459240841718</c:v>
                </c:pt>
                <c:pt idx="109">
                  <c:v>4.1722888121580315E-3</c:v>
                </c:pt>
                <c:pt idx="110">
                  <c:v>0.1977303428471241</c:v>
                </c:pt>
                <c:pt idx="111">
                  <c:v>0.61264025514432385</c:v>
                </c:pt>
                <c:pt idx="112">
                  <c:v>2.3998131044633109E-2</c:v>
                </c:pt>
                <c:pt idx="113">
                  <c:v>0.88149671218683723</c:v>
                </c:pt>
                <c:pt idx="114">
                  <c:v>0.64308850814359264</c:v>
                </c:pt>
                <c:pt idx="115">
                  <c:v>0.279262581147801</c:v>
                </c:pt>
                <c:pt idx="116">
                  <c:v>5.7518558610357151E-2</c:v>
                </c:pt>
                <c:pt idx="117">
                  <c:v>0.41749307737325447</c:v>
                </c:pt>
                <c:pt idx="118">
                  <c:v>0.99529586050222774</c:v>
                </c:pt>
                <c:pt idx="119">
                  <c:v>0.57049068729582153</c:v>
                </c:pt>
                <c:pt idx="120">
                  <c:v>0.32780757346738465</c:v>
                </c:pt>
                <c:pt idx="121">
                  <c:v>0.45704306306119791</c:v>
                </c:pt>
                <c:pt idx="122">
                  <c:v>0.89011258295517981</c:v>
                </c:pt>
                <c:pt idx="123">
                  <c:v>0.34643963129230426</c:v>
                </c:pt>
                <c:pt idx="124">
                  <c:v>0.49277735594004013</c:v>
                </c:pt>
                <c:pt idx="125">
                  <c:v>0.36200465655514658</c:v>
                </c:pt>
                <c:pt idx="126">
                  <c:v>0.9161990408004832</c:v>
                </c:pt>
                <c:pt idx="127">
                  <c:v>0.3187398555698514</c:v>
                </c:pt>
                <c:pt idx="128">
                  <c:v>0.81861488717108888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170-47F1-B72C-3F5D2ED2A8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1047520"/>
        <c:axId val="761047880"/>
      </c:lineChart>
      <c:catAx>
        <c:axId val="7610475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61047880"/>
        <c:crosses val="autoZero"/>
        <c:auto val="1"/>
        <c:lblAlgn val="ctr"/>
        <c:lblOffset val="100"/>
        <c:tickLblSkip val="1"/>
        <c:tickMarkSkip val="24"/>
        <c:noMultiLvlLbl val="0"/>
      </c:catAx>
      <c:valAx>
        <c:axId val="761047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047520"/>
        <c:crossesAt val="132"/>
        <c:crossBetween val="between"/>
      </c:valAx>
      <c:spPr>
        <a:noFill/>
        <a:ln>
          <a:solidFill>
            <a:schemeClr val="accent4">
              <a:lumMod val="60000"/>
              <a:lumOff val="40000"/>
            </a:schemeClr>
          </a:solidFill>
        </a:ln>
        <a:effectLst/>
      </c:spPr>
    </c:plotArea>
    <c:plotVisOnly val="0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Raw!$C$78</c:f>
              <c:strCache>
                <c:ptCount val="1"/>
                <c:pt idx="0">
                  <c:v>KPI 28 %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solidFill>
                <a:schemeClr val="accent3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5400" cap="rnd">
                <a:solidFill>
                  <a:schemeClr val="accent3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Raw!$D$77:$N$77</c:f>
              <c:strCache>
                <c:ptCount val="11"/>
                <c:pt idx="0">
                  <c:v>Feb-30</c:v>
                </c:pt>
                <c:pt idx="1">
                  <c:v>Mar-30</c:v>
                </c:pt>
                <c:pt idx="2">
                  <c:v>Apr-30</c:v>
                </c:pt>
                <c:pt idx="3">
                  <c:v>May-30</c:v>
                </c:pt>
                <c:pt idx="4">
                  <c:v>Jun-30</c:v>
                </c:pt>
                <c:pt idx="5">
                  <c:v>Jul-30</c:v>
                </c:pt>
                <c:pt idx="6">
                  <c:v>Aug-30</c:v>
                </c:pt>
                <c:pt idx="7">
                  <c:v>Sep-30</c:v>
                </c:pt>
                <c:pt idx="8">
                  <c:v>Oct-30</c:v>
                </c:pt>
                <c:pt idx="9">
                  <c:v>Nov-30</c:v>
                </c:pt>
                <c:pt idx="10">
                  <c:v>Dec-30</c:v>
                </c:pt>
              </c:strCache>
            </c:strRef>
          </c:cat>
          <c:val>
            <c:numRef>
              <c:f>Raw!$D$78:$N$78</c:f>
              <c:numCache>
                <c:formatCode>0.00</c:formatCode>
                <c:ptCount val="11"/>
                <c:pt idx="0">
                  <c:v>1.2694803459301662</c:v>
                </c:pt>
                <c:pt idx="1">
                  <c:v>1.0413031717282886</c:v>
                </c:pt>
                <c:pt idx="2">
                  <c:v>1.6097489948727195</c:v>
                </c:pt>
                <c:pt idx="3">
                  <c:v>1.2434370307107696</c:v>
                </c:pt>
                <c:pt idx="4">
                  <c:v>1.6967066288557409</c:v>
                </c:pt>
                <c:pt idx="5">
                  <c:v>1.7056195271044374</c:v>
                </c:pt>
                <c:pt idx="6">
                  <c:v>1.0491516591229373</c:v>
                </c:pt>
                <c:pt idx="7">
                  <c:v>1.8279303559148565</c:v>
                </c:pt>
                <c:pt idx="8">
                  <c:v>1.2144453283234578</c:v>
                </c:pt>
                <c:pt idx="9">
                  <c:v>1.696867376990431</c:v>
                </c:pt>
                <c:pt idx="10">
                  <c:v>1.8029089450846882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B6-47AB-AF99-F07B29F1AC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9325808"/>
        <c:axId val="609912952"/>
      </c:lineChart>
      <c:catAx>
        <c:axId val="759325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912952"/>
        <c:crosses val="autoZero"/>
        <c:auto val="1"/>
        <c:lblAlgn val="ctr"/>
        <c:lblOffset val="100"/>
        <c:noMultiLvlLbl val="0"/>
      </c:catAx>
      <c:valAx>
        <c:axId val="609912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325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>
          <a:lumMod val="60000"/>
          <a:lumOff val="4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52370</xdr:colOff>
      <xdr:row>8</xdr:row>
      <xdr:rowOff>169323</xdr:rowOff>
    </xdr:from>
    <xdr:to>
      <xdr:col>12</xdr:col>
      <xdr:colOff>614722</xdr:colOff>
      <xdr:row>23</xdr:row>
      <xdr:rowOff>113338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6C2940-F9FD-4BC4-A9EF-7552A6F327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52370</xdr:colOff>
      <xdr:row>27</xdr:row>
      <xdr:rowOff>169323</xdr:rowOff>
    </xdr:from>
    <xdr:to>
      <xdr:col>12</xdr:col>
      <xdr:colOff>614722</xdr:colOff>
      <xdr:row>42</xdr:row>
      <xdr:rowOff>113338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88DD784-971A-4B10-BC92-29C699D36A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52370</xdr:colOff>
      <xdr:row>46</xdr:row>
      <xdr:rowOff>169323</xdr:rowOff>
    </xdr:from>
    <xdr:to>
      <xdr:col>12</xdr:col>
      <xdr:colOff>614722</xdr:colOff>
      <xdr:row>61</xdr:row>
      <xdr:rowOff>113338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C0A8290-C922-4C38-AF1F-7126A72E81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52370</xdr:colOff>
      <xdr:row>65</xdr:row>
      <xdr:rowOff>169323</xdr:rowOff>
    </xdr:from>
    <xdr:to>
      <xdr:col>12</xdr:col>
      <xdr:colOff>614722</xdr:colOff>
      <xdr:row>80</xdr:row>
      <xdr:rowOff>113338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C73153C-0074-44BB-8438-5E97E99CE5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1100232</xdr:colOff>
      <xdr:row>50</xdr:row>
      <xdr:rowOff>176891</xdr:rowOff>
    </xdr:from>
    <xdr:to>
      <xdr:col>15</xdr:col>
      <xdr:colOff>244927</xdr:colOff>
      <xdr:row>68</xdr:row>
      <xdr:rowOff>138014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26369FE-62BD-4B93-3A60-48A45C839E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97193</xdr:colOff>
      <xdr:row>79</xdr:row>
      <xdr:rowOff>66868</xdr:rowOff>
    </xdr:from>
    <xdr:to>
      <xdr:col>13</xdr:col>
      <xdr:colOff>567611</xdr:colOff>
      <xdr:row>94</xdr:row>
      <xdr:rowOff>10883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6DD4CB9-25E6-E445-E87B-987DE9D83A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A77FD2-11C6-4517-BD81-B43DDC2126D7}" name="Table2" displayName="Table2" ref="C48:EE49" totalsRowShown="0" headerRowDxfId="157" dataDxfId="156">
  <tableColumns count="133">
    <tableColumn id="1" xr3:uid="{F3D8AD5B-EDEC-44B9-9E3B-90AE95D40D5B}" name="Month and year" dataDxfId="155">
      <calculatedColumnFormula>C46</calculatedColumnFormula>
    </tableColumn>
    <tableColumn id="2" xr3:uid="{042B58E5-1F42-4798-95A4-3A1BF60B8800}" name="Apr-26" dataDxfId="154">
      <calculatedColumnFormula>IFERROR((IF(D$49+1&gt;$D$45,"",IF(ISBLANK(D48),"",(IFERROR(INDEX(Raw!$C$1:$EE$33,MATCH($C$47,Raw!$C$1:$C$33,0),MATCH(D$36,Raw!$C$1:$EE$1,0)),"-"))))), "")</calculatedColumnFormula>
    </tableColumn>
    <tableColumn id="3" xr3:uid="{865260EB-2A93-4666-A330-168D5356E9F2}" name="May-26" dataDxfId="153">
      <calculatedColumnFormula>IFERROR((IF(E$49+1&gt;$D$45,"",IF(ISBLANK(E48),"",(IFERROR(INDEX(Raw!$C$1:$EE$33,MATCH($C$47,Raw!$C$1:$C$33,0),MATCH(E$36,Raw!$C$1:$EE$1,0)),"-"))))), "")</calculatedColumnFormula>
    </tableColumn>
    <tableColumn id="4" xr3:uid="{D00BA6C6-8E18-4720-A698-C5E8C2A6313F}" name="Jun-26" dataDxfId="152">
      <calculatedColumnFormula>IFERROR((IF(F$49+1&gt;$D$45,"",IF(ISBLANK(F48),"",(IFERROR(INDEX(Raw!$C$1:$EE$33,MATCH($C$47,Raw!$C$1:$C$33,0),MATCH(F$36,Raw!$C$1:$EE$1,0)),"-"))))), "")</calculatedColumnFormula>
    </tableColumn>
    <tableColumn id="5" xr3:uid="{4BA05C41-49D5-4181-A9E5-0E2C487C6CA9}" name="Jul-26" dataDxfId="151">
      <calculatedColumnFormula>IFERROR((IF(G$49+1&gt;$D$45,"",IF(ISBLANK(G48),"",(IFERROR(INDEX(Raw!$C$1:$EE$33,MATCH($C$47,Raw!$C$1:$C$33,0),MATCH(G$36,Raw!$C$1:$EE$1,0)),"-"))))), "")</calculatedColumnFormula>
    </tableColumn>
    <tableColumn id="6" xr3:uid="{F0F0D6E5-7F3D-47F7-8773-F9ABB1796E31}" name="Aug-26" dataDxfId="150">
      <calculatedColumnFormula>IFERROR((IF(H$49+1&gt;$D$45,"",IF(ISBLANK(H48),"",(IFERROR(INDEX(Raw!$C$1:$EE$33,MATCH($C$47,Raw!$C$1:$C$33,0),MATCH(H$36,Raw!$C$1:$EE$1,0)),"-"))))), "")</calculatedColumnFormula>
    </tableColumn>
    <tableColumn id="7" xr3:uid="{55DFD9DD-CFC3-40FA-868B-DB19408B23AD}" name="Sep-26" dataDxfId="149">
      <calculatedColumnFormula>IFERROR((IF(I$49+1&gt;$D$45,"",IF(ISBLANK(I48),"",(IFERROR(INDEX(Raw!$C$1:$EE$33,MATCH($C$47,Raw!$C$1:$C$33,0),MATCH(I$36,Raw!$C$1:$EE$1,0)),"-"))))), "")</calculatedColumnFormula>
    </tableColumn>
    <tableColumn id="8" xr3:uid="{DDC2E22D-1A73-4BA6-9568-EFB6A5A76B8D}" name="Oct-26" dataDxfId="148">
      <calculatedColumnFormula>IFERROR((IF(J$49+1&gt;$D$45,"",IF(ISBLANK(J48),"",(IFERROR(INDEX(Raw!$C$1:$EE$33,MATCH($C$47,Raw!$C$1:$C$33,0),MATCH(J$36,Raw!$C$1:$EE$1,0)),"-"))))), "")</calculatedColumnFormula>
    </tableColumn>
    <tableColumn id="9" xr3:uid="{011559BA-405E-4178-AFCA-10B82DF1E98E}" name="Nov-26" dataDxfId="147">
      <calculatedColumnFormula>IFERROR((IF(K$49+1&gt;$D$45,"",IF(ISBLANK(K48),"",(IFERROR(INDEX(Raw!$C$1:$EE$33,MATCH($C$47,Raw!$C$1:$C$33,0),MATCH(K$36,Raw!$C$1:$EE$1,0)),"-"))))), "")</calculatedColumnFormula>
    </tableColumn>
    <tableColumn id="10" xr3:uid="{1CA27C44-6695-4B31-BCD0-0FE50A433A1C}" name="Dec-26" dataDxfId="146">
      <calculatedColumnFormula>IFERROR((IF(L$49+1&gt;$D$45,"",IF(ISBLANK(L48),"",(IFERROR(INDEX(Raw!$C$1:$EE$33,MATCH($C$47,Raw!$C$1:$C$33,0),MATCH(L$36,Raw!$C$1:$EE$1,0)),"-"))))), "")</calculatedColumnFormula>
    </tableColumn>
    <tableColumn id="11" xr3:uid="{7E8961DE-6744-4AF1-8D40-23246C02A7F7}" name="Jan-27" dataDxfId="145">
      <calculatedColumnFormula>IFERROR((IF(M$49+1&gt;$D$45,"",IF(ISBLANK(M48),"",(IFERROR(INDEX(Raw!$C$1:$EE$33,MATCH($C$47,Raw!$C$1:$C$33,0),MATCH(M$36,Raw!$C$1:$EE$1,0)),"-"))))), "")</calculatedColumnFormula>
    </tableColumn>
    <tableColumn id="12" xr3:uid="{DC03216E-4700-481C-9AE8-7850D9C0A1D5}" name="Feb-27" dataDxfId="144">
      <calculatedColumnFormula>IFERROR((IF(N$49+1&gt;$D$45,"",IF(ISBLANK(N48),"",(IFERROR(INDEX(Raw!$C$1:$EE$33,MATCH($C$47,Raw!$C$1:$C$33,0),MATCH(N$36,Raw!$C$1:$EE$1,0)),"-"))))), "")</calculatedColumnFormula>
    </tableColumn>
    <tableColumn id="13" xr3:uid="{FDBFAA24-D5C9-46D8-967B-9F910E8BAB4F}" name="Mar-27" dataDxfId="143">
      <calculatedColumnFormula>IFERROR((IF(O$49+1&gt;$D$45,"",IF(ISBLANK(O48),"",(IFERROR(INDEX(Raw!$C$1:$EE$33,MATCH($C$47,Raw!$C$1:$C$33,0),MATCH(O$36,Raw!$C$1:$EE$1,0)),"-"))))), "")</calculatedColumnFormula>
    </tableColumn>
    <tableColumn id="14" xr3:uid="{B55533DE-B099-44A3-B7DE-99C8615D47A2}" name="Apr-27" dataDxfId="142">
      <calculatedColumnFormula>IFERROR((IF(P$49+1&gt;$D$45,"",IF(ISBLANK(P48),"",(IFERROR(INDEX(Raw!$C$1:$EE$33,MATCH($C$47,Raw!$C$1:$C$33,0),MATCH(P$36,Raw!$C$1:$EE$1,0)),"-"))))), "")</calculatedColumnFormula>
    </tableColumn>
    <tableColumn id="15" xr3:uid="{C210EF1A-2E4A-49AE-B23B-86B447E01934}" name="May-27" dataDxfId="141">
      <calculatedColumnFormula>IFERROR((IF(Q$49+1&gt;$D$45,"",IF(ISBLANK(Q48),"",(IFERROR(INDEX(Raw!$C$1:$EE$33,MATCH($C$47,Raw!$C$1:$C$33,0),MATCH(Q$36,Raw!$C$1:$EE$1,0)),"-"))))), "")</calculatedColumnFormula>
    </tableColumn>
    <tableColumn id="16" xr3:uid="{E7510F7D-F648-44E9-B2E6-7A4CBB59A0C4}" name="Jun-27" dataDxfId="140">
      <calculatedColumnFormula>IFERROR((IF(R$49+1&gt;$D$45,"",IF(ISBLANK(R48),"",(IFERROR(INDEX(Raw!$C$1:$EE$33,MATCH($C$47,Raw!$C$1:$C$33,0),MATCH(R$36,Raw!$C$1:$EE$1,0)),"-"))))), "")</calculatedColumnFormula>
    </tableColumn>
    <tableColumn id="17" xr3:uid="{D2A051A5-E04C-4A5D-92CC-B23DA46EAD7B}" name="Jul-27" dataDxfId="139">
      <calculatedColumnFormula>IFERROR((IF(S$49+1&gt;$D$45,"",IF(ISBLANK(S48),"",(IFERROR(INDEX(Raw!$C$1:$EE$33,MATCH($C$47,Raw!$C$1:$C$33,0),MATCH(S$36,Raw!$C$1:$EE$1,0)),"-"))))), "")</calculatedColumnFormula>
    </tableColumn>
    <tableColumn id="18" xr3:uid="{6CECFA2A-9340-45EB-82CC-46485F672FC9}" name="Aug-27" dataDxfId="138">
      <calculatedColumnFormula>IFERROR((IF(T$49+1&gt;$D$45,"",IF(ISBLANK(T48),"",(IFERROR(INDEX(Raw!$C$1:$EE$33,MATCH($C$47,Raw!$C$1:$C$33,0),MATCH(T$36,Raw!$C$1:$EE$1,0)),"-"))))), "")</calculatedColumnFormula>
    </tableColumn>
    <tableColumn id="19" xr3:uid="{139DB725-FDA9-4B60-9B7E-FBDE8E1C7FE9}" name="Sep-27" dataDxfId="137">
      <calculatedColumnFormula>IFERROR((IF(U$49+1&gt;$D$45,"",IF(ISBLANK(U48),"",(IFERROR(INDEX(Raw!$C$1:$EE$33,MATCH($C$47,Raw!$C$1:$C$33,0),MATCH(U$36,Raw!$C$1:$EE$1,0)),"-"))))), "")</calculatedColumnFormula>
    </tableColumn>
    <tableColumn id="20" xr3:uid="{16EC852A-BE90-4487-B166-7230B4E35924}" name="Oct-27" dataDxfId="136">
      <calculatedColumnFormula>IFERROR((IF(V$49+1&gt;$D$45,"",IF(ISBLANK(V48),"",(IFERROR(INDEX(Raw!$C$1:$EE$33,MATCH($C$47,Raw!$C$1:$C$33,0),MATCH(V$36,Raw!$C$1:$EE$1,0)),"-"))))), "")</calculatedColumnFormula>
    </tableColumn>
    <tableColumn id="21" xr3:uid="{B40C4EC2-95F6-4ED2-B6F1-D223D12B92B9}" name="Nov-27" dataDxfId="135">
      <calculatedColumnFormula>IFERROR((IF(W$49+1&gt;$D$45,"",IF(ISBLANK(W48),"",(IFERROR(INDEX(Raw!$C$1:$EE$33,MATCH($C$47,Raw!$C$1:$C$33,0),MATCH(W$36,Raw!$C$1:$EE$1,0)),"-"))))), "")</calculatedColumnFormula>
    </tableColumn>
    <tableColumn id="22" xr3:uid="{9FDD53ED-8B18-4AE1-A025-14E2B06AA029}" name="Dec-27" dataDxfId="134">
      <calculatedColumnFormula>IFERROR((IF(X$49+1&gt;$D$45,"",IF(ISBLANK(X48),"",(IFERROR(INDEX(Raw!$C$1:$EE$33,MATCH($C$47,Raw!$C$1:$C$33,0),MATCH(X$36,Raw!$C$1:$EE$1,0)),"-"))))), "")</calculatedColumnFormula>
    </tableColumn>
    <tableColumn id="23" xr3:uid="{E34D34C0-32CC-4D5B-A361-B99D32637E96}" name="Jan-28" dataDxfId="133">
      <calculatedColumnFormula>IFERROR((IF(Y$49+1&gt;$D$45,"",IF(ISBLANK(Y48),"",(IFERROR(INDEX(Raw!$C$1:$EE$33,MATCH($C$47,Raw!$C$1:$C$33,0),MATCH(Y$36,Raw!$C$1:$EE$1,0)),"-"))))), "")</calculatedColumnFormula>
    </tableColumn>
    <tableColumn id="24" xr3:uid="{5BE61DB9-76ED-44B9-BD27-EC330CDECBCD}" name="Feb-28" dataDxfId="132">
      <calculatedColumnFormula>IFERROR((IF(Z$49+1&gt;$D$45,"",IF(ISBLANK(Z48),"",(IFERROR(INDEX(Raw!$C$1:$EE$33,MATCH($C$47,Raw!$C$1:$C$33,0),MATCH(Z$36,Raw!$C$1:$EE$1,0)),"-"))))), "")</calculatedColumnFormula>
    </tableColumn>
    <tableColumn id="25" xr3:uid="{6A0CBE48-7692-41D4-A95B-4C280391BC1F}" name="Mar-28" dataDxfId="131">
      <calculatedColumnFormula>IFERROR((IF(AA$49+1&gt;$D$45,"",IF(ISBLANK(AA48),"",(IFERROR(INDEX(Raw!$C$1:$EE$33,MATCH($C$47,Raw!$C$1:$C$33,0),MATCH(AA$36,Raw!$C$1:$EE$1,0)),"-"))))), "")</calculatedColumnFormula>
    </tableColumn>
    <tableColumn id="26" xr3:uid="{38FFAE3A-F14F-445D-AF72-0C71BD372428}" name="Apr-28" dataDxfId="130">
      <calculatedColumnFormula>IFERROR((IF(AB$49+1&gt;$D$45,"",IF(ISBLANK(AB48),"",(IFERROR(INDEX(Raw!$C$1:$EE$33,MATCH($C$47,Raw!$C$1:$C$33,0),MATCH(AB$36,Raw!$C$1:$EE$1,0)),"-"))))), "")</calculatedColumnFormula>
    </tableColumn>
    <tableColumn id="27" xr3:uid="{46DBFF36-B573-4CCB-A51B-25889372183F}" name="May-28" dataDxfId="129">
      <calculatedColumnFormula>IFERROR((IF(AC$49+1&gt;$D$45,"",IF(ISBLANK(AC48),"",(IFERROR(INDEX(Raw!$C$1:$EE$33,MATCH($C$47,Raw!$C$1:$C$33,0),MATCH(AC$36,Raw!$C$1:$EE$1,0)),"-"))))), "")</calculatedColumnFormula>
    </tableColumn>
    <tableColumn id="28" xr3:uid="{4F6D381A-344E-4039-8890-7DE79286D3FC}" name="Jun-28" dataDxfId="128">
      <calculatedColumnFormula>IFERROR((IF(AD$49+1&gt;$D$45,"",IF(ISBLANK(AD48),"",(IFERROR(INDEX(Raw!$C$1:$EE$33,MATCH($C$47,Raw!$C$1:$C$33,0),MATCH(AD$36,Raw!$C$1:$EE$1,0)),"-"))))), "")</calculatedColumnFormula>
    </tableColumn>
    <tableColumn id="29" xr3:uid="{0C644B4D-73C7-4988-9B73-1B2F368D80BF}" name="Jul-28" dataDxfId="127">
      <calculatedColumnFormula>IFERROR((IF(AE$49+1&gt;$D$45,"",IF(ISBLANK(AE48),"",(IFERROR(INDEX(Raw!$C$1:$EE$33,MATCH($C$47,Raw!$C$1:$C$33,0),MATCH(AE$36,Raw!$C$1:$EE$1,0)),"-"))))), "")</calculatedColumnFormula>
    </tableColumn>
    <tableColumn id="30" xr3:uid="{34EFF41A-AD07-48C0-88F3-473D26A2D787}" name="Aug-28" dataDxfId="126">
      <calculatedColumnFormula>IFERROR((IF(AF$49+1&gt;$D$45,"",IF(ISBLANK(AF48),"",(IFERROR(INDEX(Raw!$C$1:$EE$33,MATCH($C$47,Raw!$C$1:$C$33,0),MATCH(AF$36,Raw!$C$1:$EE$1,0)),"-"))))), "")</calculatedColumnFormula>
    </tableColumn>
    <tableColumn id="31" xr3:uid="{A54EBB7E-625F-406C-8F26-AC68C3D57AB8}" name="Sep-28" dataDxfId="125">
      <calculatedColumnFormula>IFERROR((IF(AG$49+1&gt;$D$45,"",IF(ISBLANK(AG48),"",(IFERROR(INDEX(Raw!$C$1:$EE$33,MATCH($C$47,Raw!$C$1:$C$33,0),MATCH(AG$36,Raw!$C$1:$EE$1,0)),"-"))))), "")</calculatedColumnFormula>
    </tableColumn>
    <tableColumn id="32" xr3:uid="{E2D8F8E2-A494-496C-8A3C-05BBAE807F23}" name="Oct-28" dataDxfId="124">
      <calculatedColumnFormula>IFERROR((IF(AH$49+1&gt;$D$45,"",IF(ISBLANK(AH48),"",(IFERROR(INDEX(Raw!$C$1:$EE$33,MATCH($C$47,Raw!$C$1:$C$33,0),MATCH(AH$36,Raw!$C$1:$EE$1,0)),"-"))))), "")</calculatedColumnFormula>
    </tableColumn>
    <tableColumn id="33" xr3:uid="{F36FE7E2-A374-4AA0-A351-7AC60A96E8E5}" name="Nov-28" dataDxfId="123">
      <calculatedColumnFormula>IFERROR((IF(AI$49+1&gt;$D$45,"",IF(ISBLANK(AI48),"",(IFERROR(INDEX(Raw!$C$1:$EE$33,MATCH($C$47,Raw!$C$1:$C$33,0),MATCH(AI$36,Raw!$C$1:$EE$1,0)),"-"))))), "")</calculatedColumnFormula>
    </tableColumn>
    <tableColumn id="34" xr3:uid="{54F2844F-B4BE-4F0D-8035-505C8823562B}" name="Dec-28" dataDxfId="122">
      <calculatedColumnFormula>IFERROR((IF(AJ$49+1&gt;$D$45,"",IF(ISBLANK(AJ48),"",(IFERROR(INDEX(Raw!$C$1:$EE$33,MATCH($C$47,Raw!$C$1:$C$33,0),MATCH(AJ$36,Raw!$C$1:$EE$1,0)),"-"))))), "")</calculatedColumnFormula>
    </tableColumn>
    <tableColumn id="35" xr3:uid="{F191B91E-E458-4CEB-ABB9-3C4218C49B84}" name="Jan-29" dataDxfId="121">
      <calculatedColumnFormula>IFERROR((IF(AK$49+1&gt;$D$45,"",IF(ISBLANK(AK48),"",(IFERROR(INDEX(Raw!$C$1:$EE$33,MATCH($C$47,Raw!$C$1:$C$33,0),MATCH(AK$36,Raw!$C$1:$EE$1,0)),"-"))))), "")</calculatedColumnFormula>
    </tableColumn>
    <tableColumn id="36" xr3:uid="{BE5348D7-2C84-4619-B9BE-32AB27B32570}" name="Feb-29" dataDxfId="120">
      <calculatedColumnFormula>IFERROR((IF(AL$49+1&gt;$D$45,"",IF(ISBLANK(AL48),"",(IFERROR(INDEX(Raw!$C$1:$EE$33,MATCH($C$47,Raw!$C$1:$C$33,0),MATCH(AL$36,Raw!$C$1:$EE$1,0)),"-"))))), "")</calculatedColumnFormula>
    </tableColumn>
    <tableColumn id="37" xr3:uid="{54B23F85-D049-4A40-909A-EF6D2A4F038A}" name="Mar-29" dataDxfId="119">
      <calculatedColumnFormula>IFERROR((IF(AM$49+1&gt;$D$45,"",IF(ISBLANK(AM48),"",(IFERROR(INDEX(Raw!$C$1:$EE$33,MATCH($C$47,Raw!$C$1:$C$33,0),MATCH(AM$36,Raw!$C$1:$EE$1,0)),"-"))))), "")</calculatedColumnFormula>
    </tableColumn>
    <tableColumn id="38" xr3:uid="{D8F0DDC0-36DC-4FB0-A4A3-1AEDB064E846}" name="Apr-29" dataDxfId="118">
      <calculatedColumnFormula>IFERROR((IF(AN$49+1&gt;$D$45,"",IF(ISBLANK(AN48),"",(IFERROR(INDEX(Raw!$C$1:$EE$33,MATCH($C$47,Raw!$C$1:$C$33,0),MATCH(AN$36,Raw!$C$1:$EE$1,0)),"-"))))), "")</calculatedColumnFormula>
    </tableColumn>
    <tableColumn id="39" xr3:uid="{876C7FB8-7213-4C42-8FEC-652DC5D0A150}" name="Column1" dataDxfId="117">
      <calculatedColumnFormula>IFERROR((IF(AO$49+1&gt;$D$45,"",IF(ISBLANK(AO48),"",(IFERROR(INDEX(Raw!$C$1:$EE$33,MATCH($C$47,Raw!$C$1:$C$33,0),MATCH(AO$36,Raw!$C$1:$EE$1,0)),"-"))))), "")</calculatedColumnFormula>
    </tableColumn>
    <tableColumn id="40" xr3:uid="{E112F7C8-AC42-4399-9684-BF205FF004CC}" name="Column2" dataDxfId="116">
      <calculatedColumnFormula>IFERROR((IF(AP$49+1&gt;$D$45,"",IF(ISBLANK(AP48),"",(IFERROR(INDEX(Raw!$C$1:$EE$33,MATCH($C$47,Raw!$C$1:$C$33,0),MATCH(AP$36,Raw!$C$1:$EE$1,0)),"-"))))), "")</calculatedColumnFormula>
    </tableColumn>
    <tableColumn id="41" xr3:uid="{E217B920-B2AA-4F1B-B8C4-8B8209A4501F}" name="Column3" dataDxfId="115">
      <calculatedColumnFormula>IFERROR((IF(AQ$49+1&gt;$D$45,"",IF(ISBLANK(AQ48),"",(IFERROR(INDEX(Raw!$C$1:$EE$33,MATCH($C$47,Raw!$C$1:$C$33,0),MATCH(AQ$36,Raw!$C$1:$EE$1,0)),"-"))))), "")</calculatedColumnFormula>
    </tableColumn>
    <tableColumn id="42" xr3:uid="{EC7182ED-20F3-49F0-BF8C-594BF02BC35B}" name="Column4" dataDxfId="114">
      <calculatedColumnFormula>IFERROR((IF(AR$49+1&gt;$D$45,"",IF(ISBLANK(AR48),"",(IFERROR(INDEX(Raw!$C$1:$EE$33,MATCH($C$47,Raw!$C$1:$C$33,0),MATCH(AR$36,Raw!$C$1:$EE$1,0)),"-"))))), "")</calculatedColumnFormula>
    </tableColumn>
    <tableColumn id="43" xr3:uid="{42EF7FEE-178E-430B-8E89-C661236D8177}" name="Column5" dataDxfId="113">
      <calculatedColumnFormula>IFERROR((IF(AS$49+1&gt;$D$45,"",IF(ISBLANK(AS48),"",(IFERROR(INDEX(Raw!$C$1:$EE$33,MATCH($C$47,Raw!$C$1:$C$33,0),MATCH(AS$36,Raw!$C$1:$EE$1,0)),"-"))))), "")</calculatedColumnFormula>
    </tableColumn>
    <tableColumn id="44" xr3:uid="{AB22B3AF-E89A-49DC-B15B-13DF55B1D3A3}" name="Column6" dataDxfId="112">
      <calculatedColumnFormula>IFERROR((IF(AT$49+1&gt;$D$45,"",IF(ISBLANK(AT48),"",(IFERROR(INDEX(Raw!$C$1:$EE$33,MATCH($C$47,Raw!$C$1:$C$33,0),MATCH(AT$36,Raw!$C$1:$EE$1,0)),"-"))))), "")</calculatedColumnFormula>
    </tableColumn>
    <tableColumn id="45" xr3:uid="{0FECCA91-2581-45B5-A48A-6053AE22AE1C}" name="Column7" dataDxfId="111">
      <calculatedColumnFormula>IFERROR((IF(AU$49+1&gt;$D$45,"",IF(ISBLANK(AU48),"",(IFERROR(INDEX(Raw!$C$1:$EE$33,MATCH($C$47,Raw!$C$1:$C$33,0),MATCH(AU$36,Raw!$C$1:$EE$1,0)),"-"))))), "")</calculatedColumnFormula>
    </tableColumn>
    <tableColumn id="46" xr3:uid="{9F9CA8BF-1276-42B8-8434-EA9F867B8566}" name="Column8" dataDxfId="110">
      <calculatedColumnFormula>IFERROR((IF(AV$49+1&gt;$D$45,"",IF(ISBLANK(AV48),"",(IFERROR(INDEX(Raw!$C$1:$EE$33,MATCH($C$47,Raw!$C$1:$C$33,0),MATCH(AV$36,Raw!$C$1:$EE$1,0)),"-"))))), "")</calculatedColumnFormula>
    </tableColumn>
    <tableColumn id="47" xr3:uid="{FFB9A047-4487-40DD-9847-3AC7D67D293F}" name="Column9" dataDxfId="109">
      <calculatedColumnFormula>IFERROR((IF(AW$49+1&gt;$D$45,"",IF(ISBLANK(AW48),"",(IFERROR(INDEX(Raw!$C$1:$EE$33,MATCH($C$47,Raw!$C$1:$C$33,0),MATCH(AW$36,Raw!$C$1:$EE$1,0)),"-"))))), "")</calculatedColumnFormula>
    </tableColumn>
    <tableColumn id="48" xr3:uid="{3205E631-18E9-49AC-8AFF-0E0C001E25F7}" name="Column10" dataDxfId="108">
      <calculatedColumnFormula>IFERROR((IF(AX$49+1&gt;$D$45,"",IF(ISBLANK(AX48),"",(IFERROR(INDEX(Raw!$C$1:$EE$33,MATCH($C$47,Raw!$C$1:$C$33,0),MATCH(AX$36,Raw!$C$1:$EE$1,0)),"-"))))), "")</calculatedColumnFormula>
    </tableColumn>
    <tableColumn id="49" xr3:uid="{A39CA9BE-99E0-4FAF-8E7D-E7A3FFB16FE6}" name="Column11" dataDxfId="107">
      <calculatedColumnFormula>IFERROR((IF(AY$49+1&gt;$D$45,"",IF(ISBLANK(AY48),"",(IFERROR(INDEX(Raw!$C$1:$EE$33,MATCH($C$47,Raw!$C$1:$C$33,0),MATCH(AY$36,Raw!$C$1:$EE$1,0)),"-"))))), "")</calculatedColumnFormula>
    </tableColumn>
    <tableColumn id="50" xr3:uid="{46BD4666-2D1B-4B21-8B0A-D87EA1E3FCA3}" name="Column12" dataDxfId="106">
      <calculatedColumnFormula>IFERROR((IF(AZ$49+1&gt;$D$45,"",IF(ISBLANK(AZ48),"",(IFERROR(INDEX(Raw!$C$1:$EE$33,MATCH($C$47,Raw!$C$1:$C$33,0),MATCH(AZ$36,Raw!$C$1:$EE$1,0)),"-"))))), "")</calculatedColumnFormula>
    </tableColumn>
    <tableColumn id="51" xr3:uid="{E59065C2-DB1D-4F2C-A84F-A649BE06FB78}" name="Column13" dataDxfId="105">
      <calculatedColumnFormula>IFERROR((IF(BA$49+1&gt;$D$45,"",IF(ISBLANK(BA48),"",(IFERROR(INDEX(Raw!$C$1:$EE$33,MATCH($C$47,Raw!$C$1:$C$33,0),MATCH(BA$36,Raw!$C$1:$EE$1,0)),"-"))))), "")</calculatedColumnFormula>
    </tableColumn>
    <tableColumn id="52" xr3:uid="{F72193BF-7733-465E-9BC0-8C2C3E434B1F}" name="Column14" dataDxfId="104">
      <calculatedColumnFormula>IFERROR((IF(BB$49+1&gt;$D$45,"",IF(ISBLANK(BB48),"",(IFERROR(INDEX(Raw!$C$1:$EE$33,MATCH($C$47,Raw!$C$1:$C$33,0),MATCH(BB$36,Raw!$C$1:$EE$1,0)),"-"))))), "")</calculatedColumnFormula>
    </tableColumn>
    <tableColumn id="53" xr3:uid="{B736464C-E415-462A-9FD5-DD5807C137E2}" name="Column15" dataDxfId="103">
      <calculatedColumnFormula>IFERROR((IF(BC$49+1&gt;$D$45,"",IF(ISBLANK(BC48),"",(IFERROR(INDEX(Raw!$C$1:$EE$33,MATCH($C$47,Raw!$C$1:$C$33,0),MATCH(BC$36,Raw!$C$1:$EE$1,0)),"-"))))), "")</calculatedColumnFormula>
    </tableColumn>
    <tableColumn id="54" xr3:uid="{B93928C9-DF29-4854-8915-3820E7129BDD}" name="Column16" dataDxfId="102">
      <calculatedColumnFormula>IFERROR((IF(BD$49+1&gt;$D$45,"",IF(ISBLANK(BD48),"",(IFERROR(INDEX(Raw!$C$1:$EE$33,MATCH($C$47,Raw!$C$1:$C$33,0),MATCH(BD$36,Raw!$C$1:$EE$1,0)),"-"))))), "")</calculatedColumnFormula>
    </tableColumn>
    <tableColumn id="55" xr3:uid="{6B324CB5-F311-4563-A776-7F2EF316B769}" name="Column17" dataDxfId="101">
      <calculatedColumnFormula>IFERROR((IF(BE$49+1&gt;$D$45,"",IF(ISBLANK(BE48),"",(IFERROR(INDEX(Raw!$C$1:$EE$33,MATCH($C$47,Raw!$C$1:$C$33,0),MATCH(BE$36,Raw!$C$1:$EE$1,0)),"-"))))), "")</calculatedColumnFormula>
    </tableColumn>
    <tableColumn id="56" xr3:uid="{DFF642BD-B2C2-4047-A404-EBA6E508AC54}" name="Column18" dataDxfId="100">
      <calculatedColumnFormula>IFERROR((IF(BF$49+1&gt;$D$45,"",IF(ISBLANK(BF48),"",(IFERROR(INDEX(Raw!$C$1:$EE$33,MATCH($C$47,Raw!$C$1:$C$33,0),MATCH(BF$36,Raw!$C$1:$EE$1,0)),"-"))))), "")</calculatedColumnFormula>
    </tableColumn>
    <tableColumn id="57" xr3:uid="{803C4DB7-B425-498F-B8B0-E604C12F187A}" name="Column19" dataDxfId="99">
      <calculatedColumnFormula>IFERROR((IF(BG$49+1&gt;$D$45,"",IF(ISBLANK(BG48),"",(IFERROR(INDEX(Raw!$C$1:$EE$33,MATCH($C$47,Raw!$C$1:$C$33,0),MATCH(BG$36,Raw!$C$1:$EE$1,0)),"-"))))), "")</calculatedColumnFormula>
    </tableColumn>
    <tableColumn id="58" xr3:uid="{FBA44037-1C82-420D-BAA7-1C8360324078}" name="Column20" dataDxfId="98">
      <calculatedColumnFormula>IFERROR((IF(BH$49+1&gt;$D$45,"",IF(ISBLANK(BH48),"",(IFERROR(INDEX(Raw!$C$1:$EE$33,MATCH($C$47,Raw!$C$1:$C$33,0),MATCH(BH$36,Raw!$C$1:$EE$1,0)),"-"))))), "")</calculatedColumnFormula>
    </tableColumn>
    <tableColumn id="59" xr3:uid="{B7C2AE22-BC1C-4BB4-823B-0E57AD3F82D8}" name="Column21" dataDxfId="97">
      <calculatedColumnFormula>IFERROR((IF(BI$49+1&gt;$D$45,"",IF(ISBLANK(BI48),"",(IFERROR(INDEX(Raw!$C$1:$EE$33,MATCH($C$47,Raw!$C$1:$C$33,0),MATCH(BI$36,Raw!$C$1:$EE$1,0)),"-"))))), "")</calculatedColumnFormula>
    </tableColumn>
    <tableColumn id="60" xr3:uid="{5A84C78E-77BB-4D96-BD0D-F067057A64B3}" name="Column22" dataDxfId="96">
      <calculatedColumnFormula>IFERROR((IF(BJ$49+1&gt;$D$45,"",IF(ISBLANK(BJ48),"",(IFERROR(INDEX(Raw!$C$1:$EE$33,MATCH($C$47,Raw!$C$1:$C$33,0),MATCH(BJ$36,Raw!$C$1:$EE$1,0)),"-"))))), "")</calculatedColumnFormula>
    </tableColumn>
    <tableColumn id="61" xr3:uid="{BE27F033-944A-4119-ACBA-68AEA12F6AF0}" name="Column23" dataDxfId="95">
      <calculatedColumnFormula>IFERROR((IF(BK$49+1&gt;$D$45,"",IF(ISBLANK(BK48),"",(IFERROR(INDEX(Raw!$C$1:$EE$33,MATCH($C$47,Raw!$C$1:$C$33,0),MATCH(BK$36,Raw!$C$1:$EE$1,0)),"-"))))), "")</calculatedColumnFormula>
    </tableColumn>
    <tableColumn id="62" xr3:uid="{BA1592E0-6524-47DB-87E5-A5BF59DA2208}" name="Column24" dataDxfId="94">
      <calculatedColumnFormula>IFERROR((IF(BL$49+1&gt;$D$45,"",IF(ISBLANK(BL48),"",(IFERROR(INDEX(Raw!$C$1:$EE$33,MATCH($C$47,Raw!$C$1:$C$33,0),MATCH(BL$36,Raw!$C$1:$EE$1,0)),"-"))))), "")</calculatedColumnFormula>
    </tableColumn>
    <tableColumn id="63" xr3:uid="{03FA62A2-12AF-4FF2-B239-3C0982908EB8}" name="Column25" dataDxfId="93">
      <calculatedColumnFormula>IFERROR((IF(BM$49+1&gt;$D$45,"",IF(ISBLANK(BM48),"",(IFERROR(INDEX(Raw!$C$1:$EE$33,MATCH($C$47,Raw!$C$1:$C$33,0),MATCH(BM$36,Raw!$C$1:$EE$1,0)),"-"))))), "")</calculatedColumnFormula>
    </tableColumn>
    <tableColumn id="64" xr3:uid="{C2E10B39-45DD-40BC-9650-0483D76E236A}" name="Column26" dataDxfId="92">
      <calculatedColumnFormula>IFERROR((IF(BN$49+1&gt;$D$45,"",IF(ISBLANK(BN48),"",(IFERROR(INDEX(Raw!$C$1:$EE$33,MATCH($C$47,Raw!$C$1:$C$33,0),MATCH(BN$36,Raw!$C$1:$EE$1,0)),"-"))))), "")</calculatedColumnFormula>
    </tableColumn>
    <tableColumn id="65" xr3:uid="{1E798D1C-B56A-469B-9B5E-DC7E80275AC9}" name="Column27" dataDxfId="91">
      <calculatedColumnFormula>IFERROR((IF(BO$49+1&gt;$D$45,"",IF(ISBLANK(BO48),"",(IFERROR(INDEX(Raw!$C$1:$EE$33,MATCH($C$47,Raw!$C$1:$C$33,0),MATCH(BO$36,Raw!$C$1:$EE$1,0)),"-"))))), "")</calculatedColumnFormula>
    </tableColumn>
    <tableColumn id="66" xr3:uid="{1461CC14-807B-465D-8307-E41215D3DB4D}" name="Column28" dataDxfId="90">
      <calculatedColumnFormula>IFERROR((IF(BP$49+1&gt;$D$45,"",IF(ISBLANK(BP48),"",(IFERROR(INDEX(Raw!$C$1:$EE$33,MATCH($C$47,Raw!$C$1:$C$33,0),MATCH(BP$36,Raw!$C$1:$EE$1,0)),"-"))))), "")</calculatedColumnFormula>
    </tableColumn>
    <tableColumn id="67" xr3:uid="{138344F3-A28C-4DB1-B45A-7054D7E0DF0B}" name="Column29" dataDxfId="89">
      <calculatedColumnFormula>IFERROR((IF(BQ$49+1&gt;$D$45,"",IF(ISBLANK(BQ48),"",(IFERROR(INDEX(Raw!$C$1:$EE$33,MATCH($C$47,Raw!$C$1:$C$33,0),MATCH(BQ$36,Raw!$C$1:$EE$1,0)),"-"))))), "")</calculatedColumnFormula>
    </tableColumn>
    <tableColumn id="68" xr3:uid="{AF4C908D-31C1-4096-B35C-AF08F7E2DCBA}" name="Column30" dataDxfId="88">
      <calculatedColumnFormula>IFERROR((IF(BR$49+1&gt;$D$45,"",IF(ISBLANK(BR48),"",(IFERROR(INDEX(Raw!$C$1:$EE$33,MATCH($C$47,Raw!$C$1:$C$33,0),MATCH(BR$36,Raw!$C$1:$EE$1,0)),"-"))))), "")</calculatedColumnFormula>
    </tableColumn>
    <tableColumn id="69" xr3:uid="{B3B6C072-AE0F-4D7D-8729-D4F88939DA5C}" name="Column31" dataDxfId="87">
      <calculatedColumnFormula>IFERROR((IF(BS$49+1&gt;$D$45,"",IF(ISBLANK(BS48),"",(IFERROR(INDEX(Raw!$C$1:$EE$33,MATCH($C$47,Raw!$C$1:$C$33,0),MATCH(BS$36,Raw!$C$1:$EE$1,0)),"-"))))), "")</calculatedColumnFormula>
    </tableColumn>
    <tableColumn id="70" xr3:uid="{E229E34B-6927-43F5-8137-AEEA32D07546}" name="Column32" dataDxfId="86">
      <calculatedColumnFormula>IFERROR((IF(BT$49+1&gt;$D$45,"",IF(ISBLANK(BT48),"",(IFERROR(INDEX(Raw!$C$1:$EE$33,MATCH($C$47,Raw!$C$1:$C$33,0),MATCH(BT$36,Raw!$C$1:$EE$1,0)),"-"))))), "")</calculatedColumnFormula>
    </tableColumn>
    <tableColumn id="71" xr3:uid="{B8D1577B-A0B6-4548-A8AD-42B3E729EA9B}" name="Column33" dataDxfId="85">
      <calculatedColumnFormula>IFERROR((IF(BU$49+1&gt;$D$45,"",IF(ISBLANK(BU48),"",(IFERROR(INDEX(Raw!$C$1:$EE$33,MATCH($C$47,Raw!$C$1:$C$33,0),MATCH(BU$36,Raw!$C$1:$EE$1,0)),"-"))))), "")</calculatedColumnFormula>
    </tableColumn>
    <tableColumn id="72" xr3:uid="{3438D0AD-7734-4E94-A56C-2A437F202188}" name="Column34" dataDxfId="84">
      <calculatedColumnFormula>IFERROR((IF(BV$49+1&gt;$D$45,"",IF(ISBLANK(BV48),"",(IFERROR(INDEX(Raw!$C$1:$EE$33,MATCH($C$47,Raw!$C$1:$C$33,0),MATCH(BV$36,Raw!$C$1:$EE$1,0)),"-"))))), "")</calculatedColumnFormula>
    </tableColumn>
    <tableColumn id="73" xr3:uid="{14DB7438-A833-46EB-A2F2-91CF69E0913B}" name="Column35" dataDxfId="83">
      <calculatedColumnFormula>IFERROR((IF(BW$49+1&gt;$D$45,"",IF(ISBLANK(BW48),"",(IFERROR(INDEX(Raw!$C$1:$EE$33,MATCH($C$47,Raw!$C$1:$C$33,0),MATCH(BW$36,Raw!$C$1:$EE$1,0)),"-"))))), "")</calculatedColumnFormula>
    </tableColumn>
    <tableColumn id="74" xr3:uid="{CD827977-6629-4114-BF39-CE88E59C7441}" name="Column36" dataDxfId="82">
      <calculatedColumnFormula>IFERROR((IF(BX$49+1&gt;$D$45,"",IF(ISBLANK(BX48),"",(IFERROR(INDEX(Raw!$C$1:$EE$33,MATCH($C$47,Raw!$C$1:$C$33,0),MATCH(BX$36,Raw!$C$1:$EE$1,0)),"-"))))), "")</calculatedColumnFormula>
    </tableColumn>
    <tableColumn id="75" xr3:uid="{5FB7AD25-B1B5-4E22-9C2B-7474752B8D90}" name="Column37" dataDxfId="81">
      <calculatedColumnFormula>IFERROR((IF(BY$49+1&gt;$D$45,"",IF(ISBLANK(BY48),"",(IFERROR(INDEX(Raw!$C$1:$EE$33,MATCH($C$47,Raw!$C$1:$C$33,0),MATCH(BY$36,Raw!$C$1:$EE$1,0)),"-"))))), "")</calculatedColumnFormula>
    </tableColumn>
    <tableColumn id="76" xr3:uid="{43B04889-DD47-4FEC-90C2-F05735465A9B}" name="Column38" dataDxfId="80">
      <calculatedColumnFormula>IFERROR((IF(BZ$49+1&gt;$D$45,"",IF(ISBLANK(BZ48),"",(IFERROR(INDEX(Raw!$C$1:$EE$33,MATCH($C$47,Raw!$C$1:$C$33,0),MATCH(BZ$36,Raw!$C$1:$EE$1,0)),"-"))))), "")</calculatedColumnFormula>
    </tableColumn>
    <tableColumn id="77" xr3:uid="{13B5B32A-0FAA-481C-AE59-7A3104BA3B47}" name="Column39" dataDxfId="79">
      <calculatedColumnFormula>IFERROR((IF(CA$49+1&gt;$D$45,"",IF(ISBLANK(CA48),"",(IFERROR(INDEX(Raw!$C$1:$EE$33,MATCH($C$47,Raw!$C$1:$C$33,0),MATCH(CA$36,Raw!$C$1:$EE$1,0)),"-"))))), "")</calculatedColumnFormula>
    </tableColumn>
    <tableColumn id="78" xr3:uid="{8A736FD3-5E90-49E4-BE41-6F540AAF30F4}" name="Column40" dataDxfId="78">
      <calculatedColumnFormula>IFERROR((IF(CB$49+1&gt;$D$45,"",IF(ISBLANK(CB48),"",(IFERROR(INDEX(Raw!$C$1:$EE$33,MATCH($C$47,Raw!$C$1:$C$33,0),MATCH(CB$36,Raw!$C$1:$EE$1,0)),"-"))))), "")</calculatedColumnFormula>
    </tableColumn>
    <tableColumn id="79" xr3:uid="{DE77E7F9-0F54-4D3C-A1EA-1C9CE6E8E26E}" name="Column41" dataDxfId="77">
      <calculatedColumnFormula>IFERROR((IF(CC$49+1&gt;$D$45,"",IF(ISBLANK(CC48),"",(IFERROR(INDEX(Raw!$C$1:$EE$33,MATCH($C$47,Raw!$C$1:$C$33,0),MATCH(CC$36,Raw!$C$1:$EE$1,0)),"-"))))), "")</calculatedColumnFormula>
    </tableColumn>
    <tableColumn id="80" xr3:uid="{425A40A9-C2E6-495E-88D7-6E7A6C7C0A09}" name="Column42" dataDxfId="76">
      <calculatedColumnFormula>IFERROR((IF(CD$49+1&gt;$D$45,"",IF(ISBLANK(CD48),"",(IFERROR(INDEX(Raw!$C$1:$EE$33,MATCH($C$47,Raw!$C$1:$C$33,0),MATCH(CD$36,Raw!$C$1:$EE$1,0)),"-"))))), "")</calculatedColumnFormula>
    </tableColumn>
    <tableColumn id="81" xr3:uid="{90C4C24F-34FD-4B20-88E9-ACD5B698BA6C}" name="Column43" dataDxfId="75">
      <calculatedColumnFormula>IFERROR((IF(CE$49+1&gt;$D$45,"",IF(ISBLANK(CE48),"",(IFERROR(INDEX(Raw!$C$1:$EE$33,MATCH($C$47,Raw!$C$1:$C$33,0),MATCH(CE$36,Raw!$C$1:$EE$1,0)),"-"))))), "")</calculatedColumnFormula>
    </tableColumn>
    <tableColumn id="82" xr3:uid="{BEC267AF-3A87-443C-8F53-4C56E56E1445}" name="Column44" dataDxfId="74">
      <calculatedColumnFormula>IFERROR((IF(CF$49+1&gt;$D$45,"",IF(ISBLANK(CF48),"",(IFERROR(INDEX(Raw!$C$1:$EE$33,MATCH($C$47,Raw!$C$1:$C$33,0),MATCH(CF$36,Raw!$C$1:$EE$1,0)),"-"))))), "")</calculatedColumnFormula>
    </tableColumn>
    <tableColumn id="83" xr3:uid="{E8B60E30-CA40-4C79-86A0-5FB18391CF4B}" name="Column45" dataDxfId="73">
      <calculatedColumnFormula>IFERROR((IF(CG$49+1&gt;$D$45,"",IF(ISBLANK(CG48),"",(IFERROR(INDEX(Raw!$C$1:$EE$33,MATCH($C$47,Raw!$C$1:$C$33,0),MATCH(CG$36,Raw!$C$1:$EE$1,0)),"-"))))), "")</calculatedColumnFormula>
    </tableColumn>
    <tableColumn id="84" xr3:uid="{E09BEFB5-6111-423C-8A21-7F29005559B7}" name="Column46" dataDxfId="72">
      <calculatedColumnFormula>IFERROR((IF(CH$49+1&gt;$D$45,"",IF(ISBLANK(CH48),"",(IFERROR(INDEX(Raw!$C$1:$EE$33,MATCH($C$47,Raw!$C$1:$C$33,0),MATCH(CH$36,Raw!$C$1:$EE$1,0)),"-"))))), "")</calculatedColumnFormula>
    </tableColumn>
    <tableColumn id="85" xr3:uid="{2F7E0A7A-13C8-4E48-B306-8A161C4E5311}" name="Column47" dataDxfId="71">
      <calculatedColumnFormula>IFERROR((IF(CI$49+1&gt;$D$45,"",IF(ISBLANK(CI48),"",(IFERROR(INDEX(Raw!$C$1:$EE$33,MATCH($C$47,Raw!$C$1:$C$33,0),MATCH(CI$36,Raw!$C$1:$EE$1,0)),"-"))))), "")</calculatedColumnFormula>
    </tableColumn>
    <tableColumn id="86" xr3:uid="{E7BAAA72-047E-45C9-BAF8-1599A8A39C58}" name="Column48" dataDxfId="70">
      <calculatedColumnFormula>IFERROR((IF(CJ$49+1&gt;$D$45,"",IF(ISBLANK(CJ48),"",(IFERROR(INDEX(Raw!$C$1:$EE$33,MATCH($C$47,Raw!$C$1:$C$33,0),MATCH(CJ$36,Raw!$C$1:$EE$1,0)),"-"))))), "")</calculatedColumnFormula>
    </tableColumn>
    <tableColumn id="87" xr3:uid="{401BA40C-A512-41A6-9071-BE112339B7EB}" name="Column49" dataDxfId="69">
      <calculatedColumnFormula>IFERROR((IF(CK$49+1&gt;$D$45,"",IF(ISBLANK(CK48),"",(IFERROR(INDEX(Raw!$C$1:$EE$33,MATCH($C$47,Raw!$C$1:$C$33,0),MATCH(CK$36,Raw!$C$1:$EE$1,0)),"-"))))), "")</calculatedColumnFormula>
    </tableColumn>
    <tableColumn id="88" xr3:uid="{30234597-755F-45F2-AB7C-20441DB6B1E4}" name="Column50" dataDxfId="68">
      <calculatedColumnFormula>IFERROR((IF(CL$49+1&gt;$D$45,"",IF(ISBLANK(CL48),"",(IFERROR(INDEX(Raw!$C$1:$EE$33,MATCH($C$47,Raw!$C$1:$C$33,0),MATCH(CL$36,Raw!$C$1:$EE$1,0)),"-"))))), "")</calculatedColumnFormula>
    </tableColumn>
    <tableColumn id="89" xr3:uid="{D559BC7D-B73B-47C2-8EAC-2DE3C52981DE}" name="Column51" dataDxfId="67">
      <calculatedColumnFormula>IFERROR((IF(CM$49+1&gt;$D$45,"",IF(ISBLANK(CM48),"",(IFERROR(INDEX(Raw!$C$1:$EE$33,MATCH($C$47,Raw!$C$1:$C$33,0),MATCH(CM$36,Raw!$C$1:$EE$1,0)),"-"))))), "")</calculatedColumnFormula>
    </tableColumn>
    <tableColumn id="90" xr3:uid="{E3D38FFA-7BDE-4F0A-A676-BFDD27A63365}" name="Column52" dataDxfId="66">
      <calculatedColumnFormula>IFERROR((IF(CN$49+1&gt;$D$45,"",IF(ISBLANK(CN48),"",(IFERROR(INDEX(Raw!$C$1:$EE$33,MATCH($C$47,Raw!$C$1:$C$33,0),MATCH(CN$36,Raw!$C$1:$EE$1,0)),"-"))))), "")</calculatedColumnFormula>
    </tableColumn>
    <tableColumn id="91" xr3:uid="{08F7B087-3D67-4259-8B4D-1202C67B2D9A}" name="Column53" dataDxfId="65">
      <calculatedColumnFormula>IFERROR((IF(CO$49+1&gt;$D$45,"",IF(ISBLANK(CO48),"",(IFERROR(INDEX(Raw!$C$1:$EE$33,MATCH($C$47,Raw!$C$1:$C$33,0),MATCH(CO$36,Raw!$C$1:$EE$1,0)),"-"))))), "")</calculatedColumnFormula>
    </tableColumn>
    <tableColumn id="92" xr3:uid="{5307757B-099C-4318-B73B-779B61EA07B9}" name="Column54" dataDxfId="64">
      <calculatedColumnFormula>IFERROR((IF(CP$49+1&gt;$D$45,"",IF(ISBLANK(CP48),"",(IFERROR(INDEX(Raw!$C$1:$EE$33,MATCH($C$47,Raw!$C$1:$C$33,0),MATCH(CP$36,Raw!$C$1:$EE$1,0)),"-"))))), "")</calculatedColumnFormula>
    </tableColumn>
    <tableColumn id="93" xr3:uid="{C4D62A4E-1594-4D7C-A4A5-04612094FFDA}" name="Column55" dataDxfId="63">
      <calculatedColumnFormula>IFERROR((IF(CQ$49+1&gt;$D$45,"",IF(ISBLANK(CQ48),"",(IFERROR(INDEX(Raw!$C$1:$EE$33,MATCH($C$47,Raw!$C$1:$C$33,0),MATCH(CQ$36,Raw!$C$1:$EE$1,0)),"-"))))), "")</calculatedColumnFormula>
    </tableColumn>
    <tableColumn id="94" xr3:uid="{9A07D73A-91E1-446F-AC25-66A74D4A35DD}" name="Column56" dataDxfId="62">
      <calculatedColumnFormula>IFERROR((IF(CR$49+1&gt;$D$45,"",IF(ISBLANK(CR48),"",(IFERROR(INDEX(Raw!$C$1:$EE$33,MATCH($C$47,Raw!$C$1:$C$33,0),MATCH(CR$36,Raw!$C$1:$EE$1,0)),"-"))))), "")</calculatedColumnFormula>
    </tableColumn>
    <tableColumn id="95" xr3:uid="{E4A1F9A3-7F8D-4435-B6B2-B9FD78CCF942}" name="Column57" dataDxfId="61">
      <calculatedColumnFormula>IFERROR((IF(CS$49+1&gt;$D$45,"",IF(ISBLANK(CS48),"",(IFERROR(INDEX(Raw!$C$1:$EE$33,MATCH($C$47,Raw!$C$1:$C$33,0),MATCH(CS$36,Raw!$C$1:$EE$1,0)),"-"))))), "")</calculatedColumnFormula>
    </tableColumn>
    <tableColumn id="96" xr3:uid="{788AD4E2-7CFD-4EB7-AA0C-1DB3483A091A}" name="Column58" dataDxfId="60">
      <calculatedColumnFormula>IFERROR((IF(CT$49+1&gt;$D$45,"",IF(ISBLANK(CT48),"",(IFERROR(INDEX(Raw!$C$1:$EE$33,MATCH($C$47,Raw!$C$1:$C$33,0),MATCH(CT$36,Raw!$C$1:$EE$1,0)),"-"))))), "")</calculatedColumnFormula>
    </tableColumn>
    <tableColumn id="97" xr3:uid="{EC6196AF-AAAD-4351-82BB-204D0E702D0B}" name="Column59" dataDxfId="59">
      <calculatedColumnFormula>IFERROR((IF(CU$49+1&gt;$D$45,"",IF(ISBLANK(CU48),"",(IFERROR(INDEX(Raw!$C$1:$EE$33,MATCH($C$47,Raw!$C$1:$C$33,0),MATCH(CU$36,Raw!$C$1:$EE$1,0)),"-"))))), "")</calculatedColumnFormula>
    </tableColumn>
    <tableColumn id="98" xr3:uid="{BEC3B79E-CFC7-4805-8470-85B97FF945A3}" name="Column60" dataDxfId="58">
      <calculatedColumnFormula>IFERROR((IF(CV$49+1&gt;$D$45,"",IF(ISBLANK(CV48),"",(IFERROR(INDEX(Raw!$C$1:$EE$33,MATCH($C$47,Raw!$C$1:$C$33,0),MATCH(CV$36,Raw!$C$1:$EE$1,0)),"-"))))), "")</calculatedColumnFormula>
    </tableColumn>
    <tableColumn id="99" xr3:uid="{069F1EB2-E024-4C91-8E67-1308BB5DD224}" name="Column61" dataDxfId="57">
      <calculatedColumnFormula>IFERROR((IF(CW$49+1&gt;$D$45,"",IF(ISBLANK(CW48),"",(IFERROR(INDEX(Raw!$C$1:$EE$33,MATCH($C$47,Raw!$C$1:$C$33,0),MATCH(CW$36,Raw!$C$1:$EE$1,0)),"-"))))), "")</calculatedColumnFormula>
    </tableColumn>
    <tableColumn id="100" xr3:uid="{3A237FDE-3DC0-44B0-9712-287794002377}" name="Column62" dataDxfId="56">
      <calculatedColumnFormula>IFERROR((IF(CX$49+1&gt;$D$45,"",IF(ISBLANK(CX48),"",(IFERROR(INDEX(Raw!$C$1:$EE$33,MATCH($C$47,Raw!$C$1:$C$33,0),MATCH(CX$36,Raw!$C$1:$EE$1,0)),"-"))))), "")</calculatedColumnFormula>
    </tableColumn>
    <tableColumn id="101" xr3:uid="{F8F28DC3-8D16-4743-BD85-C5066B59CEB1}" name="Column63" dataDxfId="55">
      <calculatedColumnFormula>IFERROR((IF(CY$49+1&gt;$D$45,"",IF(ISBLANK(CY48),"",(IFERROR(INDEX(Raw!$C$1:$EE$33,MATCH($C$47,Raw!$C$1:$C$33,0),MATCH(CY$36,Raw!$C$1:$EE$1,0)),"-"))))), "")</calculatedColumnFormula>
    </tableColumn>
    <tableColumn id="102" xr3:uid="{78D511C0-976A-4AD1-9A91-499D7FC79B14}" name="Column64" dataDxfId="54">
      <calculatedColumnFormula>IFERROR((IF(CZ$49+1&gt;$D$45,"",IF(ISBLANK(CZ48),"",(IFERROR(INDEX(Raw!$C$1:$EE$33,MATCH($C$47,Raw!$C$1:$C$33,0),MATCH(CZ$36,Raw!$C$1:$EE$1,0)),"-"))))), "")</calculatedColumnFormula>
    </tableColumn>
    <tableColumn id="103" xr3:uid="{45640A00-F856-4981-9A8E-49073E39890C}" name="Column65" dataDxfId="53">
      <calculatedColumnFormula>IFERROR((IF(DA$49+1&gt;$D$45,"",IF(ISBLANK(DA48),"",(IFERROR(INDEX(Raw!$C$1:$EE$33,MATCH($C$47,Raw!$C$1:$C$33,0),MATCH(DA$36,Raw!$C$1:$EE$1,0)),"-"))))), "")</calculatedColumnFormula>
    </tableColumn>
    <tableColumn id="104" xr3:uid="{89646024-4FF7-4AA7-A321-15535DF399F5}" name="Column66" dataDxfId="52">
      <calculatedColumnFormula>IFERROR((IF(DB$49+1&gt;$D$45,"",IF(ISBLANK(DB48),"",(IFERROR(INDEX(Raw!$C$1:$EE$33,MATCH($C$47,Raw!$C$1:$C$33,0),MATCH(DB$36,Raw!$C$1:$EE$1,0)),"-"))))), "")</calculatedColumnFormula>
    </tableColumn>
    <tableColumn id="105" xr3:uid="{C7A922FF-9945-4923-9882-EB1AD3E53BC7}" name="Column67" dataDxfId="51">
      <calculatedColumnFormula>IFERROR((IF(DC$49+1&gt;$D$45,"",IF(ISBLANK(DC48),"",(IFERROR(INDEX(Raw!$C$1:$EE$33,MATCH($C$47,Raw!$C$1:$C$33,0),MATCH(DC$36,Raw!$C$1:$EE$1,0)),"-"))))), "")</calculatedColumnFormula>
    </tableColumn>
    <tableColumn id="106" xr3:uid="{F8B56C47-7820-4C70-A058-131DD4A7C3C6}" name="Column68" dataDxfId="50">
      <calculatedColumnFormula>IFERROR((IF(DD$49+1&gt;$D$45,"",IF(ISBLANK(DD48),"",(IFERROR(INDEX(Raw!$C$1:$EE$33,MATCH($C$47,Raw!$C$1:$C$33,0),MATCH(DD$36,Raw!$C$1:$EE$1,0)),"-"))))), "")</calculatedColumnFormula>
    </tableColumn>
    <tableColumn id="107" xr3:uid="{568A4266-FB0E-4DB3-8B92-DDA573D6CF1C}" name="Column69" dataDxfId="49">
      <calculatedColumnFormula>IFERROR((IF(DE$49+1&gt;$D$45,"",IF(ISBLANK(DE48),"",(IFERROR(INDEX(Raw!$C$1:$EE$33,MATCH($C$47,Raw!$C$1:$C$33,0),MATCH(DE$36,Raw!$C$1:$EE$1,0)),"-"))))), "")</calculatedColumnFormula>
    </tableColumn>
    <tableColumn id="108" xr3:uid="{91308EF7-D312-4831-A3D2-4A1A615F2B6F}" name="Column70" dataDxfId="48">
      <calculatedColumnFormula>IFERROR((IF(DF$49+1&gt;$D$45,"",IF(ISBLANK(DF48),"",(IFERROR(INDEX(Raw!$C$1:$EE$33,MATCH($C$47,Raw!$C$1:$C$33,0),MATCH(DF$36,Raw!$C$1:$EE$1,0)),"-"))))), "")</calculatedColumnFormula>
    </tableColumn>
    <tableColumn id="109" xr3:uid="{B8CFDC69-78D5-49CE-823D-97A806C8ED53}" name="Column71" dataDxfId="47">
      <calculatedColumnFormula>IFERROR((IF(DG$49+1&gt;$D$45,"",IF(ISBLANK(DG48),"",(IFERROR(INDEX(Raw!$C$1:$EE$33,MATCH($C$47,Raw!$C$1:$C$33,0),MATCH(DG$36,Raw!$C$1:$EE$1,0)),"-"))))), "")</calculatedColumnFormula>
    </tableColumn>
    <tableColumn id="110" xr3:uid="{D15153ED-ED50-4EFE-9FFF-92CEFAD9D983}" name="Column72" dataDxfId="46">
      <calculatedColumnFormula>IFERROR((IF(DH$49+1&gt;$D$45,"",IF(ISBLANK(DH48),"",(IFERROR(INDEX(Raw!$C$1:$EE$33,MATCH($C$47,Raw!$C$1:$C$33,0),MATCH(DH$36,Raw!$C$1:$EE$1,0)),"-"))))), "")</calculatedColumnFormula>
    </tableColumn>
    <tableColumn id="111" xr3:uid="{25C9AC88-D639-4169-BD2B-C3527A8D135D}" name="Column73" dataDxfId="45">
      <calculatedColumnFormula>IFERROR((IF(DI$49+1&gt;$D$45,"",IF(ISBLANK(DI48),"",(IFERROR(INDEX(Raw!$C$1:$EE$33,MATCH($C$47,Raw!$C$1:$C$33,0),MATCH(DI$36,Raw!$C$1:$EE$1,0)),"-"))))), "")</calculatedColumnFormula>
    </tableColumn>
    <tableColumn id="112" xr3:uid="{9E66638D-693A-4B76-A6AF-5E1593A4DEC4}" name="Column74" dataDxfId="44">
      <calculatedColumnFormula>IFERROR((IF(DJ$49+1&gt;$D$45,"",IF(ISBLANK(DJ48),"",(IFERROR(INDEX(Raw!$C$1:$EE$33,MATCH($C$47,Raw!$C$1:$C$33,0),MATCH(DJ$36,Raw!$C$1:$EE$1,0)),"-"))))), "")</calculatedColumnFormula>
    </tableColumn>
    <tableColumn id="113" xr3:uid="{69475110-15EF-456E-A771-FA3C2A543148}" name="Column75" dataDxfId="43">
      <calculatedColumnFormula>IFERROR((IF(DK$49+1&gt;$D$45,"",IF(ISBLANK(DK48),"",(IFERROR(INDEX(Raw!$C$1:$EE$33,MATCH($C$47,Raw!$C$1:$C$33,0),MATCH(DK$36,Raw!$C$1:$EE$1,0)),"-"))))), "")</calculatedColumnFormula>
    </tableColumn>
    <tableColumn id="114" xr3:uid="{AE9DCC00-DFDD-4C0C-801A-C826B039405C}" name="Column76" dataDxfId="42">
      <calculatedColumnFormula>IFERROR((IF(DL$49+1&gt;$D$45,"",IF(ISBLANK(DL48),"",(IFERROR(INDEX(Raw!$C$1:$EE$33,MATCH($C$47,Raw!$C$1:$C$33,0),MATCH(DL$36,Raw!$C$1:$EE$1,0)),"-"))))), "")</calculatedColumnFormula>
    </tableColumn>
    <tableColumn id="115" xr3:uid="{3126B357-9D52-4A51-86A3-71ACF7BC6EF6}" name="Column77" dataDxfId="41">
      <calculatedColumnFormula>IFERROR((IF(DM$49+1&gt;$D$45,"",IF(ISBLANK(DM48),"",(IFERROR(INDEX(Raw!$C$1:$EE$33,MATCH($C$47,Raw!$C$1:$C$33,0),MATCH(DM$36,Raw!$C$1:$EE$1,0)),"-"))))), "")</calculatedColumnFormula>
    </tableColumn>
    <tableColumn id="116" xr3:uid="{C0338FE7-4B50-42CC-8BF7-D449780EA4FD}" name="Column78" dataDxfId="40">
      <calculatedColumnFormula>IFERROR((IF(DN$49+1&gt;$D$45,"",IF(ISBLANK(DN48),"",(IFERROR(INDEX(Raw!$C$1:$EE$33,MATCH($C$47,Raw!$C$1:$C$33,0),MATCH(DN$36,Raw!$C$1:$EE$1,0)),"-"))))), "")</calculatedColumnFormula>
    </tableColumn>
    <tableColumn id="117" xr3:uid="{29A59CB9-6171-4E7A-B805-BDBBE48DAF2E}" name="Column79" dataDxfId="39">
      <calculatedColumnFormula>IFERROR((IF(DO$49+1&gt;$D$45,"",IF(ISBLANK(DO48),"",(IFERROR(INDEX(Raw!$C$1:$EE$33,MATCH($C$47,Raw!$C$1:$C$33,0),MATCH(DO$36,Raw!$C$1:$EE$1,0)),"-"))))), "")</calculatedColumnFormula>
    </tableColumn>
    <tableColumn id="118" xr3:uid="{D159FBD8-8B00-493B-9140-27CBD1F6202F}" name="Column80" dataDxfId="38">
      <calculatedColumnFormula>IFERROR((IF(DP$49+1&gt;$D$45,"",IF(ISBLANK(DP48),"",(IFERROR(INDEX(Raw!$C$1:$EE$33,MATCH($C$47,Raw!$C$1:$C$33,0),MATCH(DP$36,Raw!$C$1:$EE$1,0)),"-"))))), "")</calculatedColumnFormula>
    </tableColumn>
    <tableColumn id="119" xr3:uid="{1B9F6437-80C1-4664-972A-DBA9DC9EA547}" name="Column81" dataDxfId="37">
      <calculatedColumnFormula>IFERROR((IF(DQ$49+1&gt;$D$45,"",IF(ISBLANK(DQ48),"",(IFERROR(INDEX(Raw!$C$1:$EE$33,MATCH($C$47,Raw!$C$1:$C$33,0),MATCH(DQ$36,Raw!$C$1:$EE$1,0)),"-"))))), "")</calculatedColumnFormula>
    </tableColumn>
    <tableColumn id="120" xr3:uid="{FE2B64E1-C76A-41EC-BC1B-DA1DE3D3BEAF}" name="Column82" dataDxfId="36">
      <calculatedColumnFormula>IFERROR((IF(DR$49+1&gt;$D$45,"",IF(ISBLANK(DR48),"",(IFERROR(INDEX(Raw!$C$1:$EE$33,MATCH($C$47,Raw!$C$1:$C$33,0),MATCH(DR$36,Raw!$C$1:$EE$1,0)),"-"))))), "")</calculatedColumnFormula>
    </tableColumn>
    <tableColumn id="121" xr3:uid="{ED29850F-F76C-4EF7-BD67-12BCC56FD5B0}" name="Column83" dataDxfId="35">
      <calculatedColumnFormula>IFERROR((IF(DS$49+1&gt;$D$45,"",IF(ISBLANK(DS48),"",(IFERROR(INDEX(Raw!$C$1:$EE$33,MATCH($C$47,Raw!$C$1:$C$33,0),MATCH(DS$36,Raw!$C$1:$EE$1,0)),"-"))))), "")</calculatedColumnFormula>
    </tableColumn>
    <tableColumn id="122" xr3:uid="{3D35AA10-2369-42AF-BF2C-56C81BBC071C}" name="Column84" dataDxfId="34">
      <calculatedColumnFormula>IFERROR((IF(DT$49+1&gt;$D$45,"",IF(ISBLANK(DT48),"",(IFERROR(INDEX(Raw!$C$1:$EE$33,MATCH($C$47,Raw!$C$1:$C$33,0),MATCH(DT$36,Raw!$C$1:$EE$1,0)),"-"))))), "")</calculatedColumnFormula>
    </tableColumn>
    <tableColumn id="123" xr3:uid="{AB5E9933-84F7-46E4-B881-0F72BB96C292}" name="Column85" dataDxfId="33">
      <calculatedColumnFormula>IFERROR((IF(DU$49+1&gt;$D$45,"",IF(ISBLANK(DU48),"",(IFERROR(INDEX(Raw!$C$1:$EE$33,MATCH($C$47,Raw!$C$1:$C$33,0),MATCH(DU$36,Raw!$C$1:$EE$1,0)),"-"))))), "")</calculatedColumnFormula>
    </tableColumn>
    <tableColumn id="124" xr3:uid="{0209751A-C0F3-4868-A24D-6E6A8A2316E4}" name="Column86" dataDxfId="32">
      <calculatedColumnFormula>IFERROR((IF(DV$49+1&gt;$D$45,"",IF(ISBLANK(DV48),"",(IFERROR(INDEX(Raw!$C$1:$EE$33,MATCH($C$47,Raw!$C$1:$C$33,0),MATCH(DV$36,Raw!$C$1:$EE$1,0)),"-"))))), "")</calculatedColumnFormula>
    </tableColumn>
    <tableColumn id="125" xr3:uid="{3C9E6CE1-2E7A-4160-9567-FE1157FE7BC1}" name="Column87" dataDxfId="31">
      <calculatedColumnFormula>IFERROR((IF(DW$49+1&gt;$D$45,"",IF(ISBLANK(DW48),"",(IFERROR(INDEX(Raw!$C$1:$EE$33,MATCH($C$47,Raw!$C$1:$C$33,0),MATCH(DW$36,Raw!$C$1:$EE$1,0)),"-"))))), "")</calculatedColumnFormula>
    </tableColumn>
    <tableColumn id="126" xr3:uid="{3635747B-281F-49EC-A613-0C5BFC3F17C8}" name="Column88" dataDxfId="30">
      <calculatedColumnFormula>IFERROR((IF(DX$49+1&gt;$D$45,"",IF(ISBLANK(DX48),"",(IFERROR(INDEX(Raw!$C$1:$EE$33,MATCH($C$47,Raw!$C$1:$C$33,0),MATCH(DX$36,Raw!$C$1:$EE$1,0)),"-"))))), "")</calculatedColumnFormula>
    </tableColumn>
    <tableColumn id="127" xr3:uid="{7523B2F8-E016-407E-BCDE-84CB285DB0A1}" name="Column89" dataDxfId="29">
      <calculatedColumnFormula>IFERROR((IF(DY$49+1&gt;$D$45,"",IF(ISBLANK(DY48),"",(IFERROR(INDEX(Raw!$C$1:$EE$33,MATCH($C$47,Raw!$C$1:$C$33,0),MATCH(DY$36,Raw!$C$1:$EE$1,0)),"-"))))), "")</calculatedColumnFormula>
    </tableColumn>
    <tableColumn id="128" xr3:uid="{E10C3A68-2741-484A-BFF7-957E78095057}" name="Column90" dataDxfId="28">
      <calculatedColumnFormula>IFERROR((IF(DZ$49+1&gt;$D$45,"",IF(ISBLANK(DZ48),"",(IFERROR(INDEX(Raw!$C$1:$EE$33,MATCH($C$47,Raw!$C$1:$C$33,0),MATCH(DZ$36,Raw!$C$1:$EE$1,0)),"-"))))), "")</calculatedColumnFormula>
    </tableColumn>
    <tableColumn id="129" xr3:uid="{D7B1B561-CB76-4514-AE5E-246937295267}" name="Column91" dataDxfId="27">
      <calculatedColumnFormula>IFERROR((IF(EA$49+1&gt;$D$45,"",IF(ISBLANK(EA48),"",(IFERROR(INDEX(Raw!$C$1:$EE$33,MATCH($C$47,Raw!$C$1:$C$33,0),MATCH(EA$36,Raw!$C$1:$EE$1,0)),"-"))))), "")</calculatedColumnFormula>
    </tableColumn>
    <tableColumn id="130" xr3:uid="{BE22CF27-BAD9-4A90-AA65-B5C243F9B0A4}" name="Column92" dataDxfId="26">
      <calculatedColumnFormula>IFERROR((IF(EB$49+1&gt;$D$45,"",IF(ISBLANK(EB48),"",(IFERROR(INDEX(Raw!$C$1:$EE$33,MATCH($C$47,Raw!$C$1:$C$33,0),MATCH(EB$36,Raw!$C$1:$EE$1,0)),"-"))))), "")</calculatedColumnFormula>
    </tableColumn>
    <tableColumn id="131" xr3:uid="{DD6FB124-1ED1-451B-BBEA-B94ACBAF8B12}" name="Column93" dataDxfId="25">
      <calculatedColumnFormula>IFERROR((IF(EC$49+1&gt;$D$45,"",IF(ISBLANK(EC48),"",(IFERROR(INDEX(Raw!$C$1:$EE$33,MATCH($C$47,Raw!$C$1:$C$33,0),MATCH(EC$36,Raw!$C$1:$EE$1,0)),"-"))))), "")</calculatedColumnFormula>
    </tableColumn>
    <tableColumn id="132" xr3:uid="{1B9919AA-759F-4848-BE6B-2FE38B941030}" name="Column94" dataDxfId="24">
      <calculatedColumnFormula>IFERROR((IF(ED$49+1&gt;$D$45,"",IF(ISBLANK(ED48),"",(IFERROR(INDEX(Raw!$C$1:$EE$33,MATCH($C$47,Raw!$C$1:$C$33,0),MATCH(ED$36,Raw!$C$1:$EE$1,0)),"-"))))), "")</calculatedColumnFormula>
    </tableColumn>
    <tableColumn id="133" xr3:uid="{8165ACAE-7F13-4AE5-AF44-4F012CC1B4B3}" name="Column95" dataDxfId="23">
      <calculatedColumnFormula>IFERROR((IF(EE$49+1&gt;$D$45,"",IF(ISBLANK(EE48),"",(IFERROR(INDEX(Raw!$C$1:$EE$33,MATCH($C$47,Raw!$C$1:$C$33,0),MATCH(EE$36,Raw!$C$1:$EE$1,0)),"-"))))), "")</calculatedColumnFormula>
    </tableColumn>
  </tableColumns>
  <tableStyleInfo name="Table Style 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8914C-2B16-40DB-B31D-96DC3A15823A}">
  <dimension ref="B2:V83"/>
  <sheetViews>
    <sheetView tabSelected="1" zoomScale="55" zoomScaleNormal="55" workbookViewId="0">
      <selection activeCell="B2" sqref="B2"/>
    </sheetView>
  </sheetViews>
  <sheetFormatPr defaultRowHeight="14.6" x14ac:dyDescent="0.4"/>
  <cols>
    <col min="2" max="2" width="28.921875" customWidth="1"/>
    <col min="3" max="3" width="10.53515625" customWidth="1"/>
  </cols>
  <sheetData>
    <row r="2" spans="2:22" x14ac:dyDescent="0.4">
      <c r="C2" s="15" t="str">
        <f>TEXT((C3&amp;" "&amp;C4),"MMm-YY")</f>
        <v>Jul-24</v>
      </c>
      <c r="J2" t="s">
        <v>184</v>
      </c>
    </row>
    <row r="3" spans="2:22" ht="19.850000000000001" customHeight="1" x14ac:dyDescent="0.4">
      <c r="B3" s="33" t="s">
        <v>6</v>
      </c>
      <c r="C3" s="34" t="s">
        <v>1</v>
      </c>
    </row>
    <row r="4" spans="2:22" ht="19.850000000000001" customHeight="1" x14ac:dyDescent="0.4">
      <c r="B4" s="22" t="s">
        <v>7</v>
      </c>
      <c r="C4" s="35">
        <v>2024</v>
      </c>
    </row>
    <row r="6" spans="2:22" x14ac:dyDescent="0.4">
      <c r="B6" s="8"/>
      <c r="C6" s="18"/>
    </row>
    <row r="7" spans="2:22" x14ac:dyDescent="0.4">
      <c r="B7" s="19" t="s">
        <v>40</v>
      </c>
      <c r="C7" s="10" t="str">
        <f>IF(ISBLANK($C$2),"",(TEXT(($C$2),"mmm-yy")))</f>
        <v>Jul-24</v>
      </c>
      <c r="D7" s="10" t="str">
        <f>(TEXT(DATE(YEAR(C7),MONTH(C7)+1,DAY(C7)),"MMM-YY"))</f>
        <v>Aug-24</v>
      </c>
      <c r="E7" s="10" t="str">
        <f t="shared" ref="E7:M7" si="0">(TEXT(DATE(YEAR(D7),MONTH(D7)+1,DAY(D7)),"MMM-YY"))</f>
        <v>Sep-24</v>
      </c>
      <c r="F7" s="10" t="str">
        <f t="shared" si="0"/>
        <v>Oct-24</v>
      </c>
      <c r="G7" s="10" t="str">
        <f t="shared" si="0"/>
        <v>Nov-24</v>
      </c>
      <c r="H7" s="10" t="str">
        <f t="shared" si="0"/>
        <v>Dec-24</v>
      </c>
      <c r="I7" s="10" t="str">
        <f t="shared" si="0"/>
        <v>Jan-25</v>
      </c>
      <c r="J7" s="10" t="str">
        <f t="shared" si="0"/>
        <v>Feb-25</v>
      </c>
      <c r="K7" s="10" t="str">
        <f t="shared" si="0"/>
        <v>Mar-25</v>
      </c>
      <c r="L7" s="10" t="str">
        <f t="shared" si="0"/>
        <v>Apr-25</v>
      </c>
      <c r="M7" s="10" t="str">
        <f t="shared" si="0"/>
        <v>May-25</v>
      </c>
      <c r="P7" s="5" t="str">
        <f>IFERROR(IF(DATEVALUE(M7)&gt;=DATEVALUE($EF$1),"",(TEXT(DATE(YEAR(M7),MONTH(M7)+1,DAY(M7)),"MMM-YY"))),"")</f>
        <v/>
      </c>
      <c r="Q7" s="5" t="str">
        <f>IFERROR(IF(DATEVALUE(P7)&gt;=DATEVALUE($EF$1),"",(TEXT(DATE(YEAR(P7),MONTH(P7)+1,DAY(P7)),"MMM-YY"))),"")</f>
        <v/>
      </c>
    </row>
    <row r="8" spans="2:22" x14ac:dyDescent="0.4">
      <c r="B8" s="32" t="s">
        <v>34</v>
      </c>
      <c r="C8" s="12">
        <f ca="1">IF(ISBLANK($C$2),"",(IFERROR(INDEX(Raw!$C$1:$EE$33,MATCH($B8,Raw!$C$1:$C$33,0),MATCH(C7,Raw!$C$1:$EE$1,0)),"")))</f>
        <v>1.4237530892543235</v>
      </c>
      <c r="D8" s="12">
        <f ca="1">IF(ISBLANK($C$2),"",(IFERROR(INDEX(Raw!$C$1:$EE$33,MATCH($B8,Raw!$C$1:$C$33,0),MATCH(D7,Raw!$C$1:$EE$1,0)),"")))</f>
        <v>1.1021254360803523</v>
      </c>
      <c r="E8" s="12">
        <f ca="1">IF(ISBLANK($C$2),"",(IFERROR(INDEX(Raw!$C$1:$EE$33,MATCH($B8,Raw!$C$1:$C$33,0),MATCH(E7,Raw!$C$1:$EE$1,0)),"")))</f>
        <v>1.4816275126422438</v>
      </c>
      <c r="F8" s="12">
        <f ca="1">IF(ISBLANK($C$2),"",(IFERROR(INDEX(Raw!$C$1:$EE$33,MATCH($B8,Raw!$C$1:$C$33,0),MATCH(F7,Raw!$C$1:$EE$1,0)),"")))</f>
        <v>1.8536547655575282</v>
      </c>
      <c r="G8" s="12">
        <f ca="1">IF(ISBLANK($C$2),"",(IFERROR(INDEX(Raw!$C$1:$EE$33,MATCH($B8,Raw!$C$1:$C$33,0),MATCH(G7,Raw!$C$1:$EE$1,0)),"")))</f>
        <v>1.738378465264643</v>
      </c>
      <c r="H8" s="12">
        <f ca="1">IF(ISBLANK($C$2),"",(IFERROR(INDEX(Raw!$C$1:$EE$33,MATCH($B8,Raw!$C$1:$C$33,0),MATCH(H7,Raw!$C$1:$EE$1,0)),"")))</f>
        <v>1.9372689245384491</v>
      </c>
      <c r="I8" s="12">
        <f ca="1">IF(ISBLANK($C$2),"",(IFERROR(INDEX(Raw!$C$1:$EE$33,MATCH($B8,Raw!$C$1:$C$33,0),MATCH(I7,Raw!$C$1:$EE$1,0)),"")))</f>
        <v>1.9906614151262829</v>
      </c>
      <c r="J8" s="12">
        <f ca="1">IF(ISBLANK($C$2),"",(IFERROR(INDEX(Raw!$C$1:$EE$33,MATCH($B8,Raw!$C$1:$C$33,0),MATCH(J7,Raw!$C$1:$EE$1,0)),"")))</f>
        <v>1.4825801308557682</v>
      </c>
      <c r="K8" s="12">
        <f ca="1">IF(ISBLANK($C$2),"",(IFERROR(INDEX(Raw!$C$1:$EE$33,MATCH($B8,Raw!$C$1:$C$33,0),MATCH(K7,Raw!$C$1:$EE$1,0)),"")))</f>
        <v>1.1029104960990148</v>
      </c>
      <c r="L8" s="12">
        <f ca="1">IF(ISBLANK($C$2),"",(IFERROR(INDEX(Raw!$C$1:$EE$33,MATCH($B8,Raw!$C$1:$C$33,0),MATCH(L7,Raw!$C$1:$EE$1,0)),"")))</f>
        <v>1.6685650287953031</v>
      </c>
      <c r="M8" s="12">
        <f ca="1">IF(ISBLANK($C$2),"",(IFERROR(INDEX(Raw!$C$1:$EE$33,MATCH($B8,Raw!$C$1:$C$33,0),MATCH(M7,Raw!$C$1:$EE$1,0)),"")))</f>
        <v>1.1379321278630243</v>
      </c>
      <c r="P8" s="12" t="str">
        <f ca="1">(IFERROR(INDEX(Raw!$C$1:$EE$33,MATCH(#REF!,Raw!$C$1:$C$33,0),MATCH(P$79,Raw!$C$1:$EE$1,0)),""))</f>
        <v/>
      </c>
      <c r="Q8" s="12" t="str">
        <f ca="1">(IFERROR(INDEX(Raw!$C$1:$EE$33,MATCH(#REF!,Raw!$C$1:$C$33,0),MATCH(Q$79,Raw!$C$1:$EE$1,0)),""))</f>
        <v/>
      </c>
    </row>
    <row r="11" spans="2:22" x14ac:dyDescent="0.4">
      <c r="R11" s="20"/>
      <c r="S11" s="20"/>
      <c r="T11" s="20"/>
      <c r="U11" s="20"/>
      <c r="V11" s="20"/>
    </row>
    <row r="12" spans="2:22" x14ac:dyDescent="0.4">
      <c r="R12" s="20"/>
      <c r="S12" s="20"/>
      <c r="T12" s="20"/>
      <c r="U12" s="20"/>
      <c r="V12" s="20"/>
    </row>
    <row r="13" spans="2:22" x14ac:dyDescent="0.4">
      <c r="R13" s="20"/>
      <c r="S13" s="20"/>
      <c r="T13" s="20"/>
      <c r="U13" s="20"/>
      <c r="V13" s="20"/>
    </row>
    <row r="14" spans="2:22" x14ac:dyDescent="0.4">
      <c r="R14" s="20"/>
      <c r="S14" s="20"/>
      <c r="T14" s="20"/>
      <c r="U14" s="20"/>
      <c r="V14" s="20"/>
    </row>
    <row r="15" spans="2:22" x14ac:dyDescent="0.4">
      <c r="R15" s="20"/>
      <c r="S15" s="20"/>
      <c r="T15" s="20"/>
      <c r="U15" s="20"/>
      <c r="V15" s="20"/>
    </row>
    <row r="16" spans="2:22" x14ac:dyDescent="0.4">
      <c r="R16" s="20"/>
      <c r="S16" s="20"/>
      <c r="T16" s="20"/>
      <c r="U16" s="20"/>
      <c r="V16" s="20"/>
    </row>
    <row r="17" spans="2:22" x14ac:dyDescent="0.4">
      <c r="R17" s="20"/>
      <c r="S17" s="20"/>
      <c r="T17" s="20"/>
      <c r="U17" s="20"/>
      <c r="V17" s="20"/>
    </row>
    <row r="18" spans="2:22" x14ac:dyDescent="0.4">
      <c r="R18" s="20"/>
      <c r="S18" s="20"/>
      <c r="T18" s="20"/>
      <c r="U18" s="20"/>
      <c r="V18" s="20"/>
    </row>
    <row r="19" spans="2:22" x14ac:dyDescent="0.4">
      <c r="R19" s="20"/>
      <c r="S19" s="20"/>
      <c r="T19" s="20"/>
      <c r="U19" s="20"/>
      <c r="V19" s="20"/>
    </row>
    <row r="20" spans="2:22" x14ac:dyDescent="0.4">
      <c r="R20" s="20"/>
      <c r="S20" s="20"/>
      <c r="T20" s="20"/>
      <c r="U20" s="20"/>
      <c r="V20" s="20"/>
    </row>
    <row r="21" spans="2:22" x14ac:dyDescent="0.4">
      <c r="R21" s="21"/>
      <c r="S21" s="21"/>
      <c r="T21" s="21"/>
      <c r="U21" s="21"/>
      <c r="V21" s="21"/>
    </row>
    <row r="26" spans="2:22" x14ac:dyDescent="0.4">
      <c r="B26" s="19" t="s">
        <v>40</v>
      </c>
      <c r="C26" s="10" t="str">
        <f>IF(ISBLANK($C$2),"",(TEXT(($C$2),"mmm-yy")))</f>
        <v>Jul-24</v>
      </c>
      <c r="D26" s="10" t="str">
        <f>(TEXT(DATE(YEAR(C26),MONTH(C26)+1,DAY(C26)),"MMM-YY"))</f>
        <v>Aug-24</v>
      </c>
      <c r="E26" s="10" t="str">
        <f t="shared" ref="E26:M26" si="1">(TEXT(DATE(YEAR(D26),MONTH(D26)+1,DAY(D26)),"MMM-YY"))</f>
        <v>Sep-24</v>
      </c>
      <c r="F26" s="10" t="str">
        <f t="shared" si="1"/>
        <v>Oct-24</v>
      </c>
      <c r="G26" s="10" t="str">
        <f t="shared" si="1"/>
        <v>Nov-24</v>
      </c>
      <c r="H26" s="10" t="str">
        <f t="shared" si="1"/>
        <v>Dec-24</v>
      </c>
      <c r="I26" s="10" t="str">
        <f t="shared" si="1"/>
        <v>Jan-25</v>
      </c>
      <c r="J26" s="10" t="str">
        <f t="shared" si="1"/>
        <v>Feb-25</v>
      </c>
      <c r="K26" s="10" t="str">
        <f t="shared" si="1"/>
        <v>Mar-25</v>
      </c>
      <c r="L26" s="10" t="str">
        <f t="shared" si="1"/>
        <v>Apr-25</v>
      </c>
      <c r="M26" s="10" t="str">
        <f t="shared" si="1"/>
        <v>May-25</v>
      </c>
      <c r="P26" s="5" t="str">
        <f>IFERROR(IF(DATEVALUE(M26)&gt;=DATEVALUE($EF$1),"",(TEXT(DATE(YEAR(M26),MONTH(M26)+1,DAY(M26)),"MMM-YY"))),"")</f>
        <v/>
      </c>
      <c r="Q26" s="5" t="str">
        <f>IFERROR(IF(DATEVALUE(P26)&gt;=DATEVALUE($EF$1),"",(TEXT(DATE(YEAR(P26),MONTH(P26)+1,DAY(P26)),"MMM-YY"))),"")</f>
        <v/>
      </c>
    </row>
    <row r="27" spans="2:22" x14ac:dyDescent="0.4">
      <c r="B27" s="32" t="s">
        <v>27</v>
      </c>
      <c r="C27" s="12">
        <f ca="1">IF(ISBLANK($C$2),"",(IFERROR(INDEX(Raw!$C$1:$EE$33,MATCH($B27,Raw!$C$1:$C$33,0),MATCH(C26,Raw!$C$1:$EE$1,0)),"")))</f>
        <v>0.65342011878842621</v>
      </c>
      <c r="D27" s="12">
        <f ca="1">IF(ISBLANK($C$2),"",(IFERROR(INDEX(Raw!$C$1:$EE$33,MATCH($B27,Raw!$C$1:$C$33,0),MATCH(D26,Raw!$C$1:$EE$1,0)),"")))</f>
        <v>0.64553863954133917</v>
      </c>
      <c r="E27" s="12">
        <f ca="1">IF(ISBLANK($C$2),"",(IFERROR(INDEX(Raw!$C$1:$EE$33,MATCH($B27,Raw!$C$1:$C$33,0),MATCH(E26,Raw!$C$1:$EE$1,0)),"")))</f>
        <v>0.47858841138895092</v>
      </c>
      <c r="F27" s="12">
        <f ca="1">IF(ISBLANK($C$2),"",(IFERROR(INDEX(Raw!$C$1:$EE$33,MATCH($B27,Raw!$C$1:$C$33,0),MATCH(F26,Raw!$C$1:$EE$1,0)),"")))</f>
        <v>6.8056617130420771E-2</v>
      </c>
      <c r="G27" s="12">
        <f ca="1">IF(ISBLANK($C$2),"",(IFERROR(INDEX(Raw!$C$1:$EE$33,MATCH($B27,Raw!$C$1:$C$33,0),MATCH(G26,Raw!$C$1:$EE$1,0)),"")))</f>
        <v>0.65742948820821656</v>
      </c>
      <c r="H27" s="12">
        <f ca="1">IF(ISBLANK($C$2),"",(IFERROR(INDEX(Raw!$C$1:$EE$33,MATCH($B27,Raw!$C$1:$C$33,0),MATCH(H26,Raw!$C$1:$EE$1,0)),"")))</f>
        <v>0.97936444585281957</v>
      </c>
      <c r="I27" s="12">
        <f ca="1">IF(ISBLANK($C$2),"",(IFERROR(INDEX(Raw!$C$1:$EE$33,MATCH($B27,Raw!$C$1:$C$33,0),MATCH(I26,Raw!$C$1:$EE$1,0)),"")))</f>
        <v>0.26415308776781787</v>
      </c>
      <c r="J27" s="12">
        <f ca="1">IF(ISBLANK($C$2),"",(IFERROR(INDEX(Raw!$C$1:$EE$33,MATCH($B27,Raw!$C$1:$C$33,0),MATCH(J26,Raw!$C$1:$EE$1,0)),"")))</f>
        <v>0.10239877360387872</v>
      </c>
      <c r="K27" s="12">
        <f ca="1">IF(ISBLANK($C$2),"",(IFERROR(INDEX(Raw!$C$1:$EE$33,MATCH($B27,Raw!$C$1:$C$33,0),MATCH(K26,Raw!$C$1:$EE$1,0)),"")))</f>
        <v>0.49162755279799064</v>
      </c>
      <c r="L27" s="12">
        <f ca="1">IF(ISBLANK($C$2),"",(IFERROR(INDEX(Raw!$C$1:$EE$33,MATCH($B27,Raw!$C$1:$C$33,0),MATCH(L26,Raw!$C$1:$EE$1,0)),"")))</f>
        <v>0.19141694369036921</v>
      </c>
      <c r="M27" s="12">
        <f ca="1">IF(ISBLANK($C$2),"",(IFERROR(INDEX(Raw!$C$1:$EE$33,MATCH($B27,Raw!$C$1:$C$33,0),MATCH(M26,Raw!$C$1:$EE$1,0)),"")))</f>
        <v>0.2391300394042849</v>
      </c>
      <c r="P27" s="12" t="str">
        <f ca="1">(IFERROR(INDEX(Raw!$C$1:$EE$33,MATCH(#REF!,Raw!$C$1:$C$33,0),MATCH(P$79,Raw!$C$1:$EE$1,0)),""))</f>
        <v/>
      </c>
      <c r="Q27" s="12" t="str">
        <f ca="1">(IFERROR(INDEX(Raw!$C$1:$EE$33,MATCH(#REF!,Raw!$C$1:$C$33,0),MATCH(Q$79,Raw!$C$1:$EE$1,0)),""))</f>
        <v/>
      </c>
    </row>
    <row r="30" spans="2:22" x14ac:dyDescent="0.4">
      <c r="R30" s="20"/>
      <c r="S30" s="20"/>
      <c r="T30" s="20"/>
      <c r="U30" s="20"/>
      <c r="V30" s="20"/>
    </row>
    <row r="31" spans="2:22" x14ac:dyDescent="0.4">
      <c r="R31" s="20"/>
      <c r="S31" s="20"/>
      <c r="T31" s="20"/>
      <c r="U31" s="20"/>
      <c r="V31" s="20"/>
    </row>
    <row r="32" spans="2:22" x14ac:dyDescent="0.4">
      <c r="R32" s="20"/>
      <c r="S32" s="20"/>
      <c r="T32" s="20"/>
      <c r="U32" s="20"/>
      <c r="V32" s="20"/>
    </row>
    <row r="33" spans="2:22" x14ac:dyDescent="0.4">
      <c r="R33" s="20"/>
      <c r="S33" s="20"/>
      <c r="T33" s="20"/>
      <c r="U33" s="20"/>
      <c r="V33" s="20"/>
    </row>
    <row r="34" spans="2:22" x14ac:dyDescent="0.4">
      <c r="R34" s="20"/>
      <c r="S34" s="20"/>
      <c r="T34" s="20"/>
      <c r="U34" s="20"/>
      <c r="V34" s="20"/>
    </row>
    <row r="35" spans="2:22" x14ac:dyDescent="0.4">
      <c r="R35" s="20"/>
      <c r="S35" s="20"/>
      <c r="T35" s="20"/>
      <c r="U35" s="20"/>
      <c r="V35" s="20"/>
    </row>
    <row r="36" spans="2:22" x14ac:dyDescent="0.4">
      <c r="R36" s="20"/>
      <c r="S36" s="20"/>
      <c r="T36" s="20"/>
      <c r="U36" s="20"/>
      <c r="V36" s="20"/>
    </row>
    <row r="37" spans="2:22" x14ac:dyDescent="0.4">
      <c r="R37" s="20"/>
      <c r="S37" s="20"/>
      <c r="T37" s="20"/>
      <c r="U37" s="20"/>
      <c r="V37" s="20"/>
    </row>
    <row r="38" spans="2:22" x14ac:dyDescent="0.4">
      <c r="R38" s="20"/>
      <c r="S38" s="20"/>
      <c r="T38" s="20"/>
      <c r="U38" s="20"/>
      <c r="V38" s="20"/>
    </row>
    <row r="39" spans="2:22" x14ac:dyDescent="0.4">
      <c r="R39" s="20"/>
      <c r="S39" s="20"/>
      <c r="T39" s="20"/>
      <c r="U39" s="20"/>
      <c r="V39" s="20"/>
    </row>
    <row r="40" spans="2:22" x14ac:dyDescent="0.4">
      <c r="R40" s="21"/>
      <c r="S40" s="21"/>
      <c r="T40" s="21"/>
      <c r="U40" s="21"/>
      <c r="V40" s="21"/>
    </row>
    <row r="45" spans="2:22" x14ac:dyDescent="0.4">
      <c r="B45" s="19" t="s">
        <v>40</v>
      </c>
      <c r="C45" s="10" t="str">
        <f>IF(ISBLANK($C$2),"",(TEXT(($C$2),"mmm-yy")))</f>
        <v>Jul-24</v>
      </c>
      <c r="D45" s="10" t="str">
        <f>(TEXT(DATE(YEAR(C45),MONTH(C45)+1,DAY(C45)),"MMM-YY"))</f>
        <v>Aug-24</v>
      </c>
      <c r="E45" s="10" t="str">
        <f t="shared" ref="E45:M45" si="2">(TEXT(DATE(YEAR(D45),MONTH(D45)+1,DAY(D45)),"MMM-YY"))</f>
        <v>Sep-24</v>
      </c>
      <c r="F45" s="10" t="str">
        <f t="shared" si="2"/>
        <v>Oct-24</v>
      </c>
      <c r="G45" s="10" t="str">
        <f t="shared" si="2"/>
        <v>Nov-24</v>
      </c>
      <c r="H45" s="10" t="str">
        <f t="shared" si="2"/>
        <v>Dec-24</v>
      </c>
      <c r="I45" s="10" t="str">
        <f t="shared" si="2"/>
        <v>Jan-25</v>
      </c>
      <c r="J45" s="10" t="str">
        <f t="shared" si="2"/>
        <v>Feb-25</v>
      </c>
      <c r="K45" s="10" t="str">
        <f t="shared" si="2"/>
        <v>Mar-25</v>
      </c>
      <c r="L45" s="10" t="str">
        <f t="shared" si="2"/>
        <v>Apr-25</v>
      </c>
      <c r="M45" s="10" t="str">
        <f t="shared" si="2"/>
        <v>May-25</v>
      </c>
      <c r="P45" s="5" t="str">
        <f>IFERROR(IF(DATEVALUE(M45)&gt;=DATEVALUE($EF$1),"",(TEXT(DATE(YEAR(M45),MONTH(M45)+1,DAY(M45)),"MMM-YY"))),"")</f>
        <v/>
      </c>
      <c r="Q45" s="5" t="str">
        <f>IFERROR(IF(DATEVALUE(P45)&gt;=DATEVALUE($EF$1),"",(TEXT(DATE(YEAR(P45),MONTH(P45)+1,DAY(P45)),"MMM-YY"))),"")</f>
        <v/>
      </c>
    </row>
    <row r="46" spans="2:22" x14ac:dyDescent="0.4">
      <c r="B46" s="32" t="s">
        <v>30</v>
      </c>
      <c r="C46" s="12">
        <f ca="1">IF(ISBLANK($C$2),"",(IFERROR(INDEX(Raw!$C$1:$EE$33,MATCH($B46,Raw!$C$1:$C$33,0),MATCH(C45,Raw!$C$1:$EE$1,0)),"")))</f>
        <v>0.1651601234887452</v>
      </c>
      <c r="D46" s="12">
        <f ca="1">IF(ISBLANK($C$2),"",(IFERROR(INDEX(Raw!$C$1:$EE$33,MATCH($B46,Raw!$C$1:$C$33,0),MATCH(D45,Raw!$C$1:$EE$1,0)),"")))</f>
        <v>0.42635973271419036</v>
      </c>
      <c r="E46" s="12">
        <f ca="1">IF(ISBLANK($C$2),"",(IFERROR(INDEX(Raw!$C$1:$EE$33,MATCH($B46,Raw!$C$1:$C$33,0),MATCH(E45,Raw!$C$1:$EE$1,0)),"")))</f>
        <v>7.752794637267546E-2</v>
      </c>
      <c r="F46" s="12">
        <f ca="1">IF(ISBLANK($C$2),"",(IFERROR(INDEX(Raw!$C$1:$EE$33,MATCH($B46,Raw!$C$1:$C$33,0),MATCH(F45,Raw!$C$1:$EE$1,0)),"")))</f>
        <v>0.57783571805395328</v>
      </c>
      <c r="G46" s="12">
        <f ca="1">IF(ISBLANK($C$2),"",(IFERROR(INDEX(Raw!$C$1:$EE$33,MATCH($B46,Raw!$C$1:$C$33,0),MATCH(G45,Raw!$C$1:$EE$1,0)),"")))</f>
        <v>0.42333479619758607</v>
      </c>
      <c r="H46" s="12">
        <f ca="1">IF(ISBLANK($C$2),"",(IFERROR(INDEX(Raw!$C$1:$EE$33,MATCH($B46,Raw!$C$1:$C$33,0),MATCH(H45,Raw!$C$1:$EE$1,0)),"")))</f>
        <v>0.65813652661705979</v>
      </c>
      <c r="I46" s="12">
        <f ca="1">IF(ISBLANK($C$2),"",(IFERROR(INDEX(Raw!$C$1:$EE$33,MATCH($B46,Raw!$C$1:$C$33,0),MATCH(I45,Raw!$C$1:$EE$1,0)),"")))</f>
        <v>8.1254899393535251E-2</v>
      </c>
      <c r="J46" s="12">
        <f ca="1">IF(ISBLANK($C$2),"",(IFERROR(INDEX(Raw!$C$1:$EE$33,MATCH($B46,Raw!$C$1:$C$33,0),MATCH(J45,Raw!$C$1:$EE$1,0)),"")))</f>
        <v>0.85771780752333637</v>
      </c>
      <c r="K46" s="12">
        <f ca="1">IF(ISBLANK($C$2),"",(IFERROR(INDEX(Raw!$C$1:$EE$33,MATCH($B46,Raw!$C$1:$C$33,0),MATCH(K45,Raw!$C$1:$EE$1,0)),"")))</f>
        <v>0.48766960723517183</v>
      </c>
      <c r="L46" s="12">
        <f ca="1">IF(ISBLANK($C$2),"",(IFERROR(INDEX(Raw!$C$1:$EE$33,MATCH($B46,Raw!$C$1:$C$33,0),MATCH(L45,Raw!$C$1:$EE$1,0)),"")))</f>
        <v>0.48300958939561034</v>
      </c>
      <c r="M46" s="12">
        <f ca="1">IF(ISBLANK($C$2),"",(IFERROR(INDEX(Raw!$C$1:$EE$33,MATCH($B46,Raw!$C$1:$C$33,0),MATCH(M45,Raw!$C$1:$EE$1,0)),"")))</f>
        <v>0.40253417140442505</v>
      </c>
      <c r="P46" s="12" t="str">
        <f ca="1">(IFERROR(INDEX(Raw!$C$1:$EE$33,MATCH(#REF!,Raw!$C$1:$C$33,0),MATCH(P$79,Raw!$C$1:$EE$1,0)),""))</f>
        <v/>
      </c>
      <c r="Q46" s="12" t="str">
        <f ca="1">(IFERROR(INDEX(Raw!$C$1:$EE$33,MATCH(#REF!,Raw!$C$1:$C$33,0),MATCH(Q$79,Raw!$C$1:$EE$1,0)),""))</f>
        <v/>
      </c>
    </row>
    <row r="49" spans="2:22" x14ac:dyDescent="0.4">
      <c r="R49" s="20"/>
      <c r="S49" s="20"/>
      <c r="T49" s="20"/>
      <c r="U49" s="20"/>
      <c r="V49" s="20"/>
    </row>
    <row r="50" spans="2:22" x14ac:dyDescent="0.4">
      <c r="R50" s="20"/>
      <c r="S50" s="20"/>
      <c r="T50" s="20"/>
      <c r="U50" s="20"/>
      <c r="V50" s="20"/>
    </row>
    <row r="51" spans="2:22" x14ac:dyDescent="0.4">
      <c r="R51" s="20"/>
      <c r="S51" s="20"/>
      <c r="T51" s="20"/>
      <c r="U51" s="20"/>
      <c r="V51" s="20"/>
    </row>
    <row r="52" spans="2:22" x14ac:dyDescent="0.4">
      <c r="R52" s="20"/>
      <c r="S52" s="20"/>
      <c r="T52" s="20"/>
      <c r="U52" s="20"/>
      <c r="V52" s="20"/>
    </row>
    <row r="53" spans="2:22" x14ac:dyDescent="0.4">
      <c r="R53" s="20"/>
      <c r="S53" s="20"/>
      <c r="T53" s="20"/>
      <c r="U53" s="20"/>
      <c r="V53" s="20"/>
    </row>
    <row r="54" spans="2:22" x14ac:dyDescent="0.4">
      <c r="R54" s="20"/>
      <c r="S54" s="20"/>
      <c r="T54" s="20"/>
      <c r="U54" s="20"/>
      <c r="V54" s="20"/>
    </row>
    <row r="55" spans="2:22" x14ac:dyDescent="0.4">
      <c r="R55" s="20"/>
      <c r="S55" s="20"/>
      <c r="T55" s="20"/>
      <c r="U55" s="20"/>
      <c r="V55" s="20"/>
    </row>
    <row r="56" spans="2:22" x14ac:dyDescent="0.4">
      <c r="R56" s="20"/>
      <c r="S56" s="20"/>
      <c r="T56" s="20"/>
      <c r="U56" s="20"/>
      <c r="V56" s="20"/>
    </row>
    <row r="57" spans="2:22" x14ac:dyDescent="0.4">
      <c r="R57" s="20"/>
      <c r="S57" s="20"/>
      <c r="T57" s="20"/>
      <c r="U57" s="20"/>
      <c r="V57" s="20"/>
    </row>
    <row r="58" spans="2:22" x14ac:dyDescent="0.4">
      <c r="R58" s="20"/>
      <c r="S58" s="20"/>
      <c r="T58" s="20"/>
      <c r="U58" s="20"/>
      <c r="V58" s="20"/>
    </row>
    <row r="59" spans="2:22" x14ac:dyDescent="0.4">
      <c r="R59" s="21"/>
      <c r="S59" s="21"/>
      <c r="T59" s="21"/>
      <c r="U59" s="21"/>
      <c r="V59" s="21"/>
    </row>
    <row r="64" spans="2:22" x14ac:dyDescent="0.4">
      <c r="B64" s="19" t="s">
        <v>40</v>
      </c>
      <c r="C64" s="10" t="str">
        <f>IF(ISBLANK($C$2),"",(TEXT(($C$2),"mmm-yy")))</f>
        <v>Jul-24</v>
      </c>
      <c r="D64" s="10" t="str">
        <f>(TEXT(DATE(YEAR(C64),MONTH(C64)+1,DAY(C64)),"MMM-YY"))</f>
        <v>Aug-24</v>
      </c>
      <c r="E64" s="10" t="str">
        <f t="shared" ref="E64:M64" si="3">(TEXT(DATE(YEAR(D64),MONTH(D64)+1,DAY(D64)),"MMM-YY"))</f>
        <v>Sep-24</v>
      </c>
      <c r="F64" s="10" t="str">
        <f t="shared" si="3"/>
        <v>Oct-24</v>
      </c>
      <c r="G64" s="10" t="str">
        <f t="shared" si="3"/>
        <v>Nov-24</v>
      </c>
      <c r="H64" s="10" t="str">
        <f t="shared" si="3"/>
        <v>Dec-24</v>
      </c>
      <c r="I64" s="10" t="str">
        <f t="shared" si="3"/>
        <v>Jan-25</v>
      </c>
      <c r="J64" s="10" t="str">
        <f t="shared" si="3"/>
        <v>Feb-25</v>
      </c>
      <c r="K64" s="10" t="str">
        <f t="shared" si="3"/>
        <v>Mar-25</v>
      </c>
      <c r="L64" s="10" t="str">
        <f t="shared" si="3"/>
        <v>Apr-25</v>
      </c>
      <c r="M64" s="10" t="str">
        <f t="shared" si="3"/>
        <v>May-25</v>
      </c>
      <c r="P64" s="5" t="str">
        <f>IFERROR(IF(DATEVALUE(M64)&gt;=DATEVALUE($EF$1),"",(TEXT(DATE(YEAR(M64),MONTH(M64)+1,DAY(M64)),"MMM-YY"))),"")</f>
        <v/>
      </c>
      <c r="Q64" s="5" t="str">
        <f>IFERROR(IF(DATEVALUE(P64)&gt;=DATEVALUE($EF$1),"",(TEXT(DATE(YEAR(P64),MONTH(P64)+1,DAY(P64)),"MMM-YY"))),"")</f>
        <v/>
      </c>
    </row>
    <row r="65" spans="2:22" x14ac:dyDescent="0.4">
      <c r="B65" s="32" t="s">
        <v>27</v>
      </c>
      <c r="C65" s="12">
        <f ca="1">IF(ISBLANK($C$2),"",(IFERROR(INDEX(Raw!$C$1:$EE$33,MATCH($B65,Raw!$C$1:$C$33,0),MATCH(C64,Raw!$C$1:$EE$1,0)),"")))</f>
        <v>0.65342011878842621</v>
      </c>
      <c r="D65" s="12">
        <f ca="1">IF(ISBLANK($C$2),"",(IFERROR(INDEX(Raw!$C$1:$EE$33,MATCH($B65,Raw!$C$1:$C$33,0),MATCH(D64,Raw!$C$1:$EE$1,0)),"")))</f>
        <v>0.64553863954133917</v>
      </c>
      <c r="E65" s="12">
        <f ca="1">IF(ISBLANK($C$2),"",(IFERROR(INDEX(Raw!$C$1:$EE$33,MATCH($B65,Raw!$C$1:$C$33,0),MATCH(E64,Raw!$C$1:$EE$1,0)),"")))</f>
        <v>0.47858841138895092</v>
      </c>
      <c r="F65" s="12">
        <f ca="1">IF(ISBLANK($C$2),"",(IFERROR(INDEX(Raw!$C$1:$EE$33,MATCH($B65,Raw!$C$1:$C$33,0),MATCH(F64,Raw!$C$1:$EE$1,0)),"")))</f>
        <v>6.8056617130420771E-2</v>
      </c>
      <c r="G65" s="12">
        <f ca="1">IF(ISBLANK($C$2),"",(IFERROR(INDEX(Raw!$C$1:$EE$33,MATCH($B65,Raw!$C$1:$C$33,0),MATCH(G64,Raw!$C$1:$EE$1,0)),"")))</f>
        <v>0.65742948820821656</v>
      </c>
      <c r="H65" s="12">
        <f ca="1">IF(ISBLANK($C$2),"",(IFERROR(INDEX(Raw!$C$1:$EE$33,MATCH($B65,Raw!$C$1:$C$33,0),MATCH(H64,Raw!$C$1:$EE$1,0)),"")))</f>
        <v>0.97936444585281957</v>
      </c>
      <c r="I65" s="12">
        <f ca="1">IF(ISBLANK($C$2),"",(IFERROR(INDEX(Raw!$C$1:$EE$33,MATCH($B65,Raw!$C$1:$C$33,0),MATCH(I64,Raw!$C$1:$EE$1,0)),"")))</f>
        <v>0.26415308776781787</v>
      </c>
      <c r="J65" s="12">
        <f ca="1">IF(ISBLANK($C$2),"",(IFERROR(INDEX(Raw!$C$1:$EE$33,MATCH($B65,Raw!$C$1:$C$33,0),MATCH(J64,Raw!$C$1:$EE$1,0)),"")))</f>
        <v>0.10239877360387872</v>
      </c>
      <c r="K65" s="12">
        <f ca="1">IF(ISBLANK($C$2),"",(IFERROR(INDEX(Raw!$C$1:$EE$33,MATCH($B65,Raw!$C$1:$C$33,0),MATCH(K64,Raw!$C$1:$EE$1,0)),"")))</f>
        <v>0.49162755279799064</v>
      </c>
      <c r="L65" s="12">
        <f ca="1">IF(ISBLANK($C$2),"",(IFERROR(INDEX(Raw!$C$1:$EE$33,MATCH($B65,Raw!$C$1:$C$33,0),MATCH(L64,Raw!$C$1:$EE$1,0)),"")))</f>
        <v>0.19141694369036921</v>
      </c>
      <c r="M65" s="12">
        <f ca="1">IF(ISBLANK($C$2),"",(IFERROR(INDEX(Raw!$C$1:$EE$33,MATCH($B65,Raw!$C$1:$C$33,0),MATCH(M64,Raw!$C$1:$EE$1,0)),"")))</f>
        <v>0.2391300394042849</v>
      </c>
      <c r="P65" s="12" t="str">
        <f ca="1">(IFERROR(INDEX(Raw!$C$1:$EE$33,MATCH(#REF!,Raw!$C$1:$C$33,0),MATCH(P$79,Raw!$C$1:$EE$1,0)),""))</f>
        <v/>
      </c>
      <c r="Q65" s="12" t="str">
        <f ca="1">(IFERROR(INDEX(Raw!$C$1:$EE$33,MATCH(#REF!,Raw!$C$1:$C$33,0),MATCH(Q$79,Raw!$C$1:$EE$1,0)),""))</f>
        <v/>
      </c>
    </row>
    <row r="68" spans="2:22" x14ac:dyDescent="0.4">
      <c r="R68" s="20"/>
      <c r="S68" s="20"/>
      <c r="T68" s="20"/>
      <c r="U68" s="20"/>
      <c r="V68" s="20"/>
    </row>
    <row r="69" spans="2:22" x14ac:dyDescent="0.4">
      <c r="R69" s="20"/>
      <c r="S69" s="20"/>
      <c r="T69" s="20"/>
      <c r="U69" s="20"/>
      <c r="V69" s="20"/>
    </row>
    <row r="70" spans="2:22" x14ac:dyDescent="0.4">
      <c r="R70" s="20"/>
      <c r="S70" s="20"/>
      <c r="T70" s="20"/>
      <c r="U70" s="20"/>
      <c r="V70" s="20"/>
    </row>
    <row r="71" spans="2:22" x14ac:dyDescent="0.4">
      <c r="R71" s="20"/>
      <c r="S71" s="20"/>
      <c r="T71" s="20"/>
      <c r="U71" s="20"/>
      <c r="V71" s="20"/>
    </row>
    <row r="72" spans="2:22" x14ac:dyDescent="0.4">
      <c r="R72" s="20"/>
      <c r="S72" s="20"/>
      <c r="T72" s="20"/>
      <c r="U72" s="20"/>
      <c r="V72" s="20"/>
    </row>
    <row r="73" spans="2:22" x14ac:dyDescent="0.4">
      <c r="R73" s="20"/>
      <c r="S73" s="20"/>
      <c r="T73" s="20"/>
      <c r="U73" s="20"/>
      <c r="V73" s="20"/>
    </row>
    <row r="74" spans="2:22" x14ac:dyDescent="0.4">
      <c r="R74" s="20"/>
      <c r="S74" s="20"/>
      <c r="T74" s="20"/>
      <c r="U74" s="20"/>
      <c r="V74" s="20"/>
    </row>
    <row r="75" spans="2:22" x14ac:dyDescent="0.4">
      <c r="R75" s="20"/>
      <c r="S75" s="20"/>
      <c r="T75" s="20"/>
      <c r="U75" s="20"/>
      <c r="V75" s="20"/>
    </row>
    <row r="76" spans="2:22" x14ac:dyDescent="0.4">
      <c r="R76" s="20"/>
      <c r="S76" s="20"/>
      <c r="T76" s="20"/>
      <c r="U76" s="20"/>
      <c r="V76" s="20"/>
    </row>
    <row r="77" spans="2:22" x14ac:dyDescent="0.4">
      <c r="R77" s="20"/>
      <c r="S77" s="20"/>
      <c r="T77" s="20"/>
      <c r="U77" s="20"/>
      <c r="V77" s="20"/>
    </row>
    <row r="78" spans="2:22" x14ac:dyDescent="0.4">
      <c r="R78" s="21"/>
      <c r="S78" s="21"/>
      <c r="T78" s="21"/>
      <c r="U78" s="21"/>
      <c r="V78" s="21"/>
    </row>
    <row r="83" spans="11:11" x14ac:dyDescent="0.4">
      <c r="K83" t="s">
        <v>184</v>
      </c>
    </row>
  </sheetData>
  <sheetProtection algorithmName="SHA-512" hashValue="c+UiZ/bdSfqTH2Wd68br9+MJhWG9/rOrBHJhoYSEK8wXMQV0jbaCb4zRy7rf+7l6Q05wimyYMhiglzW6dc3h5w==" saltValue="2rk/D2KvrgYGKcFr00Z+mQ==" spinCount="100000" sheet="1" objects="1" scenarios="1"/>
  <conditionalFormatting sqref="B7:M7 P7:Q8">
    <cfRule type="containsErrors" dxfId="22" priority="22">
      <formula>ISERROR(B7)</formula>
    </cfRule>
    <cfRule type="containsBlanks" dxfId="21" priority="23">
      <formula>LEN(TRIM(B7))=0</formula>
    </cfRule>
  </conditionalFormatting>
  <conditionalFormatting sqref="B26:M26">
    <cfRule type="containsErrors" dxfId="20" priority="9">
      <formula>ISERROR(B26)</formula>
    </cfRule>
    <cfRule type="containsBlanks" dxfId="19" priority="10">
      <formula>LEN(TRIM(B26))=0</formula>
    </cfRule>
  </conditionalFormatting>
  <conditionalFormatting sqref="B45:M45">
    <cfRule type="containsErrors" dxfId="18" priority="5">
      <formula>ISERROR(B45)</formula>
    </cfRule>
    <cfRule type="containsBlanks" dxfId="17" priority="6">
      <formula>LEN(TRIM(B45))=0</formula>
    </cfRule>
  </conditionalFormatting>
  <conditionalFormatting sqref="B64:M64">
    <cfRule type="containsErrors" dxfId="16" priority="1">
      <formula>ISERROR(B64)</formula>
    </cfRule>
    <cfRule type="containsBlanks" dxfId="15" priority="2">
      <formula>LEN(TRIM(B64))=0</formula>
    </cfRule>
  </conditionalFormatting>
  <conditionalFormatting sqref="C6">
    <cfRule type="duplicateValues" dxfId="14" priority="17"/>
  </conditionalFormatting>
  <conditionalFormatting sqref="P26:Q27">
    <cfRule type="containsErrors" dxfId="13" priority="13">
      <formula>ISERROR(P26)</formula>
    </cfRule>
    <cfRule type="containsBlanks" dxfId="12" priority="14">
      <formula>LEN(TRIM(P26))=0</formula>
    </cfRule>
  </conditionalFormatting>
  <conditionalFormatting sqref="P45:Q46">
    <cfRule type="containsErrors" dxfId="11" priority="7">
      <formula>ISERROR(P45)</formula>
    </cfRule>
    <cfRule type="containsBlanks" dxfId="10" priority="8">
      <formula>LEN(TRIM(P45))=0</formula>
    </cfRule>
  </conditionalFormatting>
  <conditionalFormatting sqref="P64:Q65">
    <cfRule type="containsErrors" dxfId="9" priority="3">
      <formula>ISERROR(P64)</formula>
    </cfRule>
    <cfRule type="containsBlanks" dxfId="8" priority="4">
      <formula>LEN(TRIM(P64))=0</formula>
    </cfRule>
  </conditionalFormatting>
  <dataValidations count="1">
    <dataValidation type="list" allowBlank="1" showInputMessage="1" showErrorMessage="1" sqref="C6" xr:uid="{2179E878-22B6-4EAE-B43C-AF69A57EAF2B}">
      <formula1>$D$2:$D$35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84362EB-9C79-46F1-860B-A349240A814E}">
          <x14:formula1>
            <xm:f>Lists!$C$3:$C$14</xm:f>
          </x14:formula1>
          <xm:sqref>C3</xm:sqref>
        </x14:dataValidation>
        <x14:dataValidation type="list" allowBlank="1" showInputMessage="1" showErrorMessage="1" xr:uid="{7DBD0B64-C8B6-4450-A788-A3F1B6BCC748}">
          <x14:formula1>
            <xm:f>Lists!$E$3:$E$13</xm:f>
          </x14:formula1>
          <xm:sqref>C4</xm:sqref>
        </x14:dataValidation>
        <x14:dataValidation type="list" allowBlank="1" showInputMessage="1" showErrorMessage="1" xr:uid="{C85E210E-6CDB-470B-AFF4-A26210AD58E3}">
          <x14:formula1>
            <xm:f>Raw!$C$2:$C$33</xm:f>
          </x14:formula1>
          <xm:sqref>B8 B27 B46 B65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0ACB3-DF6D-417B-9CA4-87EE0D0794B5}">
  <dimension ref="B1:N14"/>
  <sheetViews>
    <sheetView zoomScale="70" zoomScaleNormal="70" workbookViewId="0">
      <selection activeCell="C1" sqref="C1"/>
    </sheetView>
  </sheetViews>
  <sheetFormatPr defaultRowHeight="14.6" x14ac:dyDescent="0.4"/>
  <cols>
    <col min="2" max="2" width="2.61328125" customWidth="1"/>
    <col min="3" max="3" width="10.07421875" bestFit="1" customWidth="1"/>
    <col min="5" max="5" width="10.07421875" bestFit="1" customWidth="1"/>
    <col min="6" max="6" width="18.4609375" customWidth="1"/>
  </cols>
  <sheetData>
    <row r="1" spans="2:14" s="2" customFormat="1" ht="19.3" customHeight="1" x14ac:dyDescent="0.4">
      <c r="B1" s="3"/>
      <c r="C1" s="4" t="s">
        <v>4</v>
      </c>
      <c r="D1" s="4"/>
      <c r="E1" s="4"/>
      <c r="F1" s="4"/>
    </row>
    <row r="2" spans="2:14" x14ac:dyDescent="0.4">
      <c r="B2" s="23" t="s">
        <v>5</v>
      </c>
      <c r="C2" s="24" t="s">
        <v>0</v>
      </c>
      <c r="D2" s="24"/>
      <c r="E2" s="24" t="s">
        <v>2</v>
      </c>
      <c r="F2" s="24" t="s">
        <v>3</v>
      </c>
      <c r="G2" s="1"/>
      <c r="H2" s="1"/>
      <c r="I2" t="s">
        <v>184</v>
      </c>
      <c r="J2" s="1"/>
      <c r="K2" s="1"/>
      <c r="L2" s="1"/>
      <c r="M2" s="1"/>
      <c r="N2" s="1"/>
    </row>
    <row r="3" spans="2:14" x14ac:dyDescent="0.4">
      <c r="B3" s="25">
        <v>0</v>
      </c>
      <c r="C3" s="26" t="str">
        <f ca="1">TEXT(TODAY(), "Mmmm")</f>
        <v>September</v>
      </c>
      <c r="D3" s="26"/>
      <c r="E3" s="27" t="str">
        <f ca="1">TEXT((DATE(YEAR(TODAY())+F3, MONTH(1), DAY(1))), "YYYY")</f>
        <v>2020</v>
      </c>
      <c r="F3" s="28">
        <v>-5</v>
      </c>
    </row>
    <row r="4" spans="2:14" x14ac:dyDescent="0.4">
      <c r="B4" s="25">
        <v>1</v>
      </c>
      <c r="C4" s="29" t="str">
        <f ca="1">TEXT(DATE(YEAR(TODAY()),MONTH(TODAY())+B4,DAY(TODAY())), "Mmmm")</f>
        <v>October</v>
      </c>
      <c r="D4" s="26"/>
      <c r="E4" s="27" t="str">
        <f t="shared" ref="E4:E6" ca="1" si="0">TEXT((DATE(YEAR(TODAY())+F4, MONTH(1), DAY(1))), "YYYY")</f>
        <v>2021</v>
      </c>
      <c r="F4" s="28">
        <v>-4</v>
      </c>
    </row>
    <row r="5" spans="2:14" x14ac:dyDescent="0.4">
      <c r="B5" s="25">
        <v>2</v>
      </c>
      <c r="C5" s="29" t="str">
        <f t="shared" ref="C5:C14" ca="1" si="1">TEXT(DATE(YEAR(TODAY()),MONTH(TODAY())+B5,DAY(TODAY())), "Mmmm")</f>
        <v>November</v>
      </c>
      <c r="D5" s="26"/>
      <c r="E5" s="27" t="str">
        <f t="shared" ca="1" si="0"/>
        <v>2022</v>
      </c>
      <c r="F5" s="28">
        <v>-3</v>
      </c>
    </row>
    <row r="6" spans="2:14" x14ac:dyDescent="0.4">
      <c r="B6" s="25">
        <v>3</v>
      </c>
      <c r="C6" s="29" t="str">
        <f t="shared" ca="1" si="1"/>
        <v>December</v>
      </c>
      <c r="D6" s="26"/>
      <c r="E6" s="27" t="str">
        <f t="shared" ca="1" si="0"/>
        <v>2023</v>
      </c>
      <c r="F6" s="28">
        <v>-2</v>
      </c>
    </row>
    <row r="7" spans="2:14" x14ac:dyDescent="0.4">
      <c r="B7" s="25">
        <v>4</v>
      </c>
      <c r="C7" s="29" t="str">
        <f t="shared" ca="1" si="1"/>
        <v>January</v>
      </c>
      <c r="D7" s="26"/>
      <c r="E7" s="27" t="str">
        <f ca="1">TEXT((DATE(YEAR(TODAY())+F7, MONTH(1), DAY(1))), "YYYY")</f>
        <v>2024</v>
      </c>
      <c r="F7" s="28">
        <v>-1</v>
      </c>
    </row>
    <row r="8" spans="2:14" x14ac:dyDescent="0.4">
      <c r="B8" s="25">
        <v>5</v>
      </c>
      <c r="C8" s="29" t="str">
        <f t="shared" ca="1" si="1"/>
        <v>February</v>
      </c>
      <c r="D8" s="26"/>
      <c r="E8" s="27" t="str">
        <f ca="1">TEXT(TODAY(), "YYY")</f>
        <v>2025</v>
      </c>
      <c r="F8" s="30" t="str">
        <f ca="1">IF(E8=TEXT(TODAY(),"YYY"),"Current yr","Check yr in C2")</f>
        <v>Current yr</v>
      </c>
    </row>
    <row r="9" spans="2:14" x14ac:dyDescent="0.4">
      <c r="B9" s="25">
        <v>6</v>
      </c>
      <c r="C9" s="29" t="str">
        <f t="shared" ca="1" si="1"/>
        <v>March</v>
      </c>
      <c r="D9" s="26"/>
      <c r="E9" s="27" t="str">
        <f ca="1">TEXT((DATE(YEAR(TODAY())+F9, MONTH(1), DAY(1))), "YYYY")</f>
        <v>2026</v>
      </c>
      <c r="F9" s="25">
        <v>1</v>
      </c>
    </row>
    <row r="10" spans="2:14" x14ac:dyDescent="0.4">
      <c r="B10" s="25">
        <v>7</v>
      </c>
      <c r="C10" s="29" t="str">
        <f t="shared" ca="1" si="1"/>
        <v>April</v>
      </c>
      <c r="D10" s="26"/>
      <c r="E10" s="27" t="str">
        <f t="shared" ref="E10:E13" ca="1" si="2">TEXT((DATE(YEAR(TODAY())+F10, MONTH(1), DAY(1))), "YYYY")</f>
        <v>2027</v>
      </c>
      <c r="F10" s="25">
        <v>2</v>
      </c>
    </row>
    <row r="11" spans="2:14" x14ac:dyDescent="0.4">
      <c r="B11" s="25">
        <v>8</v>
      </c>
      <c r="C11" s="29" t="str">
        <f t="shared" ca="1" si="1"/>
        <v>May</v>
      </c>
      <c r="D11" s="26"/>
      <c r="E11" s="27" t="str">
        <f t="shared" ca="1" si="2"/>
        <v>2028</v>
      </c>
      <c r="F11" s="25">
        <v>3</v>
      </c>
    </row>
    <row r="12" spans="2:14" x14ac:dyDescent="0.4">
      <c r="B12" s="25">
        <v>9</v>
      </c>
      <c r="C12" s="29" t="str">
        <f t="shared" ca="1" si="1"/>
        <v>June</v>
      </c>
      <c r="D12" s="26"/>
      <c r="E12" s="27" t="str">
        <f t="shared" ca="1" si="2"/>
        <v>2029</v>
      </c>
      <c r="F12" s="25">
        <v>4</v>
      </c>
    </row>
    <row r="13" spans="2:14" x14ac:dyDescent="0.4">
      <c r="B13" s="25">
        <v>10</v>
      </c>
      <c r="C13" s="29" t="str">
        <f t="shared" ca="1" si="1"/>
        <v>July</v>
      </c>
      <c r="D13" s="26"/>
      <c r="E13" s="27" t="str">
        <f t="shared" ca="1" si="2"/>
        <v>2030</v>
      </c>
      <c r="F13" s="25">
        <v>5</v>
      </c>
    </row>
    <row r="14" spans="2:14" x14ac:dyDescent="0.4">
      <c r="B14" s="25">
        <v>11</v>
      </c>
      <c r="C14" s="29" t="str">
        <f t="shared" ca="1" si="1"/>
        <v>August</v>
      </c>
      <c r="D14" s="26"/>
      <c r="E14" s="31"/>
      <c r="F14" s="31"/>
    </row>
  </sheetData>
  <sheetProtection algorithmName="SHA-512" hashValue="UsNuSuUO8sjeyk3qlpHpWaXcjFYyvXSxIdkqepa7WSXnwIspPwDQ1moy9iT1tjcESakVREas0etLzR7z/IubWQ==" saltValue="asnYoxaGRTS+maReItZUAw==" spinCount="100000" sheet="1" objects="1" scenarios="1"/>
  <phoneticPr fontId="3" type="noConversion"/>
  <pageMargins left="0.7" right="0.7" top="0.75" bottom="0.75" header="0.3" footer="0.3"/>
  <ignoredErrors>
    <ignoredError sqref="E8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FC4E2-3E9B-4767-B567-9AA5BE794AFC}">
  <dimension ref="A1:EH151"/>
  <sheetViews>
    <sheetView zoomScale="70" zoomScaleNormal="70" workbookViewId="0">
      <pane ySplit="1" topLeftCell="A2" activePane="bottomLeft" state="frozen"/>
      <selection pane="bottomLeft" activeCell="H12" sqref="H12"/>
    </sheetView>
  </sheetViews>
  <sheetFormatPr defaultRowHeight="14.6" x14ac:dyDescent="0.4"/>
  <cols>
    <col min="2" max="2" width="15.69140625" customWidth="1"/>
    <col min="3" max="3" width="16" customWidth="1"/>
    <col min="4" max="4" width="8.15234375" customWidth="1"/>
    <col min="5" max="5" width="8.53515625" customWidth="1"/>
    <col min="6" max="6" width="8" customWidth="1"/>
    <col min="7" max="7" width="7.69140625" customWidth="1"/>
    <col min="8" max="9" width="8.3828125" customWidth="1"/>
    <col min="10" max="10" width="8.23046875" customWidth="1"/>
    <col min="11" max="11" width="8.4609375" customWidth="1"/>
    <col min="12" max="12" width="8.53515625" customWidth="1"/>
    <col min="13" max="13" width="8" customWidth="1"/>
    <col min="14" max="14" width="8.3828125" customWidth="1"/>
    <col min="15" max="15" width="8.4609375" customWidth="1"/>
    <col min="16" max="16" width="8.15234375" customWidth="1"/>
    <col min="17" max="17" width="8.53515625" customWidth="1"/>
    <col min="18" max="18" width="8" customWidth="1"/>
    <col min="19" max="19" width="7.69140625" customWidth="1"/>
    <col min="20" max="21" width="8.3828125" customWidth="1"/>
    <col min="22" max="22" width="8.23046875" customWidth="1"/>
    <col min="23" max="23" width="8.4609375" customWidth="1"/>
    <col min="24" max="24" width="8.53515625" customWidth="1"/>
    <col min="25" max="25" width="8" customWidth="1"/>
    <col min="26" max="26" width="8.3828125" customWidth="1"/>
    <col min="27" max="27" width="8.4609375" customWidth="1"/>
    <col min="28" max="28" width="8.15234375" customWidth="1"/>
    <col min="29" max="29" width="8.53515625" customWidth="1"/>
    <col min="30" max="30" width="8" customWidth="1"/>
    <col min="31" max="31" width="7.69140625" customWidth="1"/>
    <col min="32" max="33" width="8.3828125" customWidth="1"/>
    <col min="34" max="34" width="8.23046875" customWidth="1"/>
    <col min="35" max="35" width="8.4609375" customWidth="1"/>
    <col min="36" max="36" width="8.53515625" customWidth="1"/>
    <col min="37" max="37" width="8" customWidth="1"/>
    <col min="38" max="38" width="8.3828125" customWidth="1"/>
    <col min="39" max="39" width="8.4609375" customWidth="1"/>
    <col min="40" max="40" width="8.15234375" customWidth="1"/>
    <col min="41" max="49" width="9.921875" customWidth="1"/>
    <col min="50" max="135" width="10.84375" customWidth="1"/>
  </cols>
  <sheetData>
    <row r="1" spans="1:138" ht="23.15" customHeight="1" x14ac:dyDescent="0.4">
      <c r="B1" s="1" t="s">
        <v>82</v>
      </c>
      <c r="C1" s="5" t="s">
        <v>40</v>
      </c>
      <c r="D1" s="10" t="str">
        <f ca="1">TEXT(DATE(Lists!$E$3, MONTH(1), DAY(1)), "Mmm-YY")</f>
        <v>Jan-20</v>
      </c>
      <c r="E1" s="10" t="str">
        <f ca="1">TEXT(DATE(YEAR(D1), MONTH(D1)+1, DAY(D1)), "Mmm-yy")</f>
        <v>Feb-20</v>
      </c>
      <c r="F1" s="10" t="str">
        <f t="shared" ref="F1:BQ1" ca="1" si="0">TEXT(DATE(YEAR(E1), MONTH(E1)+1, DAY(E1)), "Mmm-yy")</f>
        <v>Mar-20</v>
      </c>
      <c r="G1" s="10" t="str">
        <f t="shared" ca="1" si="0"/>
        <v>Apr-20</v>
      </c>
      <c r="H1" s="10" t="str">
        <f t="shared" ca="1" si="0"/>
        <v>May-20</v>
      </c>
      <c r="I1" s="10" t="str">
        <f t="shared" ca="1" si="0"/>
        <v>Jun-20</v>
      </c>
      <c r="J1" s="10" t="str">
        <f t="shared" ca="1" si="0"/>
        <v>Jul-20</v>
      </c>
      <c r="K1" s="10" t="str">
        <f t="shared" ca="1" si="0"/>
        <v>Aug-20</v>
      </c>
      <c r="L1" s="10" t="str">
        <f t="shared" ca="1" si="0"/>
        <v>Sep-20</v>
      </c>
      <c r="M1" s="10" t="str">
        <f t="shared" ca="1" si="0"/>
        <v>Oct-20</v>
      </c>
      <c r="N1" s="10" t="str">
        <f t="shared" ca="1" si="0"/>
        <v>Nov-20</v>
      </c>
      <c r="O1" s="10" t="str">
        <f t="shared" ca="1" si="0"/>
        <v>Dec-20</v>
      </c>
      <c r="P1" s="10" t="str">
        <f t="shared" ca="1" si="0"/>
        <v>Jan-21</v>
      </c>
      <c r="Q1" s="10" t="str">
        <f t="shared" ca="1" si="0"/>
        <v>Feb-21</v>
      </c>
      <c r="R1" s="10" t="str">
        <f t="shared" ca="1" si="0"/>
        <v>Mar-21</v>
      </c>
      <c r="S1" s="10" t="str">
        <f t="shared" ca="1" si="0"/>
        <v>Apr-21</v>
      </c>
      <c r="T1" s="10" t="str">
        <f t="shared" ca="1" si="0"/>
        <v>May-21</v>
      </c>
      <c r="U1" s="10" t="str">
        <f t="shared" ca="1" si="0"/>
        <v>Jun-21</v>
      </c>
      <c r="V1" s="10" t="str">
        <f t="shared" ca="1" si="0"/>
        <v>Jul-21</v>
      </c>
      <c r="W1" s="10" t="str">
        <f t="shared" ca="1" si="0"/>
        <v>Aug-21</v>
      </c>
      <c r="X1" s="10" t="str">
        <f t="shared" ca="1" si="0"/>
        <v>Sep-21</v>
      </c>
      <c r="Y1" s="10" t="str">
        <f t="shared" ca="1" si="0"/>
        <v>Oct-21</v>
      </c>
      <c r="Z1" s="10" t="str">
        <f t="shared" ca="1" si="0"/>
        <v>Nov-21</v>
      </c>
      <c r="AA1" s="10" t="str">
        <f t="shared" ca="1" si="0"/>
        <v>Dec-21</v>
      </c>
      <c r="AB1" s="10" t="str">
        <f t="shared" ca="1" si="0"/>
        <v>Jan-22</v>
      </c>
      <c r="AC1" s="10" t="str">
        <f t="shared" ca="1" si="0"/>
        <v>Feb-22</v>
      </c>
      <c r="AD1" s="10" t="str">
        <f t="shared" ca="1" si="0"/>
        <v>Mar-22</v>
      </c>
      <c r="AE1" s="10" t="str">
        <f t="shared" ca="1" si="0"/>
        <v>Apr-22</v>
      </c>
      <c r="AF1" s="10" t="str">
        <f t="shared" ca="1" si="0"/>
        <v>May-22</v>
      </c>
      <c r="AG1" s="10" t="str">
        <f t="shared" ca="1" si="0"/>
        <v>Jun-22</v>
      </c>
      <c r="AH1" s="10" t="str">
        <f t="shared" ca="1" si="0"/>
        <v>Jul-22</v>
      </c>
      <c r="AI1" s="10" t="str">
        <f t="shared" ca="1" si="0"/>
        <v>Aug-22</v>
      </c>
      <c r="AJ1" s="10" t="str">
        <f t="shared" ca="1" si="0"/>
        <v>Sep-22</v>
      </c>
      <c r="AK1" s="10" t="str">
        <f t="shared" ca="1" si="0"/>
        <v>Oct-22</v>
      </c>
      <c r="AL1" s="10" t="str">
        <f t="shared" ca="1" si="0"/>
        <v>Nov-22</v>
      </c>
      <c r="AM1" s="10" t="str">
        <f t="shared" ca="1" si="0"/>
        <v>Dec-22</v>
      </c>
      <c r="AN1" s="10" t="str">
        <f t="shared" ca="1" si="0"/>
        <v>Jan-23</v>
      </c>
      <c r="AO1" s="10" t="str">
        <f t="shared" ca="1" si="0"/>
        <v>Feb-23</v>
      </c>
      <c r="AP1" s="10" t="str">
        <f t="shared" ca="1" si="0"/>
        <v>Mar-23</v>
      </c>
      <c r="AQ1" s="10" t="str">
        <f t="shared" ca="1" si="0"/>
        <v>Apr-23</v>
      </c>
      <c r="AR1" s="10" t="str">
        <f t="shared" ca="1" si="0"/>
        <v>May-23</v>
      </c>
      <c r="AS1" s="10" t="str">
        <f t="shared" ca="1" si="0"/>
        <v>Jun-23</v>
      </c>
      <c r="AT1" s="10" t="str">
        <f t="shared" ca="1" si="0"/>
        <v>Jul-23</v>
      </c>
      <c r="AU1" s="10" t="str">
        <f t="shared" ca="1" si="0"/>
        <v>Aug-23</v>
      </c>
      <c r="AV1" s="10" t="str">
        <f t="shared" ca="1" si="0"/>
        <v>Sep-23</v>
      </c>
      <c r="AW1" s="10" t="str">
        <f t="shared" ca="1" si="0"/>
        <v>Oct-23</v>
      </c>
      <c r="AX1" s="10" t="str">
        <f t="shared" ca="1" si="0"/>
        <v>Nov-23</v>
      </c>
      <c r="AY1" s="10" t="str">
        <f t="shared" ca="1" si="0"/>
        <v>Dec-23</v>
      </c>
      <c r="AZ1" s="10" t="str">
        <f t="shared" ca="1" si="0"/>
        <v>Jan-24</v>
      </c>
      <c r="BA1" s="10" t="str">
        <f t="shared" ca="1" si="0"/>
        <v>Feb-24</v>
      </c>
      <c r="BB1" s="10" t="str">
        <f t="shared" ca="1" si="0"/>
        <v>Mar-24</v>
      </c>
      <c r="BC1" s="10" t="str">
        <f t="shared" ca="1" si="0"/>
        <v>Apr-24</v>
      </c>
      <c r="BD1" s="10" t="str">
        <f t="shared" ca="1" si="0"/>
        <v>May-24</v>
      </c>
      <c r="BE1" s="10" t="str">
        <f t="shared" ca="1" si="0"/>
        <v>Jun-24</v>
      </c>
      <c r="BF1" s="10" t="str">
        <f t="shared" ca="1" si="0"/>
        <v>Jul-24</v>
      </c>
      <c r="BG1" s="10" t="str">
        <f t="shared" ca="1" si="0"/>
        <v>Aug-24</v>
      </c>
      <c r="BH1" s="10" t="str">
        <f t="shared" ca="1" si="0"/>
        <v>Sep-24</v>
      </c>
      <c r="BI1" s="10" t="str">
        <f t="shared" ca="1" si="0"/>
        <v>Oct-24</v>
      </c>
      <c r="BJ1" s="10" t="str">
        <f t="shared" ca="1" si="0"/>
        <v>Nov-24</v>
      </c>
      <c r="BK1" s="10" t="str">
        <f t="shared" ca="1" si="0"/>
        <v>Dec-24</v>
      </c>
      <c r="BL1" s="10" t="str">
        <f t="shared" ca="1" si="0"/>
        <v>Jan-25</v>
      </c>
      <c r="BM1" s="10" t="str">
        <f t="shared" ca="1" si="0"/>
        <v>Feb-25</v>
      </c>
      <c r="BN1" s="10" t="str">
        <f t="shared" ca="1" si="0"/>
        <v>Mar-25</v>
      </c>
      <c r="BO1" s="10" t="str">
        <f t="shared" ca="1" si="0"/>
        <v>Apr-25</v>
      </c>
      <c r="BP1" s="10" t="str">
        <f t="shared" ca="1" si="0"/>
        <v>May-25</v>
      </c>
      <c r="BQ1" s="10" t="str">
        <f t="shared" ca="1" si="0"/>
        <v>Jun-25</v>
      </c>
      <c r="BR1" s="10" t="str">
        <f t="shared" ref="BR1:EC1" ca="1" si="1">TEXT(DATE(YEAR(BQ1), MONTH(BQ1)+1, DAY(BQ1)), "Mmm-yy")</f>
        <v>Jul-25</v>
      </c>
      <c r="BS1" s="10" t="str">
        <f t="shared" ca="1" si="1"/>
        <v>Aug-25</v>
      </c>
      <c r="BT1" s="10" t="str">
        <f t="shared" ca="1" si="1"/>
        <v>Sep-25</v>
      </c>
      <c r="BU1" s="10" t="str">
        <f t="shared" ca="1" si="1"/>
        <v>Oct-25</v>
      </c>
      <c r="BV1" s="10" t="str">
        <f t="shared" ca="1" si="1"/>
        <v>Nov-25</v>
      </c>
      <c r="BW1" s="10" t="str">
        <f t="shared" ca="1" si="1"/>
        <v>Dec-25</v>
      </c>
      <c r="BX1" s="10" t="str">
        <f t="shared" ca="1" si="1"/>
        <v>Jan-26</v>
      </c>
      <c r="BY1" s="10" t="str">
        <f t="shared" ca="1" si="1"/>
        <v>Feb-26</v>
      </c>
      <c r="BZ1" s="10" t="str">
        <f t="shared" ca="1" si="1"/>
        <v>Mar-26</v>
      </c>
      <c r="CA1" s="10" t="str">
        <f t="shared" ca="1" si="1"/>
        <v>Apr-26</v>
      </c>
      <c r="CB1" s="10" t="str">
        <f t="shared" ca="1" si="1"/>
        <v>May-26</v>
      </c>
      <c r="CC1" s="10" t="str">
        <f t="shared" ca="1" si="1"/>
        <v>Jun-26</v>
      </c>
      <c r="CD1" s="10" t="str">
        <f t="shared" ca="1" si="1"/>
        <v>Jul-26</v>
      </c>
      <c r="CE1" s="10" t="str">
        <f t="shared" ca="1" si="1"/>
        <v>Aug-26</v>
      </c>
      <c r="CF1" s="10" t="str">
        <f t="shared" ca="1" si="1"/>
        <v>Sep-26</v>
      </c>
      <c r="CG1" s="10" t="str">
        <f t="shared" ca="1" si="1"/>
        <v>Oct-26</v>
      </c>
      <c r="CH1" s="10" t="str">
        <f t="shared" ca="1" si="1"/>
        <v>Nov-26</v>
      </c>
      <c r="CI1" s="10" t="str">
        <f t="shared" ca="1" si="1"/>
        <v>Dec-26</v>
      </c>
      <c r="CJ1" s="10" t="str">
        <f t="shared" ca="1" si="1"/>
        <v>Jan-27</v>
      </c>
      <c r="CK1" s="10" t="str">
        <f t="shared" ca="1" si="1"/>
        <v>Feb-27</v>
      </c>
      <c r="CL1" s="10" t="str">
        <f t="shared" ca="1" si="1"/>
        <v>Mar-27</v>
      </c>
      <c r="CM1" s="10" t="str">
        <f t="shared" ca="1" si="1"/>
        <v>Apr-27</v>
      </c>
      <c r="CN1" s="10" t="str">
        <f t="shared" ca="1" si="1"/>
        <v>May-27</v>
      </c>
      <c r="CO1" s="10" t="str">
        <f t="shared" ca="1" si="1"/>
        <v>Jun-27</v>
      </c>
      <c r="CP1" s="10" t="str">
        <f t="shared" ca="1" si="1"/>
        <v>Jul-27</v>
      </c>
      <c r="CQ1" s="10" t="str">
        <f t="shared" ca="1" si="1"/>
        <v>Aug-27</v>
      </c>
      <c r="CR1" s="10" t="str">
        <f t="shared" ca="1" si="1"/>
        <v>Sep-27</v>
      </c>
      <c r="CS1" s="10" t="str">
        <f t="shared" ca="1" si="1"/>
        <v>Oct-27</v>
      </c>
      <c r="CT1" s="10" t="str">
        <f t="shared" ca="1" si="1"/>
        <v>Nov-27</v>
      </c>
      <c r="CU1" s="10" t="str">
        <f t="shared" ca="1" si="1"/>
        <v>Dec-27</v>
      </c>
      <c r="CV1" s="10" t="str">
        <f t="shared" ca="1" si="1"/>
        <v>Jan-28</v>
      </c>
      <c r="CW1" s="10" t="str">
        <f t="shared" ca="1" si="1"/>
        <v>Feb-28</v>
      </c>
      <c r="CX1" s="10" t="str">
        <f t="shared" ca="1" si="1"/>
        <v>Mar-28</v>
      </c>
      <c r="CY1" s="10" t="str">
        <f t="shared" ca="1" si="1"/>
        <v>Apr-28</v>
      </c>
      <c r="CZ1" s="10" t="str">
        <f t="shared" ca="1" si="1"/>
        <v>May-28</v>
      </c>
      <c r="DA1" s="10" t="str">
        <f t="shared" ca="1" si="1"/>
        <v>Jun-28</v>
      </c>
      <c r="DB1" s="10" t="str">
        <f t="shared" ca="1" si="1"/>
        <v>Jul-28</v>
      </c>
      <c r="DC1" s="10" t="str">
        <f t="shared" ca="1" si="1"/>
        <v>Aug-28</v>
      </c>
      <c r="DD1" s="10" t="str">
        <f t="shared" ca="1" si="1"/>
        <v>Sep-28</v>
      </c>
      <c r="DE1" s="10" t="str">
        <f t="shared" ca="1" si="1"/>
        <v>Oct-28</v>
      </c>
      <c r="DF1" s="10" t="str">
        <f t="shared" ca="1" si="1"/>
        <v>Nov-28</v>
      </c>
      <c r="DG1" s="10" t="str">
        <f t="shared" ca="1" si="1"/>
        <v>Dec-28</v>
      </c>
      <c r="DH1" s="10" t="str">
        <f t="shared" ca="1" si="1"/>
        <v>Jan-29</v>
      </c>
      <c r="DI1" s="10" t="str">
        <f t="shared" ca="1" si="1"/>
        <v>Feb-29</v>
      </c>
      <c r="DJ1" s="10" t="str">
        <f t="shared" ca="1" si="1"/>
        <v>Mar-29</v>
      </c>
      <c r="DK1" s="10" t="str">
        <f t="shared" ca="1" si="1"/>
        <v>Apr-29</v>
      </c>
      <c r="DL1" s="10" t="str">
        <f t="shared" ca="1" si="1"/>
        <v>May-29</v>
      </c>
      <c r="DM1" s="10" t="str">
        <f t="shared" ca="1" si="1"/>
        <v>Jun-29</v>
      </c>
      <c r="DN1" s="10" t="str">
        <f t="shared" ca="1" si="1"/>
        <v>Jul-29</v>
      </c>
      <c r="DO1" s="10" t="str">
        <f t="shared" ca="1" si="1"/>
        <v>Aug-29</v>
      </c>
      <c r="DP1" s="10" t="str">
        <f t="shared" ca="1" si="1"/>
        <v>Sep-29</v>
      </c>
      <c r="DQ1" s="10" t="str">
        <f t="shared" ca="1" si="1"/>
        <v>Oct-29</v>
      </c>
      <c r="DR1" s="10" t="str">
        <f t="shared" ca="1" si="1"/>
        <v>Nov-29</v>
      </c>
      <c r="DS1" s="10" t="str">
        <f t="shared" ca="1" si="1"/>
        <v>Dec-29</v>
      </c>
      <c r="DT1" s="10" t="str">
        <f t="shared" ca="1" si="1"/>
        <v>Jan-30</v>
      </c>
      <c r="DU1" s="10" t="str">
        <f t="shared" ca="1" si="1"/>
        <v>Feb-30</v>
      </c>
      <c r="DV1" s="10" t="str">
        <f t="shared" ca="1" si="1"/>
        <v>Mar-30</v>
      </c>
      <c r="DW1" s="10" t="str">
        <f t="shared" ca="1" si="1"/>
        <v>Apr-30</v>
      </c>
      <c r="DX1" s="10" t="str">
        <f t="shared" ca="1" si="1"/>
        <v>May-30</v>
      </c>
      <c r="DY1" s="10" t="str">
        <f t="shared" ca="1" si="1"/>
        <v>Jun-30</v>
      </c>
      <c r="DZ1" s="10" t="str">
        <f t="shared" ca="1" si="1"/>
        <v>Jul-30</v>
      </c>
      <c r="EA1" s="10" t="str">
        <f t="shared" ca="1" si="1"/>
        <v>Aug-30</v>
      </c>
      <c r="EB1" s="10" t="str">
        <f t="shared" ca="1" si="1"/>
        <v>Sep-30</v>
      </c>
      <c r="EC1" s="10" t="str">
        <f t="shared" ca="1" si="1"/>
        <v>Oct-30</v>
      </c>
      <c r="ED1" s="10" t="str">
        <f t="shared" ref="ED1:EE1" ca="1" si="2">TEXT(DATE(YEAR(EC1), MONTH(EC1)+1, DAY(EC1)), "Mmm-yy")</f>
        <v>Nov-30</v>
      </c>
      <c r="EE1" s="10" t="str">
        <f t="shared" ca="1" si="2"/>
        <v>Dec-30</v>
      </c>
      <c r="EF1" s="9"/>
      <c r="EG1" s="9"/>
      <c r="EH1" s="9"/>
    </row>
    <row r="2" spans="1:138" x14ac:dyDescent="0.4">
      <c r="C2" s="7" t="s">
        <v>8</v>
      </c>
      <c r="D2" s="11">
        <f t="shared" ref="D2:AI2" ca="1" si="3">RANDBETWEEN(1, 100)</f>
        <v>28</v>
      </c>
      <c r="E2" s="11">
        <f t="shared" ca="1" si="3"/>
        <v>35</v>
      </c>
      <c r="F2" s="11">
        <f t="shared" ca="1" si="3"/>
        <v>84</v>
      </c>
      <c r="G2" s="11">
        <f t="shared" ca="1" si="3"/>
        <v>86</v>
      </c>
      <c r="H2" s="11">
        <f t="shared" ca="1" si="3"/>
        <v>70</v>
      </c>
      <c r="I2" s="11">
        <f t="shared" ca="1" si="3"/>
        <v>73</v>
      </c>
      <c r="J2" s="11">
        <f t="shared" ca="1" si="3"/>
        <v>89</v>
      </c>
      <c r="K2" s="11">
        <f t="shared" ca="1" si="3"/>
        <v>24</v>
      </c>
      <c r="L2" s="11">
        <f t="shared" ca="1" si="3"/>
        <v>7</v>
      </c>
      <c r="M2" s="11">
        <f t="shared" ca="1" si="3"/>
        <v>57</v>
      </c>
      <c r="N2" s="11">
        <f t="shared" ca="1" si="3"/>
        <v>57</v>
      </c>
      <c r="O2" s="11">
        <f t="shared" ca="1" si="3"/>
        <v>83</v>
      </c>
      <c r="P2" s="11">
        <f t="shared" ca="1" si="3"/>
        <v>54</v>
      </c>
      <c r="Q2" s="11">
        <f t="shared" ca="1" si="3"/>
        <v>29</v>
      </c>
      <c r="R2" s="11">
        <f t="shared" ca="1" si="3"/>
        <v>71</v>
      </c>
      <c r="S2" s="11">
        <f t="shared" ca="1" si="3"/>
        <v>45</v>
      </c>
      <c r="T2" s="11">
        <f t="shared" ca="1" si="3"/>
        <v>94</v>
      </c>
      <c r="U2" s="11">
        <f t="shared" ca="1" si="3"/>
        <v>30</v>
      </c>
      <c r="V2" s="11">
        <f t="shared" ca="1" si="3"/>
        <v>50</v>
      </c>
      <c r="W2" s="11">
        <f t="shared" ca="1" si="3"/>
        <v>86</v>
      </c>
      <c r="X2" s="11">
        <f t="shared" ca="1" si="3"/>
        <v>40</v>
      </c>
      <c r="Y2" s="11">
        <f t="shared" ca="1" si="3"/>
        <v>49</v>
      </c>
      <c r="Z2" s="11">
        <f t="shared" ca="1" si="3"/>
        <v>17</v>
      </c>
      <c r="AA2" s="11">
        <f t="shared" ca="1" si="3"/>
        <v>9</v>
      </c>
      <c r="AB2" s="11">
        <f t="shared" ca="1" si="3"/>
        <v>80</v>
      </c>
      <c r="AC2" s="11">
        <f t="shared" ca="1" si="3"/>
        <v>100</v>
      </c>
      <c r="AD2" s="11">
        <f t="shared" ca="1" si="3"/>
        <v>9</v>
      </c>
      <c r="AE2" s="11">
        <f t="shared" ca="1" si="3"/>
        <v>12</v>
      </c>
      <c r="AF2" s="11">
        <f t="shared" ca="1" si="3"/>
        <v>55</v>
      </c>
      <c r="AG2" s="11">
        <f t="shared" ca="1" si="3"/>
        <v>66</v>
      </c>
      <c r="AH2" s="11">
        <f t="shared" ca="1" si="3"/>
        <v>79</v>
      </c>
      <c r="AI2" s="11">
        <f t="shared" ca="1" si="3"/>
        <v>79</v>
      </c>
      <c r="AJ2" s="11">
        <f t="shared" ref="AJ2:BO2" ca="1" si="4">RANDBETWEEN(1, 100)</f>
        <v>2</v>
      </c>
      <c r="AK2" s="11">
        <f t="shared" ca="1" si="4"/>
        <v>32</v>
      </c>
      <c r="AL2" s="11">
        <f t="shared" ca="1" si="4"/>
        <v>43</v>
      </c>
      <c r="AM2" s="11">
        <f t="shared" ca="1" si="4"/>
        <v>9</v>
      </c>
      <c r="AN2" s="11">
        <f t="shared" ca="1" si="4"/>
        <v>60</v>
      </c>
      <c r="AO2" s="11">
        <f t="shared" ca="1" si="4"/>
        <v>17</v>
      </c>
      <c r="AP2" s="11">
        <f t="shared" ca="1" si="4"/>
        <v>82</v>
      </c>
      <c r="AQ2" s="11">
        <f t="shared" ca="1" si="4"/>
        <v>73</v>
      </c>
      <c r="AR2" s="11">
        <f t="shared" ca="1" si="4"/>
        <v>60</v>
      </c>
      <c r="AS2" s="11">
        <f t="shared" ca="1" si="4"/>
        <v>5</v>
      </c>
      <c r="AT2" s="11">
        <f t="shared" ca="1" si="4"/>
        <v>44</v>
      </c>
      <c r="AU2" s="11">
        <f t="shared" ca="1" si="4"/>
        <v>95</v>
      </c>
      <c r="AV2" s="11">
        <f t="shared" ca="1" si="4"/>
        <v>100</v>
      </c>
      <c r="AW2" s="11">
        <f t="shared" ca="1" si="4"/>
        <v>42</v>
      </c>
      <c r="AX2" s="11">
        <f t="shared" ca="1" si="4"/>
        <v>6</v>
      </c>
      <c r="AY2" s="11">
        <f t="shared" ca="1" si="4"/>
        <v>29</v>
      </c>
      <c r="AZ2" s="11">
        <f t="shared" ca="1" si="4"/>
        <v>21</v>
      </c>
      <c r="BA2" s="11">
        <f t="shared" ca="1" si="4"/>
        <v>17</v>
      </c>
      <c r="BB2" s="11">
        <f t="shared" ca="1" si="4"/>
        <v>29</v>
      </c>
      <c r="BC2" s="11">
        <f t="shared" ca="1" si="4"/>
        <v>42</v>
      </c>
      <c r="BD2" s="11">
        <f t="shared" ca="1" si="4"/>
        <v>21</v>
      </c>
      <c r="BE2" s="11">
        <f t="shared" ca="1" si="4"/>
        <v>96</v>
      </c>
      <c r="BF2" s="11">
        <f t="shared" ca="1" si="4"/>
        <v>6</v>
      </c>
      <c r="BG2" s="11">
        <f t="shared" ca="1" si="4"/>
        <v>74</v>
      </c>
      <c r="BH2" s="11">
        <f t="shared" ca="1" si="4"/>
        <v>14</v>
      </c>
      <c r="BI2" s="11">
        <f t="shared" ca="1" si="4"/>
        <v>21</v>
      </c>
      <c r="BJ2" s="11">
        <f t="shared" ca="1" si="4"/>
        <v>69</v>
      </c>
      <c r="BK2" s="11">
        <f t="shared" ca="1" si="4"/>
        <v>82</v>
      </c>
      <c r="BL2" s="11">
        <f t="shared" ca="1" si="4"/>
        <v>23</v>
      </c>
      <c r="BM2" s="11">
        <f t="shared" ca="1" si="4"/>
        <v>14</v>
      </c>
      <c r="BN2" s="11">
        <f t="shared" ca="1" si="4"/>
        <v>92</v>
      </c>
      <c r="BO2" s="11">
        <f t="shared" ca="1" si="4"/>
        <v>42</v>
      </c>
      <c r="BP2" s="11">
        <f t="shared" ref="BP2:CU2" ca="1" si="5">RANDBETWEEN(1, 100)</f>
        <v>15</v>
      </c>
      <c r="BQ2" s="11">
        <f t="shared" ca="1" si="5"/>
        <v>33</v>
      </c>
      <c r="BR2" s="11">
        <f t="shared" ca="1" si="5"/>
        <v>32</v>
      </c>
      <c r="BS2" s="11">
        <f t="shared" ca="1" si="5"/>
        <v>67</v>
      </c>
      <c r="BT2" s="11">
        <f t="shared" ca="1" si="5"/>
        <v>85</v>
      </c>
      <c r="BU2" s="11">
        <f t="shared" ca="1" si="5"/>
        <v>43</v>
      </c>
      <c r="BV2" s="11">
        <f t="shared" ca="1" si="5"/>
        <v>11</v>
      </c>
      <c r="BW2" s="11">
        <f t="shared" ca="1" si="5"/>
        <v>23</v>
      </c>
      <c r="BX2" s="11">
        <f t="shared" ca="1" si="5"/>
        <v>81</v>
      </c>
      <c r="BY2" s="11">
        <f t="shared" ca="1" si="5"/>
        <v>26</v>
      </c>
      <c r="BZ2" s="11">
        <f t="shared" ca="1" si="5"/>
        <v>99</v>
      </c>
      <c r="CA2" s="11">
        <f t="shared" ca="1" si="5"/>
        <v>11</v>
      </c>
      <c r="CB2" s="11">
        <f t="shared" ca="1" si="5"/>
        <v>93</v>
      </c>
      <c r="CC2" s="11">
        <f t="shared" ca="1" si="5"/>
        <v>42</v>
      </c>
      <c r="CD2" s="11">
        <f t="shared" ca="1" si="5"/>
        <v>15</v>
      </c>
      <c r="CE2" s="11">
        <f t="shared" ca="1" si="5"/>
        <v>22</v>
      </c>
      <c r="CF2" s="11">
        <f t="shared" ca="1" si="5"/>
        <v>96</v>
      </c>
      <c r="CG2" s="11">
        <f t="shared" ca="1" si="5"/>
        <v>23</v>
      </c>
      <c r="CH2" s="11">
        <f t="shared" ca="1" si="5"/>
        <v>4</v>
      </c>
      <c r="CI2" s="11">
        <f t="shared" ca="1" si="5"/>
        <v>99</v>
      </c>
      <c r="CJ2" s="11">
        <f t="shared" ca="1" si="5"/>
        <v>82</v>
      </c>
      <c r="CK2" s="11">
        <f t="shared" ca="1" si="5"/>
        <v>30</v>
      </c>
      <c r="CL2" s="11">
        <f t="shared" ca="1" si="5"/>
        <v>33</v>
      </c>
      <c r="CM2" s="11">
        <f t="shared" ca="1" si="5"/>
        <v>1</v>
      </c>
      <c r="CN2" s="11">
        <f t="shared" ca="1" si="5"/>
        <v>95</v>
      </c>
      <c r="CO2" s="11">
        <f t="shared" ca="1" si="5"/>
        <v>58</v>
      </c>
      <c r="CP2" s="11">
        <f t="shared" ca="1" si="5"/>
        <v>62</v>
      </c>
      <c r="CQ2" s="11">
        <f t="shared" ca="1" si="5"/>
        <v>7</v>
      </c>
      <c r="CR2" s="11">
        <f t="shared" ca="1" si="5"/>
        <v>18</v>
      </c>
      <c r="CS2" s="11">
        <f t="shared" ca="1" si="5"/>
        <v>69</v>
      </c>
      <c r="CT2" s="11">
        <f t="shared" ca="1" si="5"/>
        <v>91</v>
      </c>
      <c r="CU2" s="11">
        <f t="shared" ca="1" si="5"/>
        <v>37</v>
      </c>
      <c r="CV2" s="11">
        <f t="shared" ref="CV2:EE2" ca="1" si="6">RANDBETWEEN(1, 100)</f>
        <v>73</v>
      </c>
      <c r="CW2" s="11">
        <f t="shared" ca="1" si="6"/>
        <v>51</v>
      </c>
      <c r="CX2" s="11">
        <f t="shared" ca="1" si="6"/>
        <v>63</v>
      </c>
      <c r="CY2" s="11">
        <f t="shared" ca="1" si="6"/>
        <v>78</v>
      </c>
      <c r="CZ2" s="11">
        <f t="shared" ca="1" si="6"/>
        <v>46</v>
      </c>
      <c r="DA2" s="11">
        <f t="shared" ca="1" si="6"/>
        <v>26</v>
      </c>
      <c r="DB2" s="11">
        <f t="shared" ca="1" si="6"/>
        <v>1</v>
      </c>
      <c r="DC2" s="11">
        <f t="shared" ca="1" si="6"/>
        <v>72</v>
      </c>
      <c r="DD2" s="11">
        <f t="shared" ca="1" si="6"/>
        <v>82</v>
      </c>
      <c r="DE2" s="11">
        <f t="shared" ca="1" si="6"/>
        <v>14</v>
      </c>
      <c r="DF2" s="11">
        <f t="shared" ca="1" si="6"/>
        <v>2</v>
      </c>
      <c r="DG2" s="11">
        <f t="shared" ca="1" si="6"/>
        <v>43</v>
      </c>
      <c r="DH2" s="11">
        <f t="shared" ca="1" si="6"/>
        <v>31</v>
      </c>
      <c r="DI2" s="11">
        <f t="shared" ca="1" si="6"/>
        <v>54</v>
      </c>
      <c r="DJ2" s="11">
        <f t="shared" ca="1" si="6"/>
        <v>35</v>
      </c>
      <c r="DK2" s="11">
        <f t="shared" ca="1" si="6"/>
        <v>88</v>
      </c>
      <c r="DL2" s="11">
        <f t="shared" ca="1" si="6"/>
        <v>30</v>
      </c>
      <c r="DM2" s="11">
        <f t="shared" ca="1" si="6"/>
        <v>50</v>
      </c>
      <c r="DN2" s="11">
        <f t="shared" ca="1" si="6"/>
        <v>50</v>
      </c>
      <c r="DO2" s="11">
        <f t="shared" ca="1" si="6"/>
        <v>84</v>
      </c>
      <c r="DP2" s="11">
        <f t="shared" ca="1" si="6"/>
        <v>55</v>
      </c>
      <c r="DQ2" s="11">
        <f t="shared" ca="1" si="6"/>
        <v>70</v>
      </c>
      <c r="DR2" s="11">
        <f t="shared" ca="1" si="6"/>
        <v>85</v>
      </c>
      <c r="DS2" s="11">
        <f t="shared" ca="1" si="6"/>
        <v>100</v>
      </c>
      <c r="DT2" s="11">
        <f t="shared" ca="1" si="6"/>
        <v>70</v>
      </c>
      <c r="DU2" s="11">
        <f t="shared" ca="1" si="6"/>
        <v>71</v>
      </c>
      <c r="DV2" s="11">
        <f t="shared" ca="1" si="6"/>
        <v>8</v>
      </c>
      <c r="DW2" s="11">
        <f t="shared" ca="1" si="6"/>
        <v>59</v>
      </c>
      <c r="DX2" s="11">
        <f t="shared" ca="1" si="6"/>
        <v>24</v>
      </c>
      <c r="DY2" s="11">
        <f t="shared" ca="1" si="6"/>
        <v>53</v>
      </c>
      <c r="DZ2" s="11">
        <f t="shared" ca="1" si="6"/>
        <v>3</v>
      </c>
      <c r="EA2" s="11">
        <f t="shared" ca="1" si="6"/>
        <v>18</v>
      </c>
      <c r="EB2" s="11">
        <f t="shared" ca="1" si="6"/>
        <v>7</v>
      </c>
      <c r="EC2" s="11">
        <f t="shared" ca="1" si="6"/>
        <v>68</v>
      </c>
      <c r="ED2" s="11">
        <f t="shared" ca="1" si="6"/>
        <v>58</v>
      </c>
      <c r="EE2" s="11">
        <f t="shared" ca="1" si="6"/>
        <v>37</v>
      </c>
    </row>
    <row r="3" spans="1:138" x14ac:dyDescent="0.4">
      <c r="A3" t="s">
        <v>184</v>
      </c>
      <c r="C3" s="7" t="s">
        <v>39</v>
      </c>
      <c r="D3" s="11">
        <f t="shared" ref="D3:M10" ca="1" si="7">RAND()</f>
        <v>0.58972396315342912</v>
      </c>
      <c r="E3" s="11">
        <f t="shared" ca="1" si="7"/>
        <v>0.35481935783192042</v>
      </c>
      <c r="F3" s="11">
        <f t="shared" ca="1" si="7"/>
        <v>0.71469037789881651</v>
      </c>
      <c r="G3" s="11">
        <f t="shared" ca="1" si="7"/>
        <v>5.9391629578527172E-2</v>
      </c>
      <c r="H3" s="11">
        <f t="shared" ca="1" si="7"/>
        <v>0.67340492499057403</v>
      </c>
      <c r="I3" s="11">
        <f t="shared" ca="1" si="7"/>
        <v>0.69840970219951248</v>
      </c>
      <c r="J3" s="11">
        <f t="shared" ca="1" si="7"/>
        <v>0.54810923467385131</v>
      </c>
      <c r="K3" s="11">
        <f t="shared" ca="1" si="7"/>
        <v>0.57578580924614575</v>
      </c>
      <c r="L3" s="11">
        <f t="shared" ca="1" si="7"/>
        <v>0.77364750058359688</v>
      </c>
      <c r="M3" s="11">
        <f t="shared" ca="1" si="7"/>
        <v>5.9716135000351889E-2</v>
      </c>
      <c r="N3" s="11">
        <f t="shared" ref="N3:W10" ca="1" si="8">RAND()</f>
        <v>0.10328853697879559</v>
      </c>
      <c r="O3" s="11">
        <f t="shared" ca="1" si="8"/>
        <v>0.73528489863332569</v>
      </c>
      <c r="P3" s="11">
        <f t="shared" ca="1" si="8"/>
        <v>0.9754314351369312</v>
      </c>
      <c r="Q3" s="11">
        <f t="shared" ca="1" si="8"/>
        <v>0.376763945625057</v>
      </c>
      <c r="R3" s="11">
        <f t="shared" ca="1" si="8"/>
        <v>0.66590925344173535</v>
      </c>
      <c r="S3" s="11">
        <f t="shared" ca="1" si="8"/>
        <v>3.8269016917517051E-2</v>
      </c>
      <c r="T3" s="11">
        <f t="shared" ca="1" si="8"/>
        <v>0.67561663003031303</v>
      </c>
      <c r="U3" s="11">
        <f t="shared" ca="1" si="8"/>
        <v>0.74321617226799308</v>
      </c>
      <c r="V3" s="11">
        <f t="shared" ca="1" si="8"/>
        <v>0.31728230899223131</v>
      </c>
      <c r="W3" s="11">
        <f t="shared" ca="1" si="8"/>
        <v>0.48971910952921904</v>
      </c>
      <c r="X3" s="11">
        <f t="shared" ref="X3:AG10" ca="1" si="9">RAND()</f>
        <v>0.44621008720587096</v>
      </c>
      <c r="Y3" s="11">
        <f t="shared" ca="1" si="9"/>
        <v>0.99918253373345867</v>
      </c>
      <c r="Z3" s="11">
        <f t="shared" ca="1" si="9"/>
        <v>0.8634243115218605</v>
      </c>
      <c r="AA3" s="11">
        <f t="shared" ca="1" si="9"/>
        <v>7.0395548250248408E-2</v>
      </c>
      <c r="AB3" s="11">
        <f t="shared" ca="1" si="9"/>
        <v>0.97577823027821442</v>
      </c>
      <c r="AC3" s="11">
        <f t="shared" ca="1" si="9"/>
        <v>0.99961404863660386</v>
      </c>
      <c r="AD3" s="11">
        <f t="shared" ca="1" si="9"/>
        <v>0.25070003887399528</v>
      </c>
      <c r="AE3" s="11">
        <f t="shared" ca="1" si="9"/>
        <v>2.1765527780916227E-2</v>
      </c>
      <c r="AF3" s="11">
        <f t="shared" ca="1" si="9"/>
        <v>0.80346690445361313</v>
      </c>
      <c r="AG3" s="11">
        <f t="shared" ca="1" si="9"/>
        <v>0.80758780723396872</v>
      </c>
      <c r="AH3" s="11">
        <f t="shared" ref="AH3:AQ10" ca="1" si="10">RAND()</f>
        <v>3.0258339546253676E-2</v>
      </c>
      <c r="AI3" s="11">
        <f t="shared" ca="1" si="10"/>
        <v>0.3592673513873319</v>
      </c>
      <c r="AJ3" s="11">
        <f t="shared" ca="1" si="10"/>
        <v>0.44949009783966343</v>
      </c>
      <c r="AK3" s="11">
        <f t="shared" ca="1" si="10"/>
        <v>0.78400113340123667</v>
      </c>
      <c r="AL3" s="11">
        <f t="shared" ca="1" si="10"/>
        <v>0.15286679282643478</v>
      </c>
      <c r="AM3" s="11">
        <f t="shared" ca="1" si="10"/>
        <v>0.38528236950885997</v>
      </c>
      <c r="AN3" s="11">
        <f t="shared" ca="1" si="10"/>
        <v>0.16611080060162009</v>
      </c>
      <c r="AO3" s="11">
        <f t="shared" ca="1" si="10"/>
        <v>0.78230722104457395</v>
      </c>
      <c r="AP3" s="11">
        <f t="shared" ca="1" si="10"/>
        <v>0.75925369215506078</v>
      </c>
      <c r="AQ3" s="11">
        <f t="shared" ca="1" si="10"/>
        <v>4.3918265486727837E-2</v>
      </c>
      <c r="AR3" s="11">
        <f t="shared" ref="AR3:BA10" ca="1" si="11">RAND()</f>
        <v>0.15466691489970752</v>
      </c>
      <c r="AS3" s="11">
        <f t="shared" ca="1" si="11"/>
        <v>0.21365386683784826</v>
      </c>
      <c r="AT3" s="11">
        <f t="shared" ca="1" si="11"/>
        <v>0.39601242861149111</v>
      </c>
      <c r="AU3" s="11">
        <f t="shared" ca="1" si="11"/>
        <v>0.94362121714135583</v>
      </c>
      <c r="AV3" s="11">
        <f t="shared" ca="1" si="11"/>
        <v>0.65329262294557411</v>
      </c>
      <c r="AW3" s="11">
        <f t="shared" ca="1" si="11"/>
        <v>0.76976480438466366</v>
      </c>
      <c r="AX3" s="11">
        <f t="shared" ca="1" si="11"/>
        <v>0.2221590946110007</v>
      </c>
      <c r="AY3" s="11">
        <f t="shared" ca="1" si="11"/>
        <v>0.38762715832185635</v>
      </c>
      <c r="AZ3" s="11">
        <f t="shared" ca="1" si="11"/>
        <v>0.57459730780418461</v>
      </c>
      <c r="BA3" s="11">
        <f t="shared" ca="1" si="11"/>
        <v>0.42842756825358719</v>
      </c>
      <c r="BB3" s="11">
        <f t="shared" ref="BB3:BK10" ca="1" si="12">RAND()</f>
        <v>0.36962332054413949</v>
      </c>
      <c r="BC3" s="11">
        <f t="shared" ca="1" si="12"/>
        <v>0.35085512399871344</v>
      </c>
      <c r="BD3" s="11">
        <f t="shared" ca="1" si="12"/>
        <v>0.3398842266104396</v>
      </c>
      <c r="BE3" s="11">
        <f t="shared" ca="1" si="12"/>
        <v>0.67767204627756383</v>
      </c>
      <c r="BF3" s="11">
        <f t="shared" ca="1" si="12"/>
        <v>0.10579941428126349</v>
      </c>
      <c r="BG3" s="11">
        <f t="shared" ca="1" si="12"/>
        <v>0.71702308415080018</v>
      </c>
      <c r="BH3" s="11">
        <f t="shared" ca="1" si="12"/>
        <v>0.17386409627371002</v>
      </c>
      <c r="BI3" s="11">
        <f t="shared" ca="1" si="12"/>
        <v>0.2082547451167539</v>
      </c>
      <c r="BJ3" s="11">
        <f t="shared" ca="1" si="12"/>
        <v>0.80294999603922179</v>
      </c>
      <c r="BK3" s="11">
        <f t="shared" ca="1" si="12"/>
        <v>0.15753845251584553</v>
      </c>
      <c r="BL3" s="11">
        <f t="shared" ref="BL3:BU10" ca="1" si="13">RAND()</f>
        <v>0.89174813381854712</v>
      </c>
      <c r="BM3" s="11">
        <f t="shared" ca="1" si="13"/>
        <v>0.73287835530502743</v>
      </c>
      <c r="BN3" s="11">
        <f t="shared" ca="1" si="13"/>
        <v>0.3673567185948019</v>
      </c>
      <c r="BO3" s="11">
        <f t="shared" ca="1" si="13"/>
        <v>0.67658026111206526</v>
      </c>
      <c r="BP3" s="11">
        <f t="shared" ca="1" si="13"/>
        <v>0.47782425247406468</v>
      </c>
      <c r="BQ3" s="11">
        <f t="shared" ca="1" si="13"/>
        <v>0.8092882360653646</v>
      </c>
      <c r="BR3" s="11">
        <f t="shared" ca="1" si="13"/>
        <v>0.59598305765641724</v>
      </c>
      <c r="BS3" s="11">
        <f t="shared" ca="1" si="13"/>
        <v>0.71372187295977296</v>
      </c>
      <c r="BT3" s="11">
        <f t="shared" ca="1" si="13"/>
        <v>0.38317140841630315</v>
      </c>
      <c r="BU3" s="11">
        <f t="shared" ca="1" si="13"/>
        <v>0.56972600841060284</v>
      </c>
      <c r="BV3" s="11">
        <f t="shared" ref="BV3:CE10" ca="1" si="14">RAND()</f>
        <v>0.54195771525468162</v>
      </c>
      <c r="BW3" s="11">
        <f t="shared" ca="1" si="14"/>
        <v>7.2585672892788722E-2</v>
      </c>
      <c r="BX3" s="11">
        <f t="shared" ca="1" si="14"/>
        <v>0.17751650187097479</v>
      </c>
      <c r="BY3" s="11">
        <f t="shared" ca="1" si="14"/>
        <v>0.53560332985061654</v>
      </c>
      <c r="BZ3" s="11">
        <f t="shared" ca="1" si="14"/>
        <v>0.75725832207440547</v>
      </c>
      <c r="CA3" s="11">
        <f t="shared" ca="1" si="14"/>
        <v>0.94968381910093957</v>
      </c>
      <c r="CB3" s="11">
        <f t="shared" ca="1" si="14"/>
        <v>0.24291389560666821</v>
      </c>
      <c r="CC3" s="11">
        <f t="shared" ca="1" si="14"/>
        <v>0.5861952580348978</v>
      </c>
      <c r="CD3" s="11">
        <f t="shared" ca="1" si="14"/>
        <v>3.7263577056074637E-2</v>
      </c>
      <c r="CE3" s="11">
        <f t="shared" ca="1" si="14"/>
        <v>0.88164549445993989</v>
      </c>
      <c r="CF3" s="11">
        <f t="shared" ref="CF3:CO10" ca="1" si="15">RAND()</f>
        <v>0.79388136805067366</v>
      </c>
      <c r="CG3" s="11">
        <f t="shared" ca="1" si="15"/>
        <v>0.90445464635357065</v>
      </c>
      <c r="CH3" s="11">
        <f t="shared" ca="1" si="15"/>
        <v>0.99848458419952746</v>
      </c>
      <c r="CI3" s="11">
        <f t="shared" ca="1" si="15"/>
        <v>0.43057493052117979</v>
      </c>
      <c r="CJ3" s="11">
        <f t="shared" ca="1" si="15"/>
        <v>0.34360739403824192</v>
      </c>
      <c r="CK3" s="11">
        <f t="shared" ca="1" si="15"/>
        <v>0.4260902540948921</v>
      </c>
      <c r="CL3" s="11">
        <f t="shared" ca="1" si="15"/>
        <v>4.4719053652340968E-2</v>
      </c>
      <c r="CM3" s="11">
        <f t="shared" ca="1" si="15"/>
        <v>0.3235837760752216</v>
      </c>
      <c r="CN3" s="11">
        <f t="shared" ca="1" si="15"/>
        <v>0.4657546844639473</v>
      </c>
      <c r="CO3" s="11">
        <f t="shared" ca="1" si="15"/>
        <v>0.42842801648303752</v>
      </c>
      <c r="CP3" s="11">
        <f t="shared" ref="CP3:CY10" ca="1" si="16">RAND()</f>
        <v>0.57193753551701199</v>
      </c>
      <c r="CQ3" s="11">
        <f t="shared" ca="1" si="16"/>
        <v>0.47323321487181791</v>
      </c>
      <c r="CR3" s="11">
        <f t="shared" ca="1" si="16"/>
        <v>0.51538873801223184</v>
      </c>
      <c r="CS3" s="11">
        <f t="shared" ca="1" si="16"/>
        <v>0.27579021503809342</v>
      </c>
      <c r="CT3" s="11">
        <f t="shared" ca="1" si="16"/>
        <v>2.9136459504254253E-2</v>
      </c>
      <c r="CU3" s="11">
        <f t="shared" ca="1" si="16"/>
        <v>0.76125964198280271</v>
      </c>
      <c r="CV3" s="11">
        <f t="shared" ca="1" si="16"/>
        <v>0.21134664662233282</v>
      </c>
      <c r="CW3" s="11">
        <f t="shared" ca="1" si="16"/>
        <v>0.98886429207391269</v>
      </c>
      <c r="CX3" s="11">
        <f t="shared" ca="1" si="16"/>
        <v>0.14882047596956027</v>
      </c>
      <c r="CY3" s="11">
        <f t="shared" ca="1" si="16"/>
        <v>0.85596988059302959</v>
      </c>
      <c r="CZ3" s="11">
        <f t="shared" ref="CZ3:DI10" ca="1" si="17">RAND()</f>
        <v>0.449736090353832</v>
      </c>
      <c r="DA3" s="11">
        <f t="shared" ca="1" si="17"/>
        <v>0.18976618181525862</v>
      </c>
      <c r="DB3" s="11">
        <f t="shared" ca="1" si="17"/>
        <v>0.67954993555749721</v>
      </c>
      <c r="DC3" s="11">
        <f t="shared" ca="1" si="17"/>
        <v>0.92329542761981409</v>
      </c>
      <c r="DD3" s="11">
        <f t="shared" ca="1" si="17"/>
        <v>2.8387246792199394E-2</v>
      </c>
      <c r="DE3" s="11">
        <f t="shared" ca="1" si="17"/>
        <v>0.973151772024198</v>
      </c>
      <c r="DF3" s="11">
        <f t="shared" ca="1" si="17"/>
        <v>0.54715467286445651</v>
      </c>
      <c r="DG3" s="11">
        <f t="shared" ca="1" si="17"/>
        <v>0.23869369581524869</v>
      </c>
      <c r="DH3" s="11">
        <f t="shared" ca="1" si="17"/>
        <v>0.69515566088466474</v>
      </c>
      <c r="DI3" s="11">
        <f t="shared" ca="1" si="17"/>
        <v>0.55139087645274232</v>
      </c>
      <c r="DJ3" s="11">
        <f t="shared" ref="DJ3:DS10" ca="1" si="18">RAND()</f>
        <v>0.60717179698380519</v>
      </c>
      <c r="DK3" s="11">
        <f t="shared" ca="1" si="18"/>
        <v>0.29977817043457688</v>
      </c>
      <c r="DL3" s="11">
        <f t="shared" ca="1" si="18"/>
        <v>0.36923883072796915</v>
      </c>
      <c r="DM3" s="11">
        <f t="shared" ca="1" si="18"/>
        <v>0.11642830802339066</v>
      </c>
      <c r="DN3" s="11">
        <f t="shared" ca="1" si="18"/>
        <v>0.9670708647164441</v>
      </c>
      <c r="DO3" s="11">
        <f t="shared" ca="1" si="18"/>
        <v>1.4719873777761516E-2</v>
      </c>
      <c r="DP3" s="11">
        <f t="shared" ca="1" si="18"/>
        <v>0.91987328883782171</v>
      </c>
      <c r="DQ3" s="11">
        <f t="shared" ca="1" si="18"/>
        <v>0.50253019139487942</v>
      </c>
      <c r="DR3" s="11">
        <f t="shared" ca="1" si="18"/>
        <v>0.64673559398376801</v>
      </c>
      <c r="DS3" s="11">
        <f t="shared" ca="1" si="18"/>
        <v>0.52758702935714963</v>
      </c>
      <c r="DT3" s="11">
        <f t="shared" ref="DT3:EE10" ca="1" si="19">RAND()</f>
        <v>0.67805726453568216</v>
      </c>
      <c r="DU3" s="11">
        <f t="shared" ca="1" si="19"/>
        <v>0.46982581484275432</v>
      </c>
      <c r="DV3" s="11">
        <f t="shared" ca="1" si="19"/>
        <v>0.71211089509109382</v>
      </c>
      <c r="DW3" s="11">
        <f t="shared" ca="1" si="19"/>
        <v>0.93329464120854189</v>
      </c>
      <c r="DX3" s="11">
        <f t="shared" ca="1" si="19"/>
        <v>0.74929624755169422</v>
      </c>
      <c r="DY3" s="11">
        <f t="shared" ca="1" si="19"/>
        <v>0.40951602469982185</v>
      </c>
      <c r="DZ3" s="11">
        <f t="shared" ca="1" si="19"/>
        <v>0.41539591198086268</v>
      </c>
      <c r="EA3" s="11">
        <f t="shared" ca="1" si="19"/>
        <v>0.4261807435842373</v>
      </c>
      <c r="EB3" s="11">
        <f t="shared" ca="1" si="19"/>
        <v>3.0639034099705253E-2</v>
      </c>
      <c r="EC3" s="11">
        <f t="shared" ca="1" si="19"/>
        <v>0.40147125256723459</v>
      </c>
      <c r="ED3" s="11">
        <f t="shared" ca="1" si="19"/>
        <v>0.73545102621050518</v>
      </c>
      <c r="EE3" s="11">
        <f t="shared" ca="1" si="19"/>
        <v>0.59967576182030558</v>
      </c>
    </row>
    <row r="4" spans="1:138" x14ac:dyDescent="0.4">
      <c r="C4" s="7" t="s">
        <v>9</v>
      </c>
      <c r="D4" s="11">
        <f t="shared" ca="1" si="7"/>
        <v>0.81489311057012714</v>
      </c>
      <c r="E4" s="11">
        <f t="shared" ca="1" si="7"/>
        <v>0.27868890692587078</v>
      </c>
      <c r="F4" s="11">
        <f t="shared" ca="1" si="7"/>
        <v>0.2882064832442266</v>
      </c>
      <c r="G4" s="11">
        <f t="shared" ca="1" si="7"/>
        <v>0.7771392007641742</v>
      </c>
      <c r="H4" s="11">
        <f t="shared" ca="1" si="7"/>
        <v>0.64131213753599148</v>
      </c>
      <c r="I4" s="11">
        <f t="shared" ca="1" si="7"/>
        <v>0.12475151386085914</v>
      </c>
      <c r="J4" s="11">
        <f t="shared" ca="1" si="7"/>
        <v>0.61596738708340737</v>
      </c>
      <c r="K4" s="11">
        <f t="shared" ca="1" si="7"/>
        <v>0.72259576040541063</v>
      </c>
      <c r="L4" s="11">
        <f t="shared" ca="1" si="7"/>
        <v>8.7611038743340086E-2</v>
      </c>
      <c r="M4" s="11">
        <f t="shared" ca="1" si="7"/>
        <v>0.30243354398950051</v>
      </c>
      <c r="N4" s="11">
        <f t="shared" ca="1" si="8"/>
        <v>0.37341907024304133</v>
      </c>
      <c r="O4" s="11">
        <f t="shared" ca="1" si="8"/>
        <v>0.26265335910506782</v>
      </c>
      <c r="P4" s="11">
        <f t="shared" ca="1" si="8"/>
        <v>0.443986110805346</v>
      </c>
      <c r="Q4" s="11">
        <f t="shared" ca="1" si="8"/>
        <v>0.9471512669320713</v>
      </c>
      <c r="R4" s="11">
        <f t="shared" ca="1" si="8"/>
        <v>0.58860281098373779</v>
      </c>
      <c r="S4" s="11">
        <f t="shared" ca="1" si="8"/>
        <v>0.87417076623519285</v>
      </c>
      <c r="T4" s="11">
        <f t="shared" ca="1" si="8"/>
        <v>0.99383079428879817</v>
      </c>
      <c r="U4" s="11">
        <f t="shared" ca="1" si="8"/>
        <v>0.86323519149089645</v>
      </c>
      <c r="V4" s="11">
        <f t="shared" ca="1" si="8"/>
        <v>0.10696232482865853</v>
      </c>
      <c r="W4" s="11">
        <f t="shared" ca="1" si="8"/>
        <v>0.74297784005123735</v>
      </c>
      <c r="X4" s="11">
        <f t="shared" ca="1" si="9"/>
        <v>0.79169148318866689</v>
      </c>
      <c r="Y4" s="11">
        <f t="shared" ca="1" si="9"/>
        <v>0.6345728979261025</v>
      </c>
      <c r="Z4" s="11">
        <f t="shared" ca="1" si="9"/>
        <v>0.6693768539405347</v>
      </c>
      <c r="AA4" s="11">
        <f t="shared" ca="1" si="9"/>
        <v>0.78389621442390001</v>
      </c>
      <c r="AB4" s="11">
        <f t="shared" ca="1" si="9"/>
        <v>0.45968524847731285</v>
      </c>
      <c r="AC4" s="11">
        <f t="shared" ca="1" si="9"/>
        <v>0.58632371874788003</v>
      </c>
      <c r="AD4" s="11">
        <f t="shared" ca="1" si="9"/>
        <v>0.80930919984009542</v>
      </c>
      <c r="AE4" s="11">
        <f t="shared" ca="1" si="9"/>
        <v>0.76259402678560029</v>
      </c>
      <c r="AF4" s="11">
        <f t="shared" ca="1" si="9"/>
        <v>0.3397250816513725</v>
      </c>
      <c r="AG4" s="11">
        <f t="shared" ca="1" si="9"/>
        <v>0.47892963876953121</v>
      </c>
      <c r="AH4" s="11">
        <f t="shared" ca="1" si="10"/>
        <v>0.13041457075747787</v>
      </c>
      <c r="AI4" s="11">
        <f t="shared" ca="1" si="10"/>
        <v>0.12554441794435423</v>
      </c>
      <c r="AJ4" s="11">
        <f t="shared" ca="1" si="10"/>
        <v>8.0384135830943726E-2</v>
      </c>
      <c r="AK4" s="11">
        <f t="shared" ca="1" si="10"/>
        <v>0.72380928677579603</v>
      </c>
      <c r="AL4" s="11">
        <f t="shared" ca="1" si="10"/>
        <v>0.71694833930299573</v>
      </c>
      <c r="AM4" s="11">
        <f t="shared" ca="1" si="10"/>
        <v>0.77196586544938306</v>
      </c>
      <c r="AN4" s="11">
        <f t="shared" ca="1" si="10"/>
        <v>0.41865765785493536</v>
      </c>
      <c r="AO4" s="11">
        <f t="shared" ca="1" si="10"/>
        <v>0.92281704926211539</v>
      </c>
      <c r="AP4" s="11">
        <f t="shared" ca="1" si="10"/>
        <v>8.705660157227646E-2</v>
      </c>
      <c r="AQ4" s="11">
        <f t="shared" ca="1" si="10"/>
        <v>0.47630003105546082</v>
      </c>
      <c r="AR4" s="11">
        <f t="shared" ca="1" si="11"/>
        <v>0.3511838077352244</v>
      </c>
      <c r="AS4" s="11">
        <f t="shared" ca="1" si="11"/>
        <v>0.35602519223207008</v>
      </c>
      <c r="AT4" s="11">
        <f t="shared" ca="1" si="11"/>
        <v>0.43444329150556449</v>
      </c>
      <c r="AU4" s="11">
        <f t="shared" ca="1" si="11"/>
        <v>0.61496518011173185</v>
      </c>
      <c r="AV4" s="11">
        <f t="shared" ca="1" si="11"/>
        <v>0.50157083899369259</v>
      </c>
      <c r="AW4" s="11">
        <f t="shared" ca="1" si="11"/>
        <v>0.55783888851196262</v>
      </c>
      <c r="AX4" s="11">
        <f t="shared" ca="1" si="11"/>
        <v>0.88391165607878774</v>
      </c>
      <c r="AY4" s="11">
        <f t="shared" ca="1" si="11"/>
        <v>0.51378779105265793</v>
      </c>
      <c r="AZ4" s="11">
        <f t="shared" ca="1" si="11"/>
        <v>0.53261344684131895</v>
      </c>
      <c r="BA4" s="11">
        <f t="shared" ca="1" si="11"/>
        <v>0.36783556007587381</v>
      </c>
      <c r="BB4" s="11">
        <f t="shared" ca="1" si="12"/>
        <v>0.17520700741720241</v>
      </c>
      <c r="BC4" s="11">
        <f t="shared" ca="1" si="12"/>
        <v>0.28731439209213383</v>
      </c>
      <c r="BD4" s="11">
        <f t="shared" ca="1" si="12"/>
        <v>0.768471688627545</v>
      </c>
      <c r="BE4" s="11">
        <f t="shared" ca="1" si="12"/>
        <v>0.12217787102387789</v>
      </c>
      <c r="BF4" s="11">
        <f t="shared" ca="1" si="12"/>
        <v>0.33312686048516571</v>
      </c>
      <c r="BG4" s="11">
        <f t="shared" ca="1" si="12"/>
        <v>0.70588272121771956</v>
      </c>
      <c r="BH4" s="11">
        <f t="shared" ca="1" si="12"/>
        <v>0.77300896116720452</v>
      </c>
      <c r="BI4" s="11">
        <f t="shared" ca="1" si="12"/>
        <v>0.22258730098610213</v>
      </c>
      <c r="BJ4" s="11">
        <f t="shared" ca="1" si="12"/>
        <v>0.16491950092647678</v>
      </c>
      <c r="BK4" s="11">
        <f t="shared" ca="1" si="12"/>
        <v>0.41743434993993345</v>
      </c>
      <c r="BL4" s="11">
        <f t="shared" ca="1" si="13"/>
        <v>0.16180680629874233</v>
      </c>
      <c r="BM4" s="11">
        <f t="shared" ca="1" si="13"/>
        <v>0.41177894826428052</v>
      </c>
      <c r="BN4" s="11">
        <f t="shared" ca="1" si="13"/>
        <v>0.41640473652520527</v>
      </c>
      <c r="BO4" s="11">
        <f t="shared" ca="1" si="13"/>
        <v>0.5073122243808571</v>
      </c>
      <c r="BP4" s="11">
        <f t="shared" ca="1" si="13"/>
        <v>0.41021664490737531</v>
      </c>
      <c r="BQ4" s="11">
        <f t="shared" ca="1" si="13"/>
        <v>0.73724217066631592</v>
      </c>
      <c r="BR4" s="11">
        <f t="shared" ca="1" si="13"/>
        <v>0.59881283496276316</v>
      </c>
      <c r="BS4" s="11">
        <f t="shared" ca="1" si="13"/>
        <v>0.30171599187293507</v>
      </c>
      <c r="BT4" s="11">
        <f t="shared" ca="1" si="13"/>
        <v>0.29252233693470675</v>
      </c>
      <c r="BU4" s="11">
        <f t="shared" ca="1" si="13"/>
        <v>0.91585015710128492</v>
      </c>
      <c r="BV4" s="11">
        <f t="shared" ca="1" si="14"/>
        <v>0.12858096106624561</v>
      </c>
      <c r="BW4" s="11">
        <f t="shared" ca="1" si="14"/>
        <v>0.77045016947248357</v>
      </c>
      <c r="BX4" s="11">
        <f t="shared" ca="1" si="14"/>
        <v>0.29128311648717797</v>
      </c>
      <c r="BY4" s="11">
        <f t="shared" ca="1" si="14"/>
        <v>0.328272197029705</v>
      </c>
      <c r="BZ4" s="11">
        <f t="shared" ca="1" si="14"/>
        <v>0.39865958938582202</v>
      </c>
      <c r="CA4" s="11">
        <f t="shared" ca="1" si="14"/>
        <v>0.77521862642555728</v>
      </c>
      <c r="CB4" s="11">
        <f t="shared" ca="1" si="14"/>
        <v>0.83445635251665784</v>
      </c>
      <c r="CC4" s="11">
        <f t="shared" ca="1" si="14"/>
        <v>0.44394877039929725</v>
      </c>
      <c r="CD4" s="11">
        <f t="shared" ca="1" si="14"/>
        <v>0.99685682203434434</v>
      </c>
      <c r="CE4" s="11">
        <f t="shared" ca="1" si="14"/>
        <v>0.37025526069891135</v>
      </c>
      <c r="CF4" s="11">
        <f t="shared" ca="1" si="15"/>
        <v>0.63832658669032283</v>
      </c>
      <c r="CG4" s="11">
        <f t="shared" ca="1" si="15"/>
        <v>0.60441181097293806</v>
      </c>
      <c r="CH4" s="11">
        <f t="shared" ca="1" si="15"/>
        <v>0.95508370558277211</v>
      </c>
      <c r="CI4" s="11">
        <f t="shared" ca="1" si="15"/>
        <v>0.19553590111037267</v>
      </c>
      <c r="CJ4" s="11">
        <f t="shared" ca="1" si="15"/>
        <v>0.80359214178776694</v>
      </c>
      <c r="CK4" s="11">
        <f t="shared" ca="1" si="15"/>
        <v>6.5653403724479364E-3</v>
      </c>
      <c r="CL4" s="11">
        <f t="shared" ca="1" si="15"/>
        <v>0.80926552340783109</v>
      </c>
      <c r="CM4" s="11">
        <f t="shared" ca="1" si="15"/>
        <v>0.53693361929154793</v>
      </c>
      <c r="CN4" s="11">
        <f t="shared" ca="1" si="15"/>
        <v>0.21684867453283063</v>
      </c>
      <c r="CO4" s="11">
        <f t="shared" ca="1" si="15"/>
        <v>0.74053277005837082</v>
      </c>
      <c r="CP4" s="11">
        <f t="shared" ca="1" si="16"/>
        <v>0.51358406757976927</v>
      </c>
      <c r="CQ4" s="11">
        <f t="shared" ca="1" si="16"/>
        <v>0.90076766527367869</v>
      </c>
      <c r="CR4" s="11">
        <f t="shared" ca="1" si="16"/>
        <v>0.94508012569275568</v>
      </c>
      <c r="CS4" s="11">
        <f t="shared" ca="1" si="16"/>
        <v>0.57921938290149511</v>
      </c>
      <c r="CT4" s="11">
        <f t="shared" ca="1" si="16"/>
        <v>0.15450568835641487</v>
      </c>
      <c r="CU4" s="11">
        <f t="shared" ca="1" si="16"/>
        <v>7.4990249492888017E-2</v>
      </c>
      <c r="CV4" s="11">
        <f t="shared" ca="1" si="16"/>
        <v>0.11080196745280879</v>
      </c>
      <c r="CW4" s="11">
        <f t="shared" ca="1" si="16"/>
        <v>0.3392118033636905</v>
      </c>
      <c r="CX4" s="11">
        <f t="shared" ca="1" si="16"/>
        <v>0.84807584528983249</v>
      </c>
      <c r="CY4" s="11">
        <f t="shared" ca="1" si="16"/>
        <v>4.4762374505925573E-2</v>
      </c>
      <c r="CZ4" s="11">
        <f t="shared" ca="1" si="17"/>
        <v>0.20384639470020605</v>
      </c>
      <c r="DA4" s="11">
        <f t="shared" ca="1" si="17"/>
        <v>0.1828645938725505</v>
      </c>
      <c r="DB4" s="11">
        <f t="shared" ca="1" si="17"/>
        <v>0.54309125806897207</v>
      </c>
      <c r="DC4" s="11">
        <f t="shared" ca="1" si="17"/>
        <v>7.0303429771534809E-2</v>
      </c>
      <c r="DD4" s="11">
        <f t="shared" ca="1" si="17"/>
        <v>0.94380662734284648</v>
      </c>
      <c r="DE4" s="11">
        <f t="shared" ca="1" si="17"/>
        <v>0.39981609122050354</v>
      </c>
      <c r="DF4" s="11">
        <f t="shared" ca="1" si="17"/>
        <v>0.39350229008461435</v>
      </c>
      <c r="DG4" s="11">
        <f t="shared" ca="1" si="17"/>
        <v>0.78748087725245819</v>
      </c>
      <c r="DH4" s="11">
        <f t="shared" ca="1" si="17"/>
        <v>0.6206933494991772</v>
      </c>
      <c r="DI4" s="11">
        <f t="shared" ca="1" si="17"/>
        <v>0.78468443722606607</v>
      </c>
      <c r="DJ4" s="11">
        <f t="shared" ca="1" si="18"/>
        <v>0.60184570099586165</v>
      </c>
      <c r="DK4" s="11">
        <f t="shared" ca="1" si="18"/>
        <v>6.7787737527624792E-3</v>
      </c>
      <c r="DL4" s="11">
        <f t="shared" ca="1" si="18"/>
        <v>0.56499532435725841</v>
      </c>
      <c r="DM4" s="11">
        <f t="shared" ca="1" si="18"/>
        <v>0.90599557997744318</v>
      </c>
      <c r="DN4" s="11">
        <f t="shared" ca="1" si="18"/>
        <v>0.15811779630921996</v>
      </c>
      <c r="DO4" s="11">
        <f t="shared" ca="1" si="18"/>
        <v>0.93046977177178336</v>
      </c>
      <c r="DP4" s="11">
        <f t="shared" ca="1" si="18"/>
        <v>0.236933496039886</v>
      </c>
      <c r="DQ4" s="11">
        <f t="shared" ca="1" si="18"/>
        <v>0.70822039207224707</v>
      </c>
      <c r="DR4" s="11">
        <f t="shared" ca="1" si="18"/>
        <v>0.70387673998105016</v>
      </c>
      <c r="DS4" s="11">
        <f t="shared" ca="1" si="18"/>
        <v>0.3292054724126372</v>
      </c>
      <c r="DT4" s="11">
        <f t="shared" ca="1" si="19"/>
        <v>0.23518453707510578</v>
      </c>
      <c r="DU4" s="11">
        <f t="shared" ca="1" si="19"/>
        <v>7.2770791797256984E-2</v>
      </c>
      <c r="DV4" s="11">
        <f t="shared" ca="1" si="19"/>
        <v>0.58624090624246683</v>
      </c>
      <c r="DW4" s="11">
        <f t="shared" ca="1" si="19"/>
        <v>3.9018855015359177E-3</v>
      </c>
      <c r="DX4" s="11">
        <f t="shared" ca="1" si="19"/>
        <v>9.0965697943160229E-2</v>
      </c>
      <c r="DY4" s="11">
        <f t="shared" ca="1" si="19"/>
        <v>0.76235102404445521</v>
      </c>
      <c r="DZ4" s="11">
        <f t="shared" ca="1" si="19"/>
        <v>0.96801363309448252</v>
      </c>
      <c r="EA4" s="11">
        <f t="shared" ca="1" si="19"/>
        <v>0.54714962605941941</v>
      </c>
      <c r="EB4" s="11">
        <f t="shared" ca="1" si="19"/>
        <v>0.32337123599954298</v>
      </c>
      <c r="EC4" s="11">
        <f t="shared" ca="1" si="19"/>
        <v>0.19124618849782016</v>
      </c>
      <c r="ED4" s="11">
        <f t="shared" ca="1" si="19"/>
        <v>0.76493851864040496</v>
      </c>
      <c r="EE4" s="11">
        <f t="shared" ca="1" si="19"/>
        <v>0.62470175695043961</v>
      </c>
    </row>
    <row r="5" spans="1:138" x14ac:dyDescent="0.4">
      <c r="C5" s="7" t="s">
        <v>26</v>
      </c>
      <c r="D5" s="11">
        <f t="shared" ca="1" si="7"/>
        <v>0.87307688833084363</v>
      </c>
      <c r="E5" s="11">
        <f t="shared" ca="1" si="7"/>
        <v>4.4432596465706631E-3</v>
      </c>
      <c r="F5" s="11">
        <f t="shared" ca="1" si="7"/>
        <v>0.19205503410488967</v>
      </c>
      <c r="G5" s="11">
        <f t="shared" ca="1" si="7"/>
        <v>0.65828091649104947</v>
      </c>
      <c r="H5" s="11">
        <f t="shared" ca="1" si="7"/>
        <v>0.69073400341404301</v>
      </c>
      <c r="I5" s="11">
        <f t="shared" ca="1" si="7"/>
        <v>0.46763330153061999</v>
      </c>
      <c r="J5" s="11">
        <f t="shared" ca="1" si="7"/>
        <v>0.77774173949748515</v>
      </c>
      <c r="K5" s="11">
        <f t="shared" ca="1" si="7"/>
        <v>0.56106353717540636</v>
      </c>
      <c r="L5" s="11">
        <f t="shared" ca="1" si="7"/>
        <v>6.8340693418373899E-2</v>
      </c>
      <c r="M5" s="11">
        <f t="shared" ca="1" si="7"/>
        <v>8.8872181051386057E-2</v>
      </c>
      <c r="N5" s="11">
        <f t="shared" ca="1" si="8"/>
        <v>4.8962384163185102E-2</v>
      </c>
      <c r="O5" s="11">
        <f t="shared" ca="1" si="8"/>
        <v>0.98735725202314273</v>
      </c>
      <c r="P5" s="11">
        <f t="shared" ca="1" si="8"/>
        <v>0.58244933621983974</v>
      </c>
      <c r="Q5" s="11">
        <f t="shared" ca="1" si="8"/>
        <v>0.32608122382616167</v>
      </c>
      <c r="R5" s="11">
        <f t="shared" ca="1" si="8"/>
        <v>0.57956251721015406</v>
      </c>
      <c r="S5" s="11">
        <f t="shared" ca="1" si="8"/>
        <v>0.7375181216455452</v>
      </c>
      <c r="T5" s="11">
        <f t="shared" ca="1" si="8"/>
        <v>0.28485229556527503</v>
      </c>
      <c r="U5" s="11">
        <f t="shared" ca="1" si="8"/>
        <v>0.22923420194129163</v>
      </c>
      <c r="V5" s="11">
        <f t="shared" ca="1" si="8"/>
        <v>0.76807567491078477</v>
      </c>
      <c r="W5" s="11">
        <f t="shared" ca="1" si="8"/>
        <v>7.2842229449207263E-2</v>
      </c>
      <c r="X5" s="11">
        <f t="shared" ca="1" si="9"/>
        <v>0.56219426113861781</v>
      </c>
      <c r="Y5" s="11">
        <f t="shared" ca="1" si="9"/>
        <v>0.53954287073308904</v>
      </c>
      <c r="Z5" s="11">
        <f t="shared" ca="1" si="9"/>
        <v>0.9618591793755612</v>
      </c>
      <c r="AA5" s="11">
        <f t="shared" ca="1" si="9"/>
        <v>0.12157983198780087</v>
      </c>
      <c r="AB5" s="11">
        <f t="shared" ca="1" si="9"/>
        <v>0.72151397340919254</v>
      </c>
      <c r="AC5" s="11">
        <f t="shared" ca="1" si="9"/>
        <v>0.92126374603081762</v>
      </c>
      <c r="AD5" s="11">
        <f t="shared" ca="1" si="9"/>
        <v>0.7761598893824081</v>
      </c>
      <c r="AE5" s="11">
        <f t="shared" ca="1" si="9"/>
        <v>0.86884858288716815</v>
      </c>
      <c r="AF5" s="11">
        <f t="shared" ca="1" si="9"/>
        <v>0.70877004443017888</v>
      </c>
      <c r="AG5" s="11">
        <f t="shared" ca="1" si="9"/>
        <v>0.97702421284719931</v>
      </c>
      <c r="AH5" s="11">
        <f t="shared" ca="1" si="10"/>
        <v>0.54390412055077508</v>
      </c>
      <c r="AI5" s="11">
        <f t="shared" ca="1" si="10"/>
        <v>0.65547190312866976</v>
      </c>
      <c r="AJ5" s="11">
        <f t="shared" ca="1" si="10"/>
        <v>0.4557692583270998</v>
      </c>
      <c r="AK5" s="11">
        <f t="shared" ca="1" si="10"/>
        <v>1.0581842463605051E-2</v>
      </c>
      <c r="AL5" s="11">
        <f t="shared" ca="1" si="10"/>
        <v>0.69508472105215335</v>
      </c>
      <c r="AM5" s="11">
        <f t="shared" ca="1" si="10"/>
        <v>0.77201064250889329</v>
      </c>
      <c r="AN5" s="11">
        <f t="shared" ca="1" si="10"/>
        <v>0.38168451842462681</v>
      </c>
      <c r="AO5" s="11">
        <f t="shared" ca="1" si="10"/>
        <v>0.93071190714156848</v>
      </c>
      <c r="AP5" s="11">
        <f t="shared" ca="1" si="10"/>
        <v>0.21039606843175762</v>
      </c>
      <c r="AQ5" s="11">
        <f t="shared" ca="1" si="10"/>
        <v>0.37460514544515888</v>
      </c>
      <c r="AR5" s="11">
        <f t="shared" ca="1" si="11"/>
        <v>0.89462330775793153</v>
      </c>
      <c r="AS5" s="11">
        <f t="shared" ca="1" si="11"/>
        <v>0.84291103227093989</v>
      </c>
      <c r="AT5" s="11">
        <f t="shared" ca="1" si="11"/>
        <v>0.93903379454743507</v>
      </c>
      <c r="AU5" s="11">
        <f t="shared" ca="1" si="11"/>
        <v>0.10570589799599273</v>
      </c>
      <c r="AV5" s="11">
        <f t="shared" ca="1" si="11"/>
        <v>5.2452469605229868E-2</v>
      </c>
      <c r="AW5" s="11">
        <f t="shared" ca="1" si="11"/>
        <v>0.97953149040626464</v>
      </c>
      <c r="AX5" s="11">
        <f t="shared" ca="1" si="11"/>
        <v>0.85597363723655473</v>
      </c>
      <c r="AY5" s="11">
        <f t="shared" ca="1" si="11"/>
        <v>0.48599773745372954</v>
      </c>
      <c r="AZ5" s="11">
        <f t="shared" ca="1" si="11"/>
        <v>6.3764906385557207E-3</v>
      </c>
      <c r="BA5" s="11">
        <f t="shared" ca="1" si="11"/>
        <v>0.59056393863981549</v>
      </c>
      <c r="BB5" s="11">
        <f t="shared" ca="1" si="12"/>
        <v>2.0192106477870619E-2</v>
      </c>
      <c r="BC5" s="11">
        <f t="shared" ca="1" si="12"/>
        <v>0.48135086321703591</v>
      </c>
      <c r="BD5" s="11">
        <f t="shared" ca="1" si="12"/>
        <v>0.8287073682872661</v>
      </c>
      <c r="BE5" s="11">
        <f t="shared" ca="1" si="12"/>
        <v>0.82028506023421333</v>
      </c>
      <c r="BF5" s="11">
        <f t="shared" ca="1" si="12"/>
        <v>0.20908179559276774</v>
      </c>
      <c r="BG5" s="11">
        <f t="shared" ca="1" si="12"/>
        <v>4.1999072716468744E-3</v>
      </c>
      <c r="BH5" s="11">
        <f t="shared" ca="1" si="12"/>
        <v>0.70120643203537758</v>
      </c>
      <c r="BI5" s="11">
        <f t="shared" ca="1" si="12"/>
        <v>0.22861631228370793</v>
      </c>
      <c r="BJ5" s="11">
        <f t="shared" ca="1" si="12"/>
        <v>0.80792266612958175</v>
      </c>
      <c r="BK5" s="11">
        <f t="shared" ca="1" si="12"/>
        <v>0.69126630040986248</v>
      </c>
      <c r="BL5" s="11">
        <f t="shared" ca="1" si="13"/>
        <v>0.73200410279186057</v>
      </c>
      <c r="BM5" s="11">
        <f t="shared" ca="1" si="13"/>
        <v>8.5720539367232562E-2</v>
      </c>
      <c r="BN5" s="11">
        <f t="shared" ca="1" si="13"/>
        <v>0.45347639050786415</v>
      </c>
      <c r="BO5" s="11">
        <f t="shared" ca="1" si="13"/>
        <v>0.35773903081556069</v>
      </c>
      <c r="BP5" s="11">
        <f t="shared" ca="1" si="13"/>
        <v>3.5026823430642784E-2</v>
      </c>
      <c r="BQ5" s="11">
        <f t="shared" ca="1" si="13"/>
        <v>0.87877151148618626</v>
      </c>
      <c r="BR5" s="11">
        <f t="shared" ca="1" si="13"/>
        <v>0.3366078519218777</v>
      </c>
      <c r="BS5" s="11">
        <f t="shared" ca="1" si="13"/>
        <v>5.7515112642820831E-3</v>
      </c>
      <c r="BT5" s="11">
        <f t="shared" ca="1" si="13"/>
        <v>0.8727228638588802</v>
      </c>
      <c r="BU5" s="11">
        <f t="shared" ca="1" si="13"/>
        <v>0.69747237857047595</v>
      </c>
      <c r="BV5" s="11">
        <f t="shared" ca="1" si="14"/>
        <v>0.97139088756087644</v>
      </c>
      <c r="BW5" s="11">
        <f t="shared" ca="1" si="14"/>
        <v>1.9845489763036239E-2</v>
      </c>
      <c r="BX5" s="11">
        <f t="shared" ca="1" si="14"/>
        <v>0.68317218424361092</v>
      </c>
      <c r="BY5" s="11">
        <f t="shared" ca="1" si="14"/>
        <v>0.39036413127450476</v>
      </c>
      <c r="BZ5" s="11">
        <f t="shared" ca="1" si="14"/>
        <v>0.18816953763994293</v>
      </c>
      <c r="CA5" s="11">
        <f t="shared" ca="1" si="14"/>
        <v>0.20396021841335454</v>
      </c>
      <c r="CB5" s="11">
        <f t="shared" ca="1" si="14"/>
        <v>0.30169334444120277</v>
      </c>
      <c r="CC5" s="11">
        <f t="shared" ca="1" si="14"/>
        <v>0.86876669805453344</v>
      </c>
      <c r="CD5" s="11">
        <f t="shared" ca="1" si="14"/>
        <v>0.62546444852411154</v>
      </c>
      <c r="CE5" s="11">
        <f t="shared" ca="1" si="14"/>
        <v>0.24031518588999812</v>
      </c>
      <c r="CF5" s="11">
        <f t="shared" ca="1" si="15"/>
        <v>0.89210669090773043</v>
      </c>
      <c r="CG5" s="11">
        <f t="shared" ca="1" si="15"/>
        <v>0.63162404226379198</v>
      </c>
      <c r="CH5" s="11">
        <f t="shared" ca="1" si="15"/>
        <v>0.55469832668616026</v>
      </c>
      <c r="CI5" s="11">
        <f t="shared" ca="1" si="15"/>
        <v>0.35299663771861223</v>
      </c>
      <c r="CJ5" s="11">
        <f t="shared" ca="1" si="15"/>
        <v>0.56978778451521861</v>
      </c>
      <c r="CK5" s="11">
        <f t="shared" ca="1" si="15"/>
        <v>0.69881540697565214</v>
      </c>
      <c r="CL5" s="11">
        <f t="shared" ca="1" si="15"/>
        <v>9.3270357756010669E-2</v>
      </c>
      <c r="CM5" s="11">
        <f t="shared" ca="1" si="15"/>
        <v>0.83657123162348179</v>
      </c>
      <c r="CN5" s="11">
        <f t="shared" ca="1" si="15"/>
        <v>0.48956680456418677</v>
      </c>
      <c r="CO5" s="11">
        <f t="shared" ca="1" si="15"/>
        <v>0.30669219576185092</v>
      </c>
      <c r="CP5" s="11">
        <f t="shared" ca="1" si="16"/>
        <v>0.13229404303878756</v>
      </c>
      <c r="CQ5" s="11">
        <f t="shared" ca="1" si="16"/>
        <v>0.6197228801133311</v>
      </c>
      <c r="CR5" s="11">
        <f t="shared" ca="1" si="16"/>
        <v>0.23607983139863631</v>
      </c>
      <c r="CS5" s="11">
        <f t="shared" ca="1" si="16"/>
        <v>0.7224316764815133</v>
      </c>
      <c r="CT5" s="11">
        <f t="shared" ca="1" si="16"/>
        <v>0.77082424760112211</v>
      </c>
      <c r="CU5" s="11">
        <f t="shared" ca="1" si="16"/>
        <v>0.25024472380347007</v>
      </c>
      <c r="CV5" s="11">
        <f t="shared" ca="1" si="16"/>
        <v>0.62442056276605262</v>
      </c>
      <c r="CW5" s="11">
        <f t="shared" ca="1" si="16"/>
        <v>0.62614535233115065</v>
      </c>
      <c r="CX5" s="11">
        <f t="shared" ca="1" si="16"/>
        <v>0.11042403457434158</v>
      </c>
      <c r="CY5" s="11">
        <f t="shared" ca="1" si="16"/>
        <v>0.51686428466483003</v>
      </c>
      <c r="CZ5" s="11">
        <f t="shared" ca="1" si="17"/>
        <v>3.3104097586373893E-3</v>
      </c>
      <c r="DA5" s="11">
        <f t="shared" ca="1" si="17"/>
        <v>0.63744025603578325</v>
      </c>
      <c r="DB5" s="11">
        <f t="shared" ca="1" si="17"/>
        <v>0.20008616656738576</v>
      </c>
      <c r="DC5" s="11">
        <f t="shared" ca="1" si="17"/>
        <v>0.18021476199709063</v>
      </c>
      <c r="DD5" s="11">
        <f t="shared" ca="1" si="17"/>
        <v>0.95128280500748819</v>
      </c>
      <c r="DE5" s="11">
        <f t="shared" ca="1" si="17"/>
        <v>0.76257215930544342</v>
      </c>
      <c r="DF5" s="11">
        <f t="shared" ca="1" si="17"/>
        <v>0.34203700697256645</v>
      </c>
      <c r="DG5" s="11">
        <f t="shared" ca="1" si="17"/>
        <v>0.94786217081986957</v>
      </c>
      <c r="DH5" s="11">
        <f t="shared" ca="1" si="17"/>
        <v>0.61251131887338262</v>
      </c>
      <c r="DI5" s="11">
        <f t="shared" ca="1" si="17"/>
        <v>0.97430593658014431</v>
      </c>
      <c r="DJ5" s="11">
        <f t="shared" ca="1" si="18"/>
        <v>0.193751148507737</v>
      </c>
      <c r="DK5" s="11">
        <f t="shared" ca="1" si="18"/>
        <v>0.86710960470886522</v>
      </c>
      <c r="DL5" s="11">
        <f t="shared" ca="1" si="18"/>
        <v>0.34526846013633061</v>
      </c>
      <c r="DM5" s="11">
        <f t="shared" ca="1" si="18"/>
        <v>0.81789317947226936</v>
      </c>
      <c r="DN5" s="11">
        <f t="shared" ca="1" si="18"/>
        <v>0.67307586963525312</v>
      </c>
      <c r="DO5" s="11">
        <f t="shared" ca="1" si="18"/>
        <v>0.58455694554573967</v>
      </c>
      <c r="DP5" s="11">
        <f t="shared" ca="1" si="18"/>
        <v>0.52666698426476433</v>
      </c>
      <c r="DQ5" s="11">
        <f t="shared" ca="1" si="18"/>
        <v>0.31451897361379033</v>
      </c>
      <c r="DR5" s="11">
        <f t="shared" ca="1" si="18"/>
        <v>0.30559561422938575</v>
      </c>
      <c r="DS5" s="11">
        <f t="shared" ca="1" si="18"/>
        <v>0.7079767193240909</v>
      </c>
      <c r="DT5" s="11">
        <f t="shared" ca="1" si="19"/>
        <v>0.96428713820156742</v>
      </c>
      <c r="DU5" s="11">
        <f t="shared" ca="1" si="19"/>
        <v>0.75132261095216057</v>
      </c>
      <c r="DV5" s="11">
        <f t="shared" ca="1" si="19"/>
        <v>0.63673755610378924</v>
      </c>
      <c r="DW5" s="11">
        <f t="shared" ca="1" si="19"/>
        <v>0.3358226132007377</v>
      </c>
      <c r="DX5" s="11">
        <f t="shared" ca="1" si="19"/>
        <v>0.34895528404481801</v>
      </c>
      <c r="DY5" s="11">
        <f t="shared" ca="1" si="19"/>
        <v>0.90994607475700706</v>
      </c>
      <c r="DZ5" s="11">
        <f t="shared" ca="1" si="19"/>
        <v>0.24674180355015363</v>
      </c>
      <c r="EA5" s="11">
        <f t="shared" ca="1" si="19"/>
        <v>0.36134557281306146</v>
      </c>
      <c r="EB5" s="11">
        <f t="shared" ca="1" si="19"/>
        <v>0.20608723176420196</v>
      </c>
      <c r="EC5" s="11">
        <f t="shared" ca="1" si="19"/>
        <v>3.8383713822242704E-2</v>
      </c>
      <c r="ED5" s="11">
        <f t="shared" ca="1" si="19"/>
        <v>0.5079234894386595</v>
      </c>
      <c r="EE5" s="11">
        <f t="shared" ca="1" si="19"/>
        <v>0.26925920771494849</v>
      </c>
    </row>
    <row r="6" spans="1:138" x14ac:dyDescent="0.4">
      <c r="C6" s="7" t="s">
        <v>10</v>
      </c>
      <c r="D6" s="11">
        <f t="shared" ca="1" si="7"/>
        <v>0.84971892732490073</v>
      </c>
      <c r="E6" s="11">
        <f t="shared" ca="1" si="7"/>
        <v>0.10890807109930722</v>
      </c>
      <c r="F6" s="11">
        <f t="shared" ca="1" si="7"/>
        <v>4.3052354296042261E-2</v>
      </c>
      <c r="G6" s="11">
        <f t="shared" ca="1" si="7"/>
        <v>0.4582043372265352</v>
      </c>
      <c r="H6" s="11">
        <f t="shared" ca="1" si="7"/>
        <v>4.7518451512312487E-2</v>
      </c>
      <c r="I6" s="11">
        <f t="shared" ca="1" si="7"/>
        <v>0.53409877879703194</v>
      </c>
      <c r="J6" s="11">
        <f t="shared" ca="1" si="7"/>
        <v>0.50202301568881225</v>
      </c>
      <c r="K6" s="11">
        <f t="shared" ca="1" si="7"/>
        <v>0.59250978891736994</v>
      </c>
      <c r="L6" s="11">
        <f t="shared" ca="1" si="7"/>
        <v>0.657499731118381</v>
      </c>
      <c r="M6" s="11">
        <f t="shared" ca="1" si="7"/>
        <v>0.48976389701816825</v>
      </c>
      <c r="N6" s="11">
        <f t="shared" ca="1" si="8"/>
        <v>0.23371089699972858</v>
      </c>
      <c r="O6" s="11">
        <f t="shared" ca="1" si="8"/>
        <v>0.75797255504864347</v>
      </c>
      <c r="P6" s="11">
        <f t="shared" ca="1" si="8"/>
        <v>0.24333518106263807</v>
      </c>
      <c r="Q6" s="11">
        <f t="shared" ca="1" si="8"/>
        <v>0.16168222078479566</v>
      </c>
      <c r="R6" s="11">
        <f t="shared" ca="1" si="8"/>
        <v>0.29156786743847773</v>
      </c>
      <c r="S6" s="11">
        <f t="shared" ca="1" si="8"/>
        <v>0.87985856046354582</v>
      </c>
      <c r="T6" s="11">
        <f t="shared" ca="1" si="8"/>
        <v>0.97569376106865691</v>
      </c>
      <c r="U6" s="11">
        <f t="shared" ca="1" si="8"/>
        <v>0.93761006188425222</v>
      </c>
      <c r="V6" s="11">
        <f t="shared" ca="1" si="8"/>
        <v>7.8806055987469259E-2</v>
      </c>
      <c r="W6" s="11">
        <f t="shared" ca="1" si="8"/>
        <v>0.49663474451898815</v>
      </c>
      <c r="X6" s="11">
        <f t="shared" ca="1" si="9"/>
        <v>0.88238811146348595</v>
      </c>
      <c r="Y6" s="11">
        <f t="shared" ca="1" si="9"/>
        <v>0.94262308552712892</v>
      </c>
      <c r="Z6" s="11">
        <f t="shared" ca="1" si="9"/>
        <v>0.7724619398467456</v>
      </c>
      <c r="AA6" s="11">
        <f t="shared" ca="1" si="9"/>
        <v>0.5261875031461537</v>
      </c>
      <c r="AB6" s="11">
        <f t="shared" ca="1" si="9"/>
        <v>0.60463407098946542</v>
      </c>
      <c r="AC6" s="11">
        <f t="shared" ca="1" si="9"/>
        <v>0.81365624526955116</v>
      </c>
      <c r="AD6" s="11">
        <f t="shared" ca="1" si="9"/>
        <v>0.64946934429339476</v>
      </c>
      <c r="AE6" s="11">
        <f t="shared" ca="1" si="9"/>
        <v>0.87663654464094798</v>
      </c>
      <c r="AF6" s="11">
        <f t="shared" ca="1" si="9"/>
        <v>0.83563129854309004</v>
      </c>
      <c r="AG6" s="11">
        <f t="shared" ca="1" si="9"/>
        <v>9.4571670758708981E-2</v>
      </c>
      <c r="AH6" s="11">
        <f t="shared" ca="1" si="10"/>
        <v>0.41601184458472995</v>
      </c>
      <c r="AI6" s="11">
        <f t="shared" ca="1" si="10"/>
        <v>0.30634897949830009</v>
      </c>
      <c r="AJ6" s="11">
        <f t="shared" ca="1" si="10"/>
        <v>0.62348626929769779</v>
      </c>
      <c r="AK6" s="11">
        <f t="shared" ca="1" si="10"/>
        <v>0.7561883131506324</v>
      </c>
      <c r="AL6" s="11">
        <f t="shared" ca="1" si="10"/>
        <v>0.98033940790837393</v>
      </c>
      <c r="AM6" s="11">
        <f t="shared" ca="1" si="10"/>
        <v>0.79249168711711016</v>
      </c>
      <c r="AN6" s="11">
        <f t="shared" ca="1" si="10"/>
        <v>0.22834472898036262</v>
      </c>
      <c r="AO6" s="11">
        <f t="shared" ca="1" si="10"/>
        <v>0.15275425839656886</v>
      </c>
      <c r="AP6" s="11">
        <f t="shared" ca="1" si="10"/>
        <v>8.4808072010426949E-2</v>
      </c>
      <c r="AQ6" s="11">
        <f t="shared" ca="1" si="10"/>
        <v>0.63337035956033061</v>
      </c>
      <c r="AR6" s="11">
        <f t="shared" ca="1" si="11"/>
        <v>0.24794106406135974</v>
      </c>
      <c r="AS6" s="11">
        <f t="shared" ca="1" si="11"/>
        <v>3.4004338792515409E-2</v>
      </c>
      <c r="AT6" s="11">
        <f t="shared" ca="1" si="11"/>
        <v>0.48711282145576384</v>
      </c>
      <c r="AU6" s="11">
        <f t="shared" ca="1" si="11"/>
        <v>0.23287476189872347</v>
      </c>
      <c r="AV6" s="11">
        <f t="shared" ca="1" si="11"/>
        <v>6.1203946296978562E-2</v>
      </c>
      <c r="AW6" s="11">
        <f t="shared" ca="1" si="11"/>
        <v>0.56737027775950499</v>
      </c>
      <c r="AX6" s="11">
        <f t="shared" ca="1" si="11"/>
        <v>0.6979450012065912</v>
      </c>
      <c r="AY6" s="11">
        <f t="shared" ca="1" si="11"/>
        <v>0.8126403332760217</v>
      </c>
      <c r="AZ6" s="11">
        <f t="shared" ca="1" si="11"/>
        <v>0.79852743193297182</v>
      </c>
      <c r="BA6" s="11">
        <f t="shared" ca="1" si="11"/>
        <v>0.95697459166508658</v>
      </c>
      <c r="BB6" s="11">
        <f t="shared" ca="1" si="12"/>
        <v>9.4767703651169821E-2</v>
      </c>
      <c r="BC6" s="11">
        <f t="shared" ca="1" si="12"/>
        <v>0.198521424056186</v>
      </c>
      <c r="BD6" s="11">
        <f t="shared" ca="1" si="12"/>
        <v>0.35321682587089076</v>
      </c>
      <c r="BE6" s="11">
        <f t="shared" ca="1" si="12"/>
        <v>0.35064620957866555</v>
      </c>
      <c r="BF6" s="11">
        <f t="shared" ca="1" si="12"/>
        <v>0.54342513820259086</v>
      </c>
      <c r="BG6" s="11">
        <f t="shared" ca="1" si="12"/>
        <v>0.48269503802580349</v>
      </c>
      <c r="BH6" s="11">
        <f t="shared" ca="1" si="12"/>
        <v>0.59462326111976549</v>
      </c>
      <c r="BI6" s="11">
        <f t="shared" ca="1" si="12"/>
        <v>0.43216474011910244</v>
      </c>
      <c r="BJ6" s="11">
        <f t="shared" ca="1" si="12"/>
        <v>8.6490398874330854E-2</v>
      </c>
      <c r="BK6" s="11">
        <f t="shared" ca="1" si="12"/>
        <v>0.63305354731418639</v>
      </c>
      <c r="BL6" s="11">
        <f t="shared" ca="1" si="13"/>
        <v>0.14081915642821508</v>
      </c>
      <c r="BM6" s="11">
        <f t="shared" ca="1" si="13"/>
        <v>0.48339297310119533</v>
      </c>
      <c r="BN6" s="11">
        <f t="shared" ca="1" si="13"/>
        <v>4.0722736161711404E-2</v>
      </c>
      <c r="BO6" s="11">
        <f t="shared" ca="1" si="13"/>
        <v>0.81566562744527404</v>
      </c>
      <c r="BP6" s="11">
        <f t="shared" ca="1" si="13"/>
        <v>0.77893034960285246</v>
      </c>
      <c r="BQ6" s="11">
        <f t="shared" ca="1" si="13"/>
        <v>0.21270737096016412</v>
      </c>
      <c r="BR6" s="11">
        <f t="shared" ca="1" si="13"/>
        <v>0.99348856917950223</v>
      </c>
      <c r="BS6" s="11">
        <f t="shared" ca="1" si="13"/>
        <v>3.7046591263943718E-2</v>
      </c>
      <c r="BT6" s="11">
        <f t="shared" ca="1" si="13"/>
        <v>0.81428861554783305</v>
      </c>
      <c r="BU6" s="11">
        <f t="shared" ca="1" si="13"/>
        <v>0.80148015319806531</v>
      </c>
      <c r="BV6" s="11">
        <f t="shared" ca="1" si="14"/>
        <v>0.44286583413050828</v>
      </c>
      <c r="BW6" s="11">
        <f t="shared" ca="1" si="14"/>
        <v>0.27619762890180521</v>
      </c>
      <c r="BX6" s="11">
        <f t="shared" ca="1" si="14"/>
        <v>0.64651944376186243</v>
      </c>
      <c r="BY6" s="11">
        <f t="shared" ca="1" si="14"/>
        <v>0.77668254294499106</v>
      </c>
      <c r="BZ6" s="11">
        <f t="shared" ca="1" si="14"/>
        <v>0.62920831275415312</v>
      </c>
      <c r="CA6" s="11">
        <f t="shared" ca="1" si="14"/>
        <v>0.43626012483798193</v>
      </c>
      <c r="CB6" s="11">
        <f t="shared" ca="1" si="14"/>
        <v>0.96165450842629918</v>
      </c>
      <c r="CC6" s="11">
        <f t="shared" ca="1" si="14"/>
        <v>0.52966231666156172</v>
      </c>
      <c r="CD6" s="11">
        <f t="shared" ca="1" si="14"/>
        <v>0.20216646679581884</v>
      </c>
      <c r="CE6" s="11">
        <f t="shared" ca="1" si="14"/>
        <v>0.77328875279758247</v>
      </c>
      <c r="CF6" s="11">
        <f t="shared" ca="1" si="15"/>
        <v>0.74228048524485191</v>
      </c>
      <c r="CG6" s="11">
        <f t="shared" ca="1" si="15"/>
        <v>0.48212546163601</v>
      </c>
      <c r="CH6" s="11">
        <f t="shared" ca="1" si="15"/>
        <v>0.91196675228705271</v>
      </c>
      <c r="CI6" s="11">
        <f t="shared" ca="1" si="15"/>
        <v>8.0964708351403458E-2</v>
      </c>
      <c r="CJ6" s="11">
        <f t="shared" ca="1" si="15"/>
        <v>0.61706128627625778</v>
      </c>
      <c r="CK6" s="11">
        <f t="shared" ca="1" si="15"/>
        <v>0.93319743790881393</v>
      </c>
      <c r="CL6" s="11">
        <f t="shared" ca="1" si="15"/>
        <v>0.81768860943030441</v>
      </c>
      <c r="CM6" s="11">
        <f t="shared" ca="1" si="15"/>
        <v>0.75102476344338642</v>
      </c>
      <c r="CN6" s="11">
        <f t="shared" ca="1" si="15"/>
        <v>0.28936897407069684</v>
      </c>
      <c r="CO6" s="11">
        <f t="shared" ca="1" si="15"/>
        <v>0.45473090511617309</v>
      </c>
      <c r="CP6" s="11">
        <f t="shared" ca="1" si="16"/>
        <v>0.55240105758200808</v>
      </c>
      <c r="CQ6" s="11">
        <f t="shared" ca="1" si="16"/>
        <v>0.89934720175920602</v>
      </c>
      <c r="CR6" s="11">
        <f t="shared" ca="1" si="16"/>
        <v>0.25031687854930174</v>
      </c>
      <c r="CS6" s="11">
        <f t="shared" ca="1" si="16"/>
        <v>0.10862053480054135</v>
      </c>
      <c r="CT6" s="11">
        <f t="shared" ca="1" si="16"/>
        <v>0.27339707621899267</v>
      </c>
      <c r="CU6" s="11">
        <f t="shared" ca="1" si="16"/>
        <v>0.26813420561333479</v>
      </c>
      <c r="CV6" s="11">
        <f t="shared" ca="1" si="16"/>
        <v>0.35258851166485528</v>
      </c>
      <c r="CW6" s="11">
        <f t="shared" ca="1" si="16"/>
        <v>0.38633089769291939</v>
      </c>
      <c r="CX6" s="11">
        <f t="shared" ca="1" si="16"/>
        <v>0.57617944174015812</v>
      </c>
      <c r="CY6" s="11">
        <f t="shared" ca="1" si="16"/>
        <v>0.8034524922012829</v>
      </c>
      <c r="CZ6" s="11">
        <f t="shared" ca="1" si="17"/>
        <v>0.28889250088798424</v>
      </c>
      <c r="DA6" s="11">
        <f t="shared" ca="1" si="17"/>
        <v>0.5839813317114303</v>
      </c>
      <c r="DB6" s="11">
        <f t="shared" ca="1" si="17"/>
        <v>0.54564983038057757</v>
      </c>
      <c r="DC6" s="11">
        <f t="shared" ca="1" si="17"/>
        <v>0.58114951807327864</v>
      </c>
      <c r="DD6" s="11">
        <f t="shared" ca="1" si="17"/>
        <v>0.53629003236580386</v>
      </c>
      <c r="DE6" s="11">
        <f t="shared" ca="1" si="17"/>
        <v>0.70916299640690372</v>
      </c>
      <c r="DF6" s="11">
        <f t="shared" ca="1" si="17"/>
        <v>0.95868512142242079</v>
      </c>
      <c r="DG6" s="11">
        <f t="shared" ca="1" si="17"/>
        <v>0.92486727008408987</v>
      </c>
      <c r="DH6" s="11">
        <f t="shared" ca="1" si="17"/>
        <v>0.89718387251753551</v>
      </c>
      <c r="DI6" s="11">
        <f t="shared" ca="1" si="17"/>
        <v>0.18505138765376894</v>
      </c>
      <c r="DJ6" s="11">
        <f t="shared" ca="1" si="18"/>
        <v>0.44347974510668287</v>
      </c>
      <c r="DK6" s="11">
        <f t="shared" ca="1" si="18"/>
        <v>0.17492898198653861</v>
      </c>
      <c r="DL6" s="11">
        <f t="shared" ca="1" si="18"/>
        <v>0.13340856763875308</v>
      </c>
      <c r="DM6" s="11">
        <f t="shared" ca="1" si="18"/>
        <v>0.63759945479647206</v>
      </c>
      <c r="DN6" s="11">
        <f t="shared" ca="1" si="18"/>
        <v>9.6241330573377581E-2</v>
      </c>
      <c r="DO6" s="11">
        <f t="shared" ca="1" si="18"/>
        <v>0.64791929136590554</v>
      </c>
      <c r="DP6" s="11">
        <f t="shared" ca="1" si="18"/>
        <v>0.76664810684165285</v>
      </c>
      <c r="DQ6" s="11">
        <f t="shared" ca="1" si="18"/>
        <v>0.14863818637079684</v>
      </c>
      <c r="DR6" s="11">
        <f t="shared" ca="1" si="18"/>
        <v>0.57802681344164286</v>
      </c>
      <c r="DS6" s="11">
        <f t="shared" ca="1" si="18"/>
        <v>0.70571944191812541</v>
      </c>
      <c r="DT6" s="11">
        <f t="shared" ca="1" si="19"/>
        <v>7.6039786693307021E-2</v>
      </c>
      <c r="DU6" s="11">
        <f t="shared" ca="1" si="19"/>
        <v>0.17471842796362058</v>
      </c>
      <c r="DV6" s="11">
        <f t="shared" ca="1" si="19"/>
        <v>0.79148748297358462</v>
      </c>
      <c r="DW6" s="11">
        <f t="shared" ca="1" si="19"/>
        <v>0.36761059213304381</v>
      </c>
      <c r="DX6" s="11">
        <f t="shared" ca="1" si="19"/>
        <v>0.79025797957486132</v>
      </c>
      <c r="DY6" s="11">
        <f t="shared" ca="1" si="19"/>
        <v>7.6071592345714478E-2</v>
      </c>
      <c r="DZ6" s="11">
        <f t="shared" ca="1" si="19"/>
        <v>5.2183944013402428E-2</v>
      </c>
      <c r="EA6" s="11">
        <f t="shared" ca="1" si="19"/>
        <v>0.71161288733378947</v>
      </c>
      <c r="EB6" s="11">
        <f t="shared" ca="1" si="19"/>
        <v>0.74331835242200794</v>
      </c>
      <c r="EC6" s="11">
        <f t="shared" ca="1" si="19"/>
        <v>0.39130121871643286</v>
      </c>
      <c r="ED6" s="11">
        <f t="shared" ca="1" si="19"/>
        <v>0.89339072294745547</v>
      </c>
      <c r="EE6" s="11">
        <f t="shared" ca="1" si="19"/>
        <v>0.54710227294143854</v>
      </c>
    </row>
    <row r="7" spans="1:138" x14ac:dyDescent="0.4">
      <c r="C7" s="7" t="s">
        <v>11</v>
      </c>
      <c r="D7" s="11">
        <f t="shared" ca="1" si="7"/>
        <v>0.37870837300204063</v>
      </c>
      <c r="E7" s="11">
        <f t="shared" ca="1" si="7"/>
        <v>0.71461799931711534</v>
      </c>
      <c r="F7" s="11">
        <f t="shared" ca="1" si="7"/>
        <v>0.14924998236003051</v>
      </c>
      <c r="G7" s="11">
        <f t="shared" ca="1" si="7"/>
        <v>0.93511986524739688</v>
      </c>
      <c r="H7" s="11">
        <f t="shared" ca="1" si="7"/>
        <v>0.23627896197991594</v>
      </c>
      <c r="I7" s="11">
        <f t="shared" ca="1" si="7"/>
        <v>0.41594627491691871</v>
      </c>
      <c r="J7" s="11">
        <f t="shared" ca="1" si="7"/>
        <v>0.47452739165438973</v>
      </c>
      <c r="K7" s="11">
        <f t="shared" ca="1" si="7"/>
        <v>0.7314867360111289</v>
      </c>
      <c r="L7" s="11">
        <f t="shared" ca="1" si="7"/>
        <v>0.69614487708380668</v>
      </c>
      <c r="M7" s="11">
        <f t="shared" ca="1" si="7"/>
        <v>0.37524901373476816</v>
      </c>
      <c r="N7" s="11">
        <f t="shared" ca="1" si="8"/>
        <v>0.30220918520135531</v>
      </c>
      <c r="O7" s="11">
        <f t="shared" ca="1" si="8"/>
        <v>0.67089551162421968</v>
      </c>
      <c r="P7" s="11">
        <f t="shared" ca="1" si="8"/>
        <v>0.60480664157260633</v>
      </c>
      <c r="Q7" s="11">
        <f t="shared" ca="1" si="8"/>
        <v>0.74646583761142127</v>
      </c>
      <c r="R7" s="11">
        <f t="shared" ca="1" si="8"/>
        <v>0.16213594210905669</v>
      </c>
      <c r="S7" s="11">
        <f t="shared" ca="1" si="8"/>
        <v>0.6823362210307391</v>
      </c>
      <c r="T7" s="11">
        <f t="shared" ca="1" si="8"/>
        <v>0.23435662440500038</v>
      </c>
      <c r="U7" s="11">
        <f t="shared" ca="1" si="8"/>
        <v>0.31395488302909658</v>
      </c>
      <c r="V7" s="11">
        <f t="shared" ca="1" si="8"/>
        <v>0.23938229557159463</v>
      </c>
      <c r="W7" s="11">
        <f t="shared" ca="1" si="8"/>
        <v>7.8028515644873786E-2</v>
      </c>
      <c r="X7" s="11">
        <f t="shared" ca="1" si="9"/>
        <v>0.9669171882919233</v>
      </c>
      <c r="Y7" s="11">
        <f t="shared" ca="1" si="9"/>
        <v>0.56996309838773707</v>
      </c>
      <c r="Z7" s="11">
        <f t="shared" ca="1" si="9"/>
        <v>0.78871186822250861</v>
      </c>
      <c r="AA7" s="11">
        <f t="shared" ca="1" si="9"/>
        <v>1.1482129972474997E-2</v>
      </c>
      <c r="AB7" s="11">
        <f t="shared" ca="1" si="9"/>
        <v>0.40849219524946601</v>
      </c>
      <c r="AC7" s="11">
        <f t="shared" ca="1" si="9"/>
        <v>0.31276092095354391</v>
      </c>
      <c r="AD7" s="11">
        <f t="shared" ca="1" si="9"/>
        <v>0.21600537988532786</v>
      </c>
      <c r="AE7" s="11">
        <f t="shared" ca="1" si="9"/>
        <v>0.34569478541001142</v>
      </c>
      <c r="AF7" s="11">
        <f t="shared" ca="1" si="9"/>
        <v>0.90019770538024246</v>
      </c>
      <c r="AG7" s="11">
        <f t="shared" ca="1" si="9"/>
        <v>0.96169755021140246</v>
      </c>
      <c r="AH7" s="11">
        <f t="shared" ca="1" si="10"/>
        <v>7.2812489385803647E-2</v>
      </c>
      <c r="AI7" s="11">
        <f t="shared" ca="1" si="10"/>
        <v>0.15035793439060985</v>
      </c>
      <c r="AJ7" s="11">
        <f t="shared" ca="1" si="10"/>
        <v>0.65961306323838587</v>
      </c>
      <c r="AK7" s="11">
        <f t="shared" ca="1" si="10"/>
        <v>0.42074192836569857</v>
      </c>
      <c r="AL7" s="11">
        <f t="shared" ca="1" si="10"/>
        <v>0.90265532854801134</v>
      </c>
      <c r="AM7" s="11">
        <f t="shared" ca="1" si="10"/>
        <v>0.81333908640506181</v>
      </c>
      <c r="AN7" s="11">
        <f t="shared" ca="1" si="10"/>
        <v>8.0674185808951027E-2</v>
      </c>
      <c r="AO7" s="11">
        <f t="shared" ca="1" si="10"/>
        <v>0.81288698835999718</v>
      </c>
      <c r="AP7" s="11">
        <f t="shared" ca="1" si="10"/>
        <v>0.16120943343548377</v>
      </c>
      <c r="AQ7" s="11">
        <f t="shared" ca="1" si="10"/>
        <v>0.47551437446169142</v>
      </c>
      <c r="AR7" s="11">
        <f t="shared" ca="1" si="11"/>
        <v>0.2316054916596515</v>
      </c>
      <c r="AS7" s="11">
        <f t="shared" ca="1" si="11"/>
        <v>0.85180123651912387</v>
      </c>
      <c r="AT7" s="11">
        <f t="shared" ca="1" si="11"/>
        <v>0.17265726173657836</v>
      </c>
      <c r="AU7" s="11">
        <f t="shared" ca="1" si="11"/>
        <v>0.49281792057197671</v>
      </c>
      <c r="AV7" s="11">
        <f t="shared" ca="1" si="11"/>
        <v>0.85017989417285766</v>
      </c>
      <c r="AW7" s="11">
        <f t="shared" ca="1" si="11"/>
        <v>0.63558515056658749</v>
      </c>
      <c r="AX7" s="11">
        <f t="shared" ca="1" si="11"/>
        <v>0.16525026720002456</v>
      </c>
      <c r="AY7" s="11">
        <f t="shared" ca="1" si="11"/>
        <v>0.82728621463519725</v>
      </c>
      <c r="AZ7" s="11">
        <f t="shared" ca="1" si="11"/>
        <v>0.73047143012630178</v>
      </c>
      <c r="BA7" s="11">
        <f t="shared" ca="1" si="11"/>
        <v>0.19262817400229271</v>
      </c>
      <c r="BB7" s="11">
        <f t="shared" ca="1" si="12"/>
        <v>0.36235227386019608</v>
      </c>
      <c r="BC7" s="11">
        <f t="shared" ca="1" si="12"/>
        <v>0.38973500645362658</v>
      </c>
      <c r="BD7" s="11">
        <f t="shared" ca="1" si="12"/>
        <v>0.83925692038761146</v>
      </c>
      <c r="BE7" s="11">
        <f t="shared" ca="1" si="12"/>
        <v>0.25010765667659396</v>
      </c>
      <c r="BF7" s="11">
        <f t="shared" ca="1" si="12"/>
        <v>0.5350510284226383</v>
      </c>
      <c r="BG7" s="11">
        <f t="shared" ca="1" si="12"/>
        <v>0.21971268118156051</v>
      </c>
      <c r="BH7" s="11">
        <f t="shared" ca="1" si="12"/>
        <v>0.46587179900066389</v>
      </c>
      <c r="BI7" s="11">
        <f t="shared" ca="1" si="12"/>
        <v>0.92844131898401627</v>
      </c>
      <c r="BJ7" s="11">
        <f t="shared" ca="1" si="12"/>
        <v>0.31622788350184161</v>
      </c>
      <c r="BK7" s="11">
        <f t="shared" ca="1" si="12"/>
        <v>0.22952810414099978</v>
      </c>
      <c r="BL7" s="11">
        <f t="shared" ca="1" si="13"/>
        <v>0.95887564015846771</v>
      </c>
      <c r="BM7" s="11">
        <f t="shared" ca="1" si="13"/>
        <v>2.7696993746639031E-2</v>
      </c>
      <c r="BN7" s="11">
        <f t="shared" ca="1" si="13"/>
        <v>0.68095840489251458</v>
      </c>
      <c r="BO7" s="11">
        <f t="shared" ca="1" si="13"/>
        <v>4.1072503060676779E-2</v>
      </c>
      <c r="BP7" s="11">
        <f t="shared" ca="1" si="13"/>
        <v>0.87579686344409335</v>
      </c>
      <c r="BQ7" s="11">
        <f t="shared" ca="1" si="13"/>
        <v>0.22754115332496805</v>
      </c>
      <c r="BR7" s="11">
        <f t="shared" ca="1" si="13"/>
        <v>0.31889969097709181</v>
      </c>
      <c r="BS7" s="11">
        <f t="shared" ca="1" si="13"/>
        <v>0.26882081932211932</v>
      </c>
      <c r="BT7" s="11">
        <f t="shared" ca="1" si="13"/>
        <v>0.42699918591004837</v>
      </c>
      <c r="BU7" s="11">
        <f t="shared" ca="1" si="13"/>
        <v>0.39027489161743789</v>
      </c>
      <c r="BV7" s="11">
        <f t="shared" ca="1" si="14"/>
        <v>5.0374210694804189E-2</v>
      </c>
      <c r="BW7" s="11">
        <f t="shared" ca="1" si="14"/>
        <v>0.41333453968215061</v>
      </c>
      <c r="BX7" s="11">
        <f t="shared" ca="1" si="14"/>
        <v>0.20452257452293876</v>
      </c>
      <c r="BY7" s="11">
        <f t="shared" ca="1" si="14"/>
        <v>0.29523445573011575</v>
      </c>
      <c r="BZ7" s="11">
        <f t="shared" ca="1" si="14"/>
        <v>0.7091338504633885</v>
      </c>
      <c r="CA7" s="11">
        <f t="shared" ca="1" si="14"/>
        <v>0.20423533570498764</v>
      </c>
      <c r="CB7" s="11">
        <f t="shared" ca="1" si="14"/>
        <v>0.10439143037903043</v>
      </c>
      <c r="CC7" s="11">
        <f t="shared" ca="1" si="14"/>
        <v>0.84249351520659843</v>
      </c>
      <c r="CD7" s="11">
        <f t="shared" ca="1" si="14"/>
        <v>0.70935063972329948</v>
      </c>
      <c r="CE7" s="11">
        <f t="shared" ca="1" si="14"/>
        <v>0.32430456474342884</v>
      </c>
      <c r="CF7" s="11">
        <f t="shared" ca="1" si="15"/>
        <v>0.64049515463203066</v>
      </c>
      <c r="CG7" s="11">
        <f t="shared" ca="1" si="15"/>
        <v>1.9531562897108445E-2</v>
      </c>
      <c r="CH7" s="11">
        <f t="shared" ca="1" si="15"/>
        <v>0.97517662142474137</v>
      </c>
      <c r="CI7" s="11">
        <f t="shared" ca="1" si="15"/>
        <v>0.87855991277470025</v>
      </c>
      <c r="CJ7" s="11">
        <f t="shared" ca="1" si="15"/>
        <v>0.59124306298241069</v>
      </c>
      <c r="CK7" s="11">
        <f t="shared" ca="1" si="15"/>
        <v>0.13871350236564983</v>
      </c>
      <c r="CL7" s="11">
        <f t="shared" ca="1" si="15"/>
        <v>0.39057773971494125</v>
      </c>
      <c r="CM7" s="11">
        <f t="shared" ca="1" si="15"/>
        <v>0.4044890010762231</v>
      </c>
      <c r="CN7" s="11">
        <f t="shared" ca="1" si="15"/>
        <v>0.49933725762366377</v>
      </c>
      <c r="CO7" s="11">
        <f t="shared" ca="1" si="15"/>
        <v>0.7077114624311065</v>
      </c>
      <c r="CP7" s="11">
        <f t="shared" ca="1" si="16"/>
        <v>0.68836889619825437</v>
      </c>
      <c r="CQ7" s="11">
        <f t="shared" ca="1" si="16"/>
        <v>0.65172833180501699</v>
      </c>
      <c r="CR7" s="11">
        <f t="shared" ca="1" si="16"/>
        <v>0.88910501131069009</v>
      </c>
      <c r="CS7" s="11">
        <f t="shared" ca="1" si="16"/>
        <v>0.3009287461085951</v>
      </c>
      <c r="CT7" s="11">
        <f t="shared" ca="1" si="16"/>
        <v>0.30107982663780619</v>
      </c>
      <c r="CU7" s="11">
        <f t="shared" ca="1" si="16"/>
        <v>0.20769221336162036</v>
      </c>
      <c r="CV7" s="11">
        <f t="shared" ca="1" si="16"/>
        <v>0.72055025983387533</v>
      </c>
      <c r="CW7" s="11">
        <f t="shared" ca="1" si="16"/>
        <v>0.20355738452642291</v>
      </c>
      <c r="CX7" s="11">
        <f t="shared" ca="1" si="16"/>
        <v>0.93504470437297893</v>
      </c>
      <c r="CY7" s="11">
        <f t="shared" ca="1" si="16"/>
        <v>0.12111847361231876</v>
      </c>
      <c r="CZ7" s="11">
        <f t="shared" ca="1" si="17"/>
        <v>0.23982749731229658</v>
      </c>
      <c r="DA7" s="11">
        <f t="shared" ca="1" si="17"/>
        <v>0.11193304708082763</v>
      </c>
      <c r="DB7" s="11">
        <f t="shared" ca="1" si="17"/>
        <v>0.28794829313805215</v>
      </c>
      <c r="DC7" s="11">
        <f t="shared" ca="1" si="17"/>
        <v>0.97890188250269505</v>
      </c>
      <c r="DD7" s="11">
        <f t="shared" ca="1" si="17"/>
        <v>0.54693945767734742</v>
      </c>
      <c r="DE7" s="11">
        <f t="shared" ca="1" si="17"/>
        <v>0.89862502669768318</v>
      </c>
      <c r="DF7" s="11">
        <f t="shared" ca="1" si="17"/>
        <v>0.34724139965735579</v>
      </c>
      <c r="DG7" s="11">
        <f t="shared" ca="1" si="17"/>
        <v>0.45432879204191745</v>
      </c>
      <c r="DH7" s="11">
        <f t="shared" ca="1" si="17"/>
        <v>4.0985464459441956E-2</v>
      </c>
      <c r="DI7" s="11">
        <f t="shared" ca="1" si="17"/>
        <v>0.67498263018975002</v>
      </c>
      <c r="DJ7" s="11">
        <f t="shared" ca="1" si="18"/>
        <v>0.51581167776357195</v>
      </c>
      <c r="DK7" s="11">
        <f t="shared" ca="1" si="18"/>
        <v>5.33375739331442E-2</v>
      </c>
      <c r="DL7" s="11">
        <f t="shared" ca="1" si="18"/>
        <v>0.27679913322018912</v>
      </c>
      <c r="DM7" s="11">
        <f t="shared" ca="1" si="18"/>
        <v>0.37751179627435139</v>
      </c>
      <c r="DN7" s="11">
        <f t="shared" ca="1" si="18"/>
        <v>0.51349050091292336</v>
      </c>
      <c r="DO7" s="11">
        <f t="shared" ca="1" si="18"/>
        <v>0.74574381540753421</v>
      </c>
      <c r="DP7" s="11">
        <f t="shared" ca="1" si="18"/>
        <v>0.16878092415433876</v>
      </c>
      <c r="DQ7" s="11">
        <f t="shared" ca="1" si="18"/>
        <v>0.79573868545622117</v>
      </c>
      <c r="DR7" s="11">
        <f t="shared" ca="1" si="18"/>
        <v>0.16451490224737164</v>
      </c>
      <c r="DS7" s="11">
        <f t="shared" ca="1" si="18"/>
        <v>4.3160555634131126E-2</v>
      </c>
      <c r="DT7" s="11">
        <f t="shared" ca="1" si="19"/>
        <v>0.34774700866212649</v>
      </c>
      <c r="DU7" s="11">
        <f t="shared" ca="1" si="19"/>
        <v>0.18613315968041688</v>
      </c>
      <c r="DV7" s="11">
        <f t="shared" ca="1" si="19"/>
        <v>0.89922813319309414</v>
      </c>
      <c r="DW7" s="11">
        <f t="shared" ca="1" si="19"/>
        <v>0.81996326134809794</v>
      </c>
      <c r="DX7" s="11">
        <f t="shared" ca="1" si="19"/>
        <v>2.1889217033707609E-2</v>
      </c>
      <c r="DY7" s="11">
        <f t="shared" ca="1" si="19"/>
        <v>0.87667786453878604</v>
      </c>
      <c r="DZ7" s="11">
        <f t="shared" ca="1" si="19"/>
        <v>0.44026174384262773</v>
      </c>
      <c r="EA7" s="11">
        <f t="shared" ca="1" si="19"/>
        <v>0.75883645554561385</v>
      </c>
      <c r="EB7" s="11">
        <f t="shared" ca="1" si="19"/>
        <v>7.2173693027407615E-2</v>
      </c>
      <c r="EC7" s="11">
        <f t="shared" ca="1" si="19"/>
        <v>2.3398391719307576E-2</v>
      </c>
      <c r="ED7" s="11">
        <f t="shared" ca="1" si="19"/>
        <v>0.60384013171642181</v>
      </c>
      <c r="EE7" s="11">
        <f t="shared" ca="1" si="19"/>
        <v>4.1778523852754157E-2</v>
      </c>
    </row>
    <row r="8" spans="1:138" x14ac:dyDescent="0.4">
      <c r="C8" s="7" t="s">
        <v>12</v>
      </c>
      <c r="D8" s="11">
        <f t="shared" ca="1" si="7"/>
        <v>9.8236466219872476E-2</v>
      </c>
      <c r="E8" s="11">
        <f t="shared" ca="1" si="7"/>
        <v>3.1582855068573501E-2</v>
      </c>
      <c r="F8" s="11">
        <f t="shared" ca="1" si="7"/>
        <v>0.19666512575328776</v>
      </c>
      <c r="G8" s="11">
        <f t="shared" ca="1" si="7"/>
        <v>0.94177999182375371</v>
      </c>
      <c r="H8" s="11">
        <f t="shared" ca="1" si="7"/>
        <v>0.97643525375659357</v>
      </c>
      <c r="I8" s="11">
        <f t="shared" ca="1" si="7"/>
        <v>0.59902498905776003</v>
      </c>
      <c r="J8" s="11">
        <f t="shared" ca="1" si="7"/>
        <v>0.68086843094258864</v>
      </c>
      <c r="K8" s="11">
        <f t="shared" ca="1" si="7"/>
        <v>0.32570354415219305</v>
      </c>
      <c r="L8" s="11">
        <f t="shared" ca="1" si="7"/>
        <v>0.90093619619488974</v>
      </c>
      <c r="M8" s="11">
        <f t="shared" ca="1" si="7"/>
        <v>0.54408905666733987</v>
      </c>
      <c r="N8" s="11">
        <f t="shared" ca="1" si="8"/>
        <v>0.4404591900695165</v>
      </c>
      <c r="O8" s="11">
        <f t="shared" ca="1" si="8"/>
        <v>0.40419868428974459</v>
      </c>
      <c r="P8" s="11">
        <f t="shared" ca="1" si="8"/>
        <v>0.40236849071387293</v>
      </c>
      <c r="Q8" s="11">
        <f t="shared" ca="1" si="8"/>
        <v>0.31106401006045448</v>
      </c>
      <c r="R8" s="11">
        <f t="shared" ca="1" si="8"/>
        <v>0.30562965654725061</v>
      </c>
      <c r="S8" s="11">
        <f t="shared" ca="1" si="8"/>
        <v>0.14333182288653756</v>
      </c>
      <c r="T8" s="11">
        <f t="shared" ca="1" si="8"/>
        <v>0.37547207832540896</v>
      </c>
      <c r="U8" s="11">
        <f t="shared" ca="1" si="8"/>
        <v>0.95580057995983403</v>
      </c>
      <c r="V8" s="11">
        <f t="shared" ca="1" si="8"/>
        <v>0.74183034538011683</v>
      </c>
      <c r="W8" s="11">
        <f t="shared" ca="1" si="8"/>
        <v>0.49246873823427473</v>
      </c>
      <c r="X8" s="11">
        <f t="shared" ca="1" si="9"/>
        <v>0.86702977422095007</v>
      </c>
      <c r="Y8" s="11">
        <f t="shared" ca="1" si="9"/>
        <v>0.40283088011455248</v>
      </c>
      <c r="Z8" s="11">
        <f t="shared" ca="1" si="9"/>
        <v>0.53021655518548527</v>
      </c>
      <c r="AA8" s="11">
        <f t="shared" ca="1" si="9"/>
        <v>0.44929560804789814</v>
      </c>
      <c r="AB8" s="11">
        <f t="shared" ca="1" si="9"/>
        <v>0.34803866834670638</v>
      </c>
      <c r="AC8" s="11">
        <f t="shared" ca="1" si="9"/>
        <v>0.78215536486719617</v>
      </c>
      <c r="AD8" s="11">
        <f t="shared" ca="1" si="9"/>
        <v>0.19942413035455131</v>
      </c>
      <c r="AE8" s="11">
        <f t="shared" ca="1" si="9"/>
        <v>0.77909913446046919</v>
      </c>
      <c r="AF8" s="11">
        <f t="shared" ca="1" si="9"/>
        <v>0.58003455325652187</v>
      </c>
      <c r="AG8" s="11">
        <f t="shared" ca="1" si="9"/>
        <v>3.7110699279567227E-2</v>
      </c>
      <c r="AH8" s="11">
        <f t="shared" ca="1" si="10"/>
        <v>0.41241531465737691</v>
      </c>
      <c r="AI8" s="11">
        <f t="shared" ca="1" si="10"/>
        <v>8.1639440455115397E-2</v>
      </c>
      <c r="AJ8" s="11">
        <f t="shared" ca="1" si="10"/>
        <v>0.26068186886418954</v>
      </c>
      <c r="AK8" s="11">
        <f t="shared" ca="1" si="10"/>
        <v>0.48910492794247273</v>
      </c>
      <c r="AL8" s="11">
        <f t="shared" ca="1" si="10"/>
        <v>0.18927012898069329</v>
      </c>
      <c r="AM8" s="11">
        <f t="shared" ca="1" si="10"/>
        <v>0.54745289911073158</v>
      </c>
      <c r="AN8" s="11">
        <f t="shared" ca="1" si="10"/>
        <v>0.37061640289294329</v>
      </c>
      <c r="AO8" s="11">
        <f t="shared" ca="1" si="10"/>
        <v>0.41514119907488967</v>
      </c>
      <c r="AP8" s="11">
        <f t="shared" ca="1" si="10"/>
        <v>0.40605232728928942</v>
      </c>
      <c r="AQ8" s="11">
        <f t="shared" ca="1" si="10"/>
        <v>0.53639377706771985</v>
      </c>
      <c r="AR8" s="11">
        <f t="shared" ca="1" si="11"/>
        <v>0.39100869703734109</v>
      </c>
      <c r="AS8" s="11">
        <f t="shared" ca="1" si="11"/>
        <v>0.13582942067357351</v>
      </c>
      <c r="AT8" s="11">
        <f t="shared" ca="1" si="11"/>
        <v>0.91794651618618694</v>
      </c>
      <c r="AU8" s="11">
        <f t="shared" ca="1" si="11"/>
        <v>0.15645098063762264</v>
      </c>
      <c r="AV8" s="11">
        <f t="shared" ca="1" si="11"/>
        <v>0.53407860476573898</v>
      </c>
      <c r="AW8" s="11">
        <f t="shared" ca="1" si="11"/>
        <v>0.13220292394895994</v>
      </c>
      <c r="AX8" s="11">
        <f t="shared" ca="1" si="11"/>
        <v>0.35963626380163993</v>
      </c>
      <c r="AY8" s="11">
        <f t="shared" ca="1" si="11"/>
        <v>0.95179058100697178</v>
      </c>
      <c r="AZ8" s="11">
        <f t="shared" ca="1" si="11"/>
        <v>0.10046005465229824</v>
      </c>
      <c r="BA8" s="11">
        <f t="shared" ca="1" si="11"/>
        <v>0.88492481737246298</v>
      </c>
      <c r="BB8" s="11">
        <f t="shared" ca="1" si="12"/>
        <v>0.32206892437812951</v>
      </c>
      <c r="BC8" s="11">
        <f t="shared" ca="1" si="12"/>
        <v>0.32319596503366832</v>
      </c>
      <c r="BD8" s="11">
        <f t="shared" ca="1" si="12"/>
        <v>4.0710558064510627E-2</v>
      </c>
      <c r="BE8" s="11">
        <f t="shared" ca="1" si="12"/>
        <v>0.46987096296819353</v>
      </c>
      <c r="BF8" s="11">
        <f t="shared" ca="1" si="12"/>
        <v>0.58759860032083622</v>
      </c>
      <c r="BG8" s="11">
        <f t="shared" ca="1" si="12"/>
        <v>4.3591860839975349E-2</v>
      </c>
      <c r="BH8" s="11">
        <f t="shared" ca="1" si="12"/>
        <v>0.42290050463286699</v>
      </c>
      <c r="BI8" s="11">
        <f t="shared" ca="1" si="12"/>
        <v>0.30150372500901779</v>
      </c>
      <c r="BJ8" s="11">
        <f t="shared" ca="1" si="12"/>
        <v>0.8954004510960154</v>
      </c>
      <c r="BK8" s="11">
        <f t="shared" ca="1" si="12"/>
        <v>0.61279593677218092</v>
      </c>
      <c r="BL8" s="11">
        <f t="shared" ca="1" si="13"/>
        <v>0.60231125410458708</v>
      </c>
      <c r="BM8" s="11">
        <f t="shared" ca="1" si="13"/>
        <v>0.16072122464298899</v>
      </c>
      <c r="BN8" s="11">
        <f t="shared" ca="1" si="13"/>
        <v>0.50012472830442445</v>
      </c>
      <c r="BO8" s="11">
        <f t="shared" ca="1" si="13"/>
        <v>0.67450842546109424</v>
      </c>
      <c r="BP8" s="11">
        <f t="shared" ca="1" si="13"/>
        <v>0.70174686890577676</v>
      </c>
      <c r="BQ8" s="11">
        <f t="shared" ca="1" si="13"/>
        <v>0.22841017400595676</v>
      </c>
      <c r="BR8" s="11">
        <f t="shared" ca="1" si="13"/>
        <v>2.2893140363030473E-2</v>
      </c>
      <c r="BS8" s="11">
        <f t="shared" ca="1" si="13"/>
        <v>8.830541763740718E-2</v>
      </c>
      <c r="BT8" s="11">
        <f t="shared" ca="1" si="13"/>
        <v>0.59790744520777594</v>
      </c>
      <c r="BU8" s="11">
        <f t="shared" ca="1" si="13"/>
        <v>4.7877599067387644E-2</v>
      </c>
      <c r="BV8" s="11">
        <f t="shared" ca="1" si="14"/>
        <v>8.7497739414214126E-2</v>
      </c>
      <c r="BW8" s="11">
        <f t="shared" ca="1" si="14"/>
        <v>0.41984641200931883</v>
      </c>
      <c r="BX8" s="11">
        <f t="shared" ca="1" si="14"/>
        <v>0.73142312359145045</v>
      </c>
      <c r="BY8" s="11">
        <f t="shared" ca="1" si="14"/>
        <v>0.76754459136045472</v>
      </c>
      <c r="BZ8" s="11">
        <f t="shared" ca="1" si="14"/>
        <v>0.64645020515683949</v>
      </c>
      <c r="CA8" s="11">
        <f t="shared" ca="1" si="14"/>
        <v>0.23292407339494392</v>
      </c>
      <c r="CB8" s="11">
        <f t="shared" ca="1" si="14"/>
        <v>0.57684920554035657</v>
      </c>
      <c r="CC8" s="11">
        <f t="shared" ca="1" si="14"/>
        <v>0.8191239386313085</v>
      </c>
      <c r="CD8" s="11">
        <f t="shared" ca="1" si="14"/>
        <v>0.12062066909902758</v>
      </c>
      <c r="CE8" s="11">
        <f t="shared" ca="1" si="14"/>
        <v>0.76539822733946139</v>
      </c>
      <c r="CF8" s="11">
        <f t="shared" ca="1" si="15"/>
        <v>0.94411279271734661</v>
      </c>
      <c r="CG8" s="11">
        <f t="shared" ca="1" si="15"/>
        <v>0.5037543242908632</v>
      </c>
      <c r="CH8" s="11">
        <f t="shared" ca="1" si="15"/>
        <v>0.45214450136707329</v>
      </c>
      <c r="CI8" s="11">
        <f t="shared" ca="1" si="15"/>
        <v>0.42850829070503316</v>
      </c>
      <c r="CJ8" s="11">
        <f t="shared" ca="1" si="15"/>
        <v>0.54970025802422839</v>
      </c>
      <c r="CK8" s="11">
        <f t="shared" ca="1" si="15"/>
        <v>0.2302385565429812</v>
      </c>
      <c r="CL8" s="11">
        <f t="shared" ca="1" si="15"/>
        <v>0.83709613965473906</v>
      </c>
      <c r="CM8" s="11">
        <f t="shared" ca="1" si="15"/>
        <v>8.8261473345446873E-2</v>
      </c>
      <c r="CN8" s="11">
        <f t="shared" ca="1" si="15"/>
        <v>0.70148417147041031</v>
      </c>
      <c r="CO8" s="11">
        <f t="shared" ca="1" si="15"/>
        <v>0.9052245523326099</v>
      </c>
      <c r="CP8" s="11">
        <f t="shared" ca="1" si="16"/>
        <v>0.27534264812871723</v>
      </c>
      <c r="CQ8" s="11">
        <f t="shared" ca="1" si="16"/>
        <v>0.58202300851861843</v>
      </c>
      <c r="CR8" s="11">
        <f t="shared" ca="1" si="16"/>
        <v>0.59241447579016293</v>
      </c>
      <c r="CS8" s="11">
        <f t="shared" ca="1" si="16"/>
        <v>0.13520686922503677</v>
      </c>
      <c r="CT8" s="11">
        <f t="shared" ca="1" si="16"/>
        <v>0.99228651068330975</v>
      </c>
      <c r="CU8" s="11">
        <f t="shared" ca="1" si="16"/>
        <v>0.68795777848135553</v>
      </c>
      <c r="CV8" s="11">
        <f t="shared" ca="1" si="16"/>
        <v>0.39704395574175178</v>
      </c>
      <c r="CW8" s="11">
        <f t="shared" ca="1" si="16"/>
        <v>0.75283149943900574</v>
      </c>
      <c r="CX8" s="11">
        <f t="shared" ca="1" si="16"/>
        <v>0.95822952838198394</v>
      </c>
      <c r="CY8" s="11">
        <f t="shared" ca="1" si="16"/>
        <v>0.898911357944295</v>
      </c>
      <c r="CZ8" s="11">
        <f t="shared" ca="1" si="17"/>
        <v>0.95198151775911077</v>
      </c>
      <c r="DA8" s="11">
        <f t="shared" ca="1" si="17"/>
        <v>0.81504237859694595</v>
      </c>
      <c r="DB8" s="11">
        <f t="shared" ca="1" si="17"/>
        <v>0.9537286537140478</v>
      </c>
      <c r="DC8" s="11">
        <f t="shared" ca="1" si="17"/>
        <v>8.2619045603246066E-3</v>
      </c>
      <c r="DD8" s="11">
        <f t="shared" ca="1" si="17"/>
        <v>0.74952551272713153</v>
      </c>
      <c r="DE8" s="11">
        <f t="shared" ca="1" si="17"/>
        <v>0.80118323298301841</v>
      </c>
      <c r="DF8" s="11">
        <f t="shared" ca="1" si="17"/>
        <v>0.21317043374158284</v>
      </c>
      <c r="DG8" s="11">
        <f t="shared" ca="1" si="17"/>
        <v>0.63499175447792799</v>
      </c>
      <c r="DH8" s="11">
        <f t="shared" ca="1" si="17"/>
        <v>5.7262387269534476E-2</v>
      </c>
      <c r="DI8" s="11">
        <f t="shared" ca="1" si="17"/>
        <v>0.23108682394818314</v>
      </c>
      <c r="DJ8" s="11">
        <f t="shared" ca="1" si="18"/>
        <v>0.19113625557208436</v>
      </c>
      <c r="DK8" s="11">
        <f t="shared" ca="1" si="18"/>
        <v>0.97195322847224164</v>
      </c>
      <c r="DL8" s="11">
        <f t="shared" ca="1" si="18"/>
        <v>0.2256369925036531</v>
      </c>
      <c r="DM8" s="11">
        <f t="shared" ca="1" si="18"/>
        <v>0.69480501719769572</v>
      </c>
      <c r="DN8" s="11">
        <f t="shared" ca="1" si="18"/>
        <v>0.46593170871811884</v>
      </c>
      <c r="DO8" s="11">
        <f t="shared" ca="1" si="18"/>
        <v>0.27089938231110533</v>
      </c>
      <c r="DP8" s="11">
        <f t="shared" ca="1" si="18"/>
        <v>8.1233771418725453E-2</v>
      </c>
      <c r="DQ8" s="11">
        <f t="shared" ca="1" si="18"/>
        <v>0.44691642764672324</v>
      </c>
      <c r="DR8" s="11">
        <f t="shared" ca="1" si="18"/>
        <v>0.24658522475969324</v>
      </c>
      <c r="DS8" s="11">
        <f t="shared" ca="1" si="18"/>
        <v>0.17926604370505483</v>
      </c>
      <c r="DT8" s="11">
        <f t="shared" ca="1" si="19"/>
        <v>0.81648118755778942</v>
      </c>
      <c r="DU8" s="11">
        <f t="shared" ca="1" si="19"/>
        <v>0.49291262468664598</v>
      </c>
      <c r="DV8" s="11">
        <f t="shared" ca="1" si="19"/>
        <v>0.98463735967151733</v>
      </c>
      <c r="DW8" s="11">
        <f t="shared" ca="1" si="19"/>
        <v>0.63845664329127816</v>
      </c>
      <c r="DX8" s="11">
        <f t="shared" ca="1" si="19"/>
        <v>4.2141406253700331E-2</v>
      </c>
      <c r="DY8" s="11">
        <f t="shared" ca="1" si="19"/>
        <v>0.36771336859258441</v>
      </c>
      <c r="DZ8" s="11">
        <f t="shared" ca="1" si="19"/>
        <v>2.4165652304198537E-2</v>
      </c>
      <c r="EA8" s="11">
        <f t="shared" ca="1" si="19"/>
        <v>0.21135899120467039</v>
      </c>
      <c r="EB8" s="11">
        <f t="shared" ca="1" si="19"/>
        <v>0.76970639065526658</v>
      </c>
      <c r="EC8" s="11">
        <f t="shared" ca="1" si="19"/>
        <v>0.86348855499829935</v>
      </c>
      <c r="ED8" s="11">
        <f t="shared" ca="1" si="19"/>
        <v>0.70151597184934589</v>
      </c>
      <c r="EE8" s="11">
        <f t="shared" ca="1" si="19"/>
        <v>0.8370598469008399</v>
      </c>
    </row>
    <row r="9" spans="1:138" x14ac:dyDescent="0.4">
      <c r="C9" s="7" t="s">
        <v>27</v>
      </c>
      <c r="D9" s="11">
        <f t="shared" ca="1" si="7"/>
        <v>0.78926548979224387</v>
      </c>
      <c r="E9" s="11">
        <f t="shared" ca="1" si="7"/>
        <v>4.7841141822572819E-2</v>
      </c>
      <c r="F9" s="11">
        <f t="shared" ca="1" si="7"/>
        <v>0.79854360231935939</v>
      </c>
      <c r="G9" s="11">
        <f t="shared" ca="1" si="7"/>
        <v>9.3536781380362255E-2</v>
      </c>
      <c r="H9" s="11">
        <f t="shared" ca="1" si="7"/>
        <v>0.75322859558522515</v>
      </c>
      <c r="I9" s="11">
        <f t="shared" ca="1" si="7"/>
        <v>0.87268571103761783</v>
      </c>
      <c r="J9" s="11">
        <f t="shared" ca="1" si="7"/>
        <v>0.32885867681223258</v>
      </c>
      <c r="K9" s="11">
        <f t="shared" ca="1" si="7"/>
        <v>0.17842265220873532</v>
      </c>
      <c r="L9" s="11">
        <f t="shared" ca="1" si="7"/>
        <v>4.8889974045575157E-2</v>
      </c>
      <c r="M9" s="11">
        <f t="shared" ca="1" si="7"/>
        <v>0.44427473310536036</v>
      </c>
      <c r="N9" s="11">
        <f t="shared" ca="1" si="8"/>
        <v>0.60750448998408335</v>
      </c>
      <c r="O9" s="11">
        <f t="shared" ca="1" si="8"/>
        <v>7.7488081213432203E-2</v>
      </c>
      <c r="P9" s="11">
        <f t="shared" ca="1" si="8"/>
        <v>0.315906658476521</v>
      </c>
      <c r="Q9" s="11">
        <f t="shared" ca="1" si="8"/>
        <v>0.48953319692119579</v>
      </c>
      <c r="R9" s="11">
        <f t="shared" ca="1" si="8"/>
        <v>0.53477175085269302</v>
      </c>
      <c r="S9" s="11">
        <f t="shared" ca="1" si="8"/>
        <v>0.23511453966639639</v>
      </c>
      <c r="T9" s="11">
        <f t="shared" ca="1" si="8"/>
        <v>0.58467989031122691</v>
      </c>
      <c r="U9" s="11">
        <f t="shared" ca="1" si="8"/>
        <v>0.43047453673958191</v>
      </c>
      <c r="V9" s="11">
        <f t="shared" ca="1" si="8"/>
        <v>0.77130385348981245</v>
      </c>
      <c r="W9" s="11">
        <f t="shared" ca="1" si="8"/>
        <v>0.799155855385418</v>
      </c>
      <c r="X9" s="11">
        <f t="shared" ca="1" si="9"/>
        <v>0.71220628004754638</v>
      </c>
      <c r="Y9" s="11">
        <f t="shared" ca="1" si="9"/>
        <v>0.98181114680514658</v>
      </c>
      <c r="Z9" s="11">
        <f t="shared" ca="1" si="9"/>
        <v>0.84660565216182149</v>
      </c>
      <c r="AA9" s="11">
        <f t="shared" ca="1" si="9"/>
        <v>0.10809740901033493</v>
      </c>
      <c r="AB9" s="11">
        <f t="shared" ca="1" si="9"/>
        <v>0.16130728910077585</v>
      </c>
      <c r="AC9" s="11">
        <f t="shared" ca="1" si="9"/>
        <v>0.89563783307815104</v>
      </c>
      <c r="AD9" s="11">
        <f t="shared" ca="1" si="9"/>
        <v>0.55802230097775041</v>
      </c>
      <c r="AE9" s="11">
        <f t="shared" ca="1" si="9"/>
        <v>1.2777129981193625E-2</v>
      </c>
      <c r="AF9" s="11">
        <f t="shared" ca="1" si="9"/>
        <v>0.92134164116731643</v>
      </c>
      <c r="AG9" s="11">
        <f t="shared" ca="1" si="9"/>
        <v>0.39740609394425763</v>
      </c>
      <c r="AH9" s="11">
        <f t="shared" ca="1" si="10"/>
        <v>0.80466569457998138</v>
      </c>
      <c r="AI9" s="11">
        <f t="shared" ca="1" si="10"/>
        <v>6.7107209025580428E-2</v>
      </c>
      <c r="AJ9" s="11">
        <f t="shared" ca="1" si="10"/>
        <v>0.73919820443420436</v>
      </c>
      <c r="AK9" s="11">
        <f t="shared" ca="1" si="10"/>
        <v>0.90747578833451614</v>
      </c>
      <c r="AL9" s="11">
        <f t="shared" ca="1" si="10"/>
        <v>0.6422151619653641</v>
      </c>
      <c r="AM9" s="11">
        <f t="shared" ca="1" si="10"/>
        <v>0.26734266177338772</v>
      </c>
      <c r="AN9" s="11">
        <f t="shared" ca="1" si="10"/>
        <v>0.97300911791428324</v>
      </c>
      <c r="AO9" s="11">
        <f t="shared" ca="1" si="10"/>
        <v>0.19953075804467135</v>
      </c>
      <c r="AP9" s="11">
        <f t="shared" ca="1" si="10"/>
        <v>0.7667568465549478</v>
      </c>
      <c r="AQ9" s="11">
        <f t="shared" ca="1" si="10"/>
        <v>0.57362477963061065</v>
      </c>
      <c r="AR9" s="11">
        <f t="shared" ca="1" si="11"/>
        <v>0.88564827346397201</v>
      </c>
      <c r="AS9" s="11">
        <f t="shared" ca="1" si="11"/>
        <v>0.32418493700244555</v>
      </c>
      <c r="AT9" s="11">
        <f t="shared" ca="1" si="11"/>
        <v>0.24802132535076593</v>
      </c>
      <c r="AU9" s="11">
        <f t="shared" ca="1" si="11"/>
        <v>0.35970160125329997</v>
      </c>
      <c r="AV9" s="11">
        <f t="shared" ca="1" si="11"/>
        <v>0.89598701349737508</v>
      </c>
      <c r="AW9" s="11">
        <f t="shared" ca="1" si="11"/>
        <v>0.26444706567791898</v>
      </c>
      <c r="AX9" s="11">
        <f t="shared" ca="1" si="11"/>
        <v>0.44881482028592246</v>
      </c>
      <c r="AY9" s="11">
        <f t="shared" ca="1" si="11"/>
        <v>0.20508679734123347</v>
      </c>
      <c r="AZ9" s="11">
        <f t="shared" ca="1" si="11"/>
        <v>0.83425278224418009</v>
      </c>
      <c r="BA9" s="11">
        <f t="shared" ca="1" si="11"/>
        <v>0.86700812738462751</v>
      </c>
      <c r="BB9" s="11">
        <f t="shared" ca="1" si="12"/>
        <v>7.084069311801966E-2</v>
      </c>
      <c r="BC9" s="11">
        <f t="shared" ca="1" si="12"/>
        <v>0.44549432861759508</v>
      </c>
      <c r="BD9" s="11">
        <f t="shared" ca="1" si="12"/>
        <v>0.55347420090682897</v>
      </c>
      <c r="BE9" s="11">
        <f t="shared" ca="1" si="12"/>
        <v>0.19528135533730506</v>
      </c>
      <c r="BF9" s="11">
        <f t="shared" ca="1" si="12"/>
        <v>0.65342011878842621</v>
      </c>
      <c r="BG9" s="11">
        <f t="shared" ca="1" si="12"/>
        <v>0.64553863954133917</v>
      </c>
      <c r="BH9" s="11">
        <f t="shared" ca="1" si="12"/>
        <v>0.47858841138895092</v>
      </c>
      <c r="BI9" s="11">
        <f t="shared" ca="1" si="12"/>
        <v>6.8056617130420771E-2</v>
      </c>
      <c r="BJ9" s="11">
        <f t="shared" ca="1" si="12"/>
        <v>0.65742948820821656</v>
      </c>
      <c r="BK9" s="11">
        <f t="shared" ca="1" si="12"/>
        <v>0.97936444585281957</v>
      </c>
      <c r="BL9" s="11">
        <f t="shared" ca="1" si="13"/>
        <v>0.26415308776781787</v>
      </c>
      <c r="BM9" s="11">
        <f t="shared" ca="1" si="13"/>
        <v>0.10239877360387872</v>
      </c>
      <c r="BN9" s="11">
        <f t="shared" ca="1" si="13"/>
        <v>0.49162755279799064</v>
      </c>
      <c r="BO9" s="11">
        <f t="shared" ca="1" si="13"/>
        <v>0.19141694369036921</v>
      </c>
      <c r="BP9" s="11">
        <f t="shared" ca="1" si="13"/>
        <v>0.2391300394042849</v>
      </c>
      <c r="BQ9" s="11">
        <f t="shared" ca="1" si="13"/>
        <v>0.59498115076596436</v>
      </c>
      <c r="BR9" s="11">
        <f t="shared" ca="1" si="13"/>
        <v>0.40578637859464262</v>
      </c>
      <c r="BS9" s="11">
        <f t="shared" ca="1" si="13"/>
        <v>0.44514839783196403</v>
      </c>
      <c r="BT9" s="11">
        <f t="shared" ca="1" si="13"/>
        <v>0.78955154905008551</v>
      </c>
      <c r="BU9" s="11">
        <f t="shared" ca="1" si="13"/>
        <v>4.722453582139019E-2</v>
      </c>
      <c r="BV9" s="11">
        <f t="shared" ca="1" si="14"/>
        <v>0.61854744137085427</v>
      </c>
      <c r="BW9" s="11">
        <f t="shared" ca="1" si="14"/>
        <v>0.79469920093485624</v>
      </c>
      <c r="BX9" s="11">
        <f t="shared" ca="1" si="14"/>
        <v>0.65940120735168284</v>
      </c>
      <c r="BY9" s="11">
        <f t="shared" ca="1" si="14"/>
        <v>0.82730816316226552</v>
      </c>
      <c r="BZ9" s="11">
        <f t="shared" ca="1" si="14"/>
        <v>0.20085523723172904</v>
      </c>
      <c r="CA9" s="11">
        <f t="shared" ca="1" si="14"/>
        <v>0.78532684032895572</v>
      </c>
      <c r="CB9" s="11">
        <f t="shared" ca="1" si="14"/>
        <v>0.9403136842449118</v>
      </c>
      <c r="CC9" s="11">
        <f t="shared" ca="1" si="14"/>
        <v>0.61191033789414684</v>
      </c>
      <c r="CD9" s="11">
        <f t="shared" ca="1" si="14"/>
        <v>0.30917930298389951</v>
      </c>
      <c r="CE9" s="11">
        <f t="shared" ca="1" si="14"/>
        <v>0.5788772754472028</v>
      </c>
      <c r="CF9" s="11">
        <f t="shared" ca="1" si="15"/>
        <v>6.9702550881155956E-2</v>
      </c>
      <c r="CG9" s="11">
        <f t="shared" ca="1" si="15"/>
        <v>0.98289895527276316</v>
      </c>
      <c r="CH9" s="11">
        <f t="shared" ca="1" si="15"/>
        <v>0.74462170828912233</v>
      </c>
      <c r="CI9" s="11">
        <f t="shared" ca="1" si="15"/>
        <v>0.1794223674290969</v>
      </c>
      <c r="CJ9" s="11">
        <f t="shared" ca="1" si="15"/>
        <v>9.8723903523089351E-2</v>
      </c>
      <c r="CK9" s="11">
        <f t="shared" ca="1" si="15"/>
        <v>0.59300824352310877</v>
      </c>
      <c r="CL9" s="11">
        <f t="shared" ca="1" si="15"/>
        <v>0.53931112086579081</v>
      </c>
      <c r="CM9" s="11">
        <f t="shared" ca="1" si="15"/>
        <v>0.99744588150235769</v>
      </c>
      <c r="CN9" s="11">
        <f t="shared" ca="1" si="15"/>
        <v>0.76075606116803685</v>
      </c>
      <c r="CO9" s="11">
        <f t="shared" ca="1" si="15"/>
        <v>0.27112368765337913</v>
      </c>
      <c r="CP9" s="11">
        <f t="shared" ca="1" si="16"/>
        <v>3.2918231180338875E-3</v>
      </c>
      <c r="CQ9" s="11">
        <f t="shared" ca="1" si="16"/>
        <v>0.71820676016936025</v>
      </c>
      <c r="CR9" s="11">
        <f t="shared" ca="1" si="16"/>
        <v>0.92296567013694863</v>
      </c>
      <c r="CS9" s="11">
        <f t="shared" ca="1" si="16"/>
        <v>0.55444503719362637</v>
      </c>
      <c r="CT9" s="11">
        <f t="shared" ca="1" si="16"/>
        <v>0.56196353092903428</v>
      </c>
      <c r="CU9" s="11">
        <f t="shared" ca="1" si="16"/>
        <v>0.82092850838141007</v>
      </c>
      <c r="CV9" s="11">
        <f t="shared" ca="1" si="16"/>
        <v>0.26566631556848941</v>
      </c>
      <c r="CW9" s="11">
        <f t="shared" ca="1" si="16"/>
        <v>3.4955439832434321E-2</v>
      </c>
      <c r="CX9" s="11">
        <f t="shared" ca="1" si="16"/>
        <v>0.75419233522855222</v>
      </c>
      <c r="CY9" s="11">
        <f t="shared" ca="1" si="16"/>
        <v>0.54330053096756215</v>
      </c>
      <c r="CZ9" s="11">
        <f t="shared" ca="1" si="17"/>
        <v>0.35364120643175212</v>
      </c>
      <c r="DA9" s="11">
        <f t="shared" ca="1" si="17"/>
        <v>0.47380403594484821</v>
      </c>
      <c r="DB9" s="11">
        <f t="shared" ca="1" si="17"/>
        <v>0.57746048501276204</v>
      </c>
      <c r="DC9" s="11">
        <f t="shared" ca="1" si="17"/>
        <v>0.38307696785521295</v>
      </c>
      <c r="DD9" s="11">
        <f t="shared" ca="1" si="17"/>
        <v>0.10247763394086007</v>
      </c>
      <c r="DE9" s="11">
        <f t="shared" ca="1" si="17"/>
        <v>0.46793932751380574</v>
      </c>
      <c r="DF9" s="11">
        <f t="shared" ca="1" si="17"/>
        <v>6.8139840505512805E-2</v>
      </c>
      <c r="DG9" s="11">
        <f t="shared" ca="1" si="17"/>
        <v>0.27625602907072178</v>
      </c>
      <c r="DH9" s="11">
        <f t="shared" ca="1" si="17"/>
        <v>0.51564090103967264</v>
      </c>
      <c r="DI9" s="11">
        <f t="shared" ca="1" si="17"/>
        <v>0.88008671678538319</v>
      </c>
      <c r="DJ9" s="11">
        <f t="shared" ca="1" si="18"/>
        <v>0.84049445782130316</v>
      </c>
      <c r="DK9" s="11">
        <f t="shared" ca="1" si="18"/>
        <v>0.41766617971347764</v>
      </c>
      <c r="DL9" s="11">
        <f t="shared" ca="1" si="18"/>
        <v>0.71482033212413643</v>
      </c>
      <c r="DM9" s="11">
        <f t="shared" ca="1" si="18"/>
        <v>0.39355121401227122</v>
      </c>
      <c r="DN9" s="11">
        <f t="shared" ca="1" si="18"/>
        <v>0.8696362188714919</v>
      </c>
      <c r="DO9" s="11">
        <f t="shared" ca="1" si="18"/>
        <v>0.10618235620563976</v>
      </c>
      <c r="DP9" s="11">
        <f t="shared" ca="1" si="18"/>
        <v>0.58394291144600097</v>
      </c>
      <c r="DQ9" s="11">
        <f t="shared" ca="1" si="18"/>
        <v>0.29402723572027578</v>
      </c>
      <c r="DR9" s="11">
        <f t="shared" ca="1" si="18"/>
        <v>0.31658508459561663</v>
      </c>
      <c r="DS9" s="11">
        <f t="shared" ca="1" si="18"/>
        <v>0.12035099044006159</v>
      </c>
      <c r="DT9" s="11">
        <f t="shared" ca="1" si="19"/>
        <v>0.57099214218762251</v>
      </c>
      <c r="DU9" s="11">
        <f t="shared" ca="1" si="19"/>
        <v>0.75169356836574142</v>
      </c>
      <c r="DV9" s="11">
        <f t="shared" ca="1" si="19"/>
        <v>0.55599131468302065</v>
      </c>
      <c r="DW9" s="11">
        <f t="shared" ca="1" si="19"/>
        <v>0.28336403347974937</v>
      </c>
      <c r="DX9" s="11">
        <f t="shared" ca="1" si="19"/>
        <v>1.4369704768918634E-2</v>
      </c>
      <c r="DY9" s="11">
        <f t="shared" ca="1" si="19"/>
        <v>0.1078781493601404</v>
      </c>
      <c r="DZ9" s="11">
        <f t="shared" ca="1" si="19"/>
        <v>0.66159594173449343</v>
      </c>
      <c r="EA9" s="11">
        <f t="shared" ca="1" si="19"/>
        <v>0.82694525191362356</v>
      </c>
      <c r="EB9" s="11">
        <f t="shared" ca="1" si="19"/>
        <v>0.81956546252213425</v>
      </c>
      <c r="EC9" s="11">
        <f t="shared" ca="1" si="19"/>
        <v>2.0893276308102671E-3</v>
      </c>
      <c r="ED9" s="11">
        <f t="shared" ca="1" si="19"/>
        <v>0.242952208064668</v>
      </c>
      <c r="EE9" s="11">
        <f t="shared" ca="1" si="19"/>
        <v>0.66199693868170761</v>
      </c>
    </row>
    <row r="10" spans="1:138" x14ac:dyDescent="0.4">
      <c r="C10" s="7" t="s">
        <v>28</v>
      </c>
      <c r="D10" s="11">
        <f t="shared" ca="1" si="7"/>
        <v>0.45432669505472378</v>
      </c>
      <c r="E10" s="11">
        <f t="shared" ca="1" si="7"/>
        <v>0.77478422847105832</v>
      </c>
      <c r="F10" s="11">
        <f t="shared" ca="1" si="7"/>
        <v>0.9810503773574405</v>
      </c>
      <c r="G10" s="11">
        <f t="shared" ca="1" si="7"/>
        <v>0.22909456961590968</v>
      </c>
      <c r="H10" s="11">
        <f t="shared" ca="1" si="7"/>
        <v>0.58598511179741375</v>
      </c>
      <c r="I10" s="11">
        <f t="shared" ca="1" si="7"/>
        <v>4.7664701587642577E-2</v>
      </c>
      <c r="J10" s="11">
        <f t="shared" ca="1" si="7"/>
        <v>0.32108978948166034</v>
      </c>
      <c r="K10" s="11">
        <f t="shared" ca="1" si="7"/>
        <v>0.62709148181114516</v>
      </c>
      <c r="L10" s="11">
        <f t="shared" ca="1" si="7"/>
        <v>0.60745707460436704</v>
      </c>
      <c r="M10" s="11">
        <f t="shared" ca="1" si="7"/>
        <v>0.54142976386836206</v>
      </c>
      <c r="N10" s="11">
        <f t="shared" ca="1" si="8"/>
        <v>0.7702791910940987</v>
      </c>
      <c r="O10" s="11">
        <f t="shared" ca="1" si="8"/>
        <v>8.5123976567346271E-2</v>
      </c>
      <c r="P10" s="11">
        <f t="shared" ca="1" si="8"/>
        <v>0.82520318483480593</v>
      </c>
      <c r="Q10" s="11">
        <f t="shared" ca="1" si="8"/>
        <v>0.63724537332298437</v>
      </c>
      <c r="R10" s="11">
        <f t="shared" ca="1" si="8"/>
        <v>0.10002762966497947</v>
      </c>
      <c r="S10" s="11">
        <f t="shared" ca="1" si="8"/>
        <v>0.89546528141623671</v>
      </c>
      <c r="T10" s="11">
        <f t="shared" ca="1" si="8"/>
        <v>0.15305441452287905</v>
      </c>
      <c r="U10" s="11">
        <f t="shared" ca="1" si="8"/>
        <v>0.34449976155250595</v>
      </c>
      <c r="V10" s="11">
        <f t="shared" ca="1" si="8"/>
        <v>2.0147477130656455E-2</v>
      </c>
      <c r="W10" s="11">
        <f t="shared" ca="1" si="8"/>
        <v>0.24497793989829564</v>
      </c>
      <c r="X10" s="11">
        <f t="shared" ca="1" si="9"/>
        <v>8.7653508073254116E-2</v>
      </c>
      <c r="Y10" s="11">
        <f t="shared" ca="1" si="9"/>
        <v>0.91150598590449539</v>
      </c>
      <c r="Z10" s="11">
        <f t="shared" ca="1" si="9"/>
        <v>0.82564089435301835</v>
      </c>
      <c r="AA10" s="11">
        <f t="shared" ca="1" si="9"/>
        <v>8.1609090101872894E-2</v>
      </c>
      <c r="AB10" s="11">
        <f t="shared" ca="1" si="9"/>
        <v>0.12694245794753334</v>
      </c>
      <c r="AC10" s="11">
        <f t="shared" ca="1" si="9"/>
        <v>0.66304860877293392</v>
      </c>
      <c r="AD10" s="11">
        <f t="shared" ca="1" si="9"/>
        <v>0.96325723975760513</v>
      </c>
      <c r="AE10" s="11">
        <f t="shared" ca="1" si="9"/>
        <v>0.70501325029189021</v>
      </c>
      <c r="AF10" s="11">
        <f t="shared" ca="1" si="9"/>
        <v>0.77423413646433192</v>
      </c>
      <c r="AG10" s="11">
        <f t="shared" ca="1" si="9"/>
        <v>0.58940804172689498</v>
      </c>
      <c r="AH10" s="11">
        <f t="shared" ca="1" si="10"/>
        <v>0.23797091841883422</v>
      </c>
      <c r="AI10" s="11">
        <f t="shared" ca="1" si="10"/>
        <v>0.5054032715673048</v>
      </c>
      <c r="AJ10" s="11">
        <f t="shared" ca="1" si="10"/>
        <v>0.92473131363533312</v>
      </c>
      <c r="AK10" s="11">
        <f t="shared" ca="1" si="10"/>
        <v>0.47603155718655765</v>
      </c>
      <c r="AL10" s="11">
        <f t="shared" ca="1" si="10"/>
        <v>9.3742627173325266E-2</v>
      </c>
      <c r="AM10" s="11">
        <f t="shared" ca="1" si="10"/>
        <v>4.3114004014346952E-2</v>
      </c>
      <c r="AN10" s="11">
        <f t="shared" ca="1" si="10"/>
        <v>0.49830262396019087</v>
      </c>
      <c r="AO10" s="11">
        <f t="shared" ca="1" si="10"/>
        <v>0.72434867072150677</v>
      </c>
      <c r="AP10" s="11">
        <f t="shared" ca="1" si="10"/>
        <v>4.3114685293138999E-2</v>
      </c>
      <c r="AQ10" s="11">
        <f t="shared" ca="1" si="10"/>
        <v>0.95813433671475445</v>
      </c>
      <c r="AR10" s="11">
        <f t="shared" ca="1" si="11"/>
        <v>0.45886439918407407</v>
      </c>
      <c r="AS10" s="11">
        <f t="shared" ca="1" si="11"/>
        <v>0.11067450053399353</v>
      </c>
      <c r="AT10" s="11">
        <f t="shared" ca="1" si="11"/>
        <v>0.40485562397132313</v>
      </c>
      <c r="AU10" s="11">
        <f t="shared" ca="1" si="11"/>
        <v>0.71235502079819046</v>
      </c>
      <c r="AV10" s="11">
        <f t="shared" ca="1" si="11"/>
        <v>0.29029895827055918</v>
      </c>
      <c r="AW10" s="11">
        <f t="shared" ca="1" si="11"/>
        <v>0.26353232495323886</v>
      </c>
      <c r="AX10" s="11">
        <f t="shared" ca="1" si="11"/>
        <v>0.65380445376841434</v>
      </c>
      <c r="AY10" s="11">
        <f t="shared" ca="1" si="11"/>
        <v>0.21316025737866318</v>
      </c>
      <c r="AZ10" s="11">
        <f t="shared" ca="1" si="11"/>
        <v>0.5419292561415755</v>
      </c>
      <c r="BA10" s="11">
        <f t="shared" ca="1" si="11"/>
        <v>0.99851399710003841</v>
      </c>
      <c r="BB10" s="11">
        <f t="shared" ca="1" si="12"/>
        <v>0.51258581691214977</v>
      </c>
      <c r="BC10" s="11">
        <f t="shared" ca="1" si="12"/>
        <v>0.32451574013096007</v>
      </c>
      <c r="BD10" s="11">
        <f t="shared" ca="1" si="12"/>
        <v>0.80058188246163664</v>
      </c>
      <c r="BE10" s="11">
        <f t="shared" ca="1" si="12"/>
        <v>0.19573812735509555</v>
      </c>
      <c r="BF10" s="11">
        <f t="shared" ca="1" si="12"/>
        <v>0.99756532810171894</v>
      </c>
      <c r="BG10" s="11">
        <f t="shared" ca="1" si="12"/>
        <v>0.52325751114889874</v>
      </c>
      <c r="BH10" s="11">
        <f t="shared" ca="1" si="12"/>
        <v>0.24868728299008158</v>
      </c>
      <c r="BI10" s="11">
        <f t="shared" ca="1" si="12"/>
        <v>0.72945414256776619</v>
      </c>
      <c r="BJ10" s="11">
        <f t="shared" ca="1" si="12"/>
        <v>0.43969633207371661</v>
      </c>
      <c r="BK10" s="11">
        <f t="shared" ca="1" si="12"/>
        <v>0.43242940710275912</v>
      </c>
      <c r="BL10" s="11">
        <f t="shared" ca="1" si="13"/>
        <v>0.46162435480538733</v>
      </c>
      <c r="BM10" s="11">
        <f t="shared" ca="1" si="13"/>
        <v>3.2188707376029968E-2</v>
      </c>
      <c r="BN10" s="11">
        <f t="shared" ca="1" si="13"/>
        <v>0.99773331834304402</v>
      </c>
      <c r="BO10" s="11">
        <f t="shared" ca="1" si="13"/>
        <v>0.68256329738892119</v>
      </c>
      <c r="BP10" s="11">
        <f t="shared" ca="1" si="13"/>
        <v>0.93141228044447544</v>
      </c>
      <c r="BQ10" s="11">
        <f t="shared" ca="1" si="13"/>
        <v>0.17442009623724153</v>
      </c>
      <c r="BR10" s="11">
        <f t="shared" ca="1" si="13"/>
        <v>0.38433707748442059</v>
      </c>
      <c r="BS10" s="11">
        <f t="shared" ca="1" si="13"/>
        <v>9.4778388354151977E-3</v>
      </c>
      <c r="BT10" s="11">
        <f t="shared" ca="1" si="13"/>
        <v>0.34958315126078443</v>
      </c>
      <c r="BU10" s="11">
        <f t="shared" ca="1" si="13"/>
        <v>0.84376370876741658</v>
      </c>
      <c r="BV10" s="11">
        <f t="shared" ca="1" si="14"/>
        <v>0.9374377077521826</v>
      </c>
      <c r="BW10" s="11">
        <f t="shared" ca="1" si="14"/>
        <v>0.68688400150006279</v>
      </c>
      <c r="BX10" s="11">
        <f t="shared" ca="1" si="14"/>
        <v>0.25349349643628838</v>
      </c>
      <c r="BY10" s="11">
        <f t="shared" ca="1" si="14"/>
        <v>0.77225271940800322</v>
      </c>
      <c r="BZ10" s="11">
        <f t="shared" ca="1" si="14"/>
        <v>0.38613583804745355</v>
      </c>
      <c r="CA10" s="11">
        <f t="shared" ca="1" si="14"/>
        <v>0.28648591814405966</v>
      </c>
      <c r="CB10" s="11">
        <f t="shared" ca="1" si="14"/>
        <v>0.4957489194130581</v>
      </c>
      <c r="CC10" s="11">
        <f t="shared" ca="1" si="14"/>
        <v>0.95060762437270929</v>
      </c>
      <c r="CD10" s="11">
        <f t="shared" ca="1" si="14"/>
        <v>0.8656705956118681</v>
      </c>
      <c r="CE10" s="11">
        <f t="shared" ca="1" si="14"/>
        <v>0.58033034236185876</v>
      </c>
      <c r="CF10" s="11">
        <f t="shared" ca="1" si="15"/>
        <v>7.0293925772013321E-2</v>
      </c>
      <c r="CG10" s="11">
        <f t="shared" ca="1" si="15"/>
        <v>0.20945798370707513</v>
      </c>
      <c r="CH10" s="11">
        <f t="shared" ca="1" si="15"/>
        <v>0.62402914947865074</v>
      </c>
      <c r="CI10" s="11">
        <f t="shared" ca="1" si="15"/>
        <v>0.22087529473161016</v>
      </c>
      <c r="CJ10" s="11">
        <f t="shared" ca="1" si="15"/>
        <v>0.92695577136482754</v>
      </c>
      <c r="CK10" s="11">
        <f t="shared" ca="1" si="15"/>
        <v>0.29760259781402709</v>
      </c>
      <c r="CL10" s="11">
        <f t="shared" ca="1" si="15"/>
        <v>5.7136033371669392E-2</v>
      </c>
      <c r="CM10" s="11">
        <f t="shared" ca="1" si="15"/>
        <v>0.94532613746608862</v>
      </c>
      <c r="CN10" s="11">
        <f t="shared" ca="1" si="15"/>
        <v>0.55061860889925696</v>
      </c>
      <c r="CO10" s="11">
        <f t="shared" ca="1" si="15"/>
        <v>0.18883503091516718</v>
      </c>
      <c r="CP10" s="11">
        <f t="shared" ca="1" si="16"/>
        <v>0.98756399727174882</v>
      </c>
      <c r="CQ10" s="11">
        <f t="shared" ca="1" si="16"/>
        <v>0.9970375703323523</v>
      </c>
      <c r="CR10" s="11">
        <f t="shared" ca="1" si="16"/>
        <v>0.7189992621376321</v>
      </c>
      <c r="CS10" s="11">
        <f t="shared" ca="1" si="16"/>
        <v>0.63880258030743375</v>
      </c>
      <c r="CT10" s="11">
        <f t="shared" ca="1" si="16"/>
        <v>0.12436666174440369</v>
      </c>
      <c r="CU10" s="11">
        <f t="shared" ca="1" si="16"/>
        <v>0.84321524625646649</v>
      </c>
      <c r="CV10" s="11">
        <f t="shared" ca="1" si="16"/>
        <v>0.85691751065341593</v>
      </c>
      <c r="CW10" s="11">
        <f t="shared" ca="1" si="16"/>
        <v>0.64527347288161729</v>
      </c>
      <c r="CX10" s="11">
        <f t="shared" ca="1" si="16"/>
        <v>0.61182411940377079</v>
      </c>
      <c r="CY10" s="11">
        <f t="shared" ca="1" si="16"/>
        <v>3.3127913128722097E-3</v>
      </c>
      <c r="CZ10" s="11">
        <f t="shared" ca="1" si="17"/>
        <v>0.73181158680827163</v>
      </c>
      <c r="DA10" s="11">
        <f t="shared" ca="1" si="17"/>
        <v>0.26257613737320484</v>
      </c>
      <c r="DB10" s="11">
        <f t="shared" ca="1" si="17"/>
        <v>0.2452963032545189</v>
      </c>
      <c r="DC10" s="11">
        <f t="shared" ca="1" si="17"/>
        <v>0.93082387873832551</v>
      </c>
      <c r="DD10" s="11">
        <f t="shared" ca="1" si="17"/>
        <v>3.7933646026239609E-2</v>
      </c>
      <c r="DE10" s="11">
        <f t="shared" ca="1" si="17"/>
        <v>0.86837674622841465</v>
      </c>
      <c r="DF10" s="11">
        <f t="shared" ca="1" si="17"/>
        <v>0.81790414278588586</v>
      </c>
      <c r="DG10" s="11">
        <f t="shared" ca="1" si="17"/>
        <v>7.666294676778429E-2</v>
      </c>
      <c r="DH10" s="11">
        <f t="shared" ca="1" si="17"/>
        <v>0.43458459240841718</v>
      </c>
      <c r="DI10" s="11">
        <f t="shared" ca="1" si="17"/>
        <v>4.1722888121580315E-3</v>
      </c>
      <c r="DJ10" s="11">
        <f t="shared" ca="1" si="18"/>
        <v>0.1977303428471241</v>
      </c>
      <c r="DK10" s="11">
        <f t="shared" ca="1" si="18"/>
        <v>0.61264025514432385</v>
      </c>
      <c r="DL10" s="11">
        <f t="shared" ca="1" si="18"/>
        <v>2.3998131044633109E-2</v>
      </c>
      <c r="DM10" s="11">
        <f t="shared" ca="1" si="18"/>
        <v>0.88149671218683723</v>
      </c>
      <c r="DN10" s="11">
        <f t="shared" ca="1" si="18"/>
        <v>0.64308850814359264</v>
      </c>
      <c r="DO10" s="11">
        <f t="shared" ca="1" si="18"/>
        <v>0.279262581147801</v>
      </c>
      <c r="DP10" s="11">
        <f t="shared" ca="1" si="18"/>
        <v>5.7518558610357151E-2</v>
      </c>
      <c r="DQ10" s="11">
        <f t="shared" ca="1" si="18"/>
        <v>0.41749307737325447</v>
      </c>
      <c r="DR10" s="11">
        <f t="shared" ca="1" si="18"/>
        <v>0.99529586050222774</v>
      </c>
      <c r="DS10" s="11">
        <f t="shared" ca="1" si="18"/>
        <v>0.57049068729582153</v>
      </c>
      <c r="DT10" s="11">
        <f t="shared" ca="1" si="19"/>
        <v>0.32780757346738465</v>
      </c>
      <c r="DU10" s="11">
        <f t="shared" ca="1" si="19"/>
        <v>0.45704306306119791</v>
      </c>
      <c r="DV10" s="11">
        <f t="shared" ca="1" si="19"/>
        <v>0.89011258295517981</v>
      </c>
      <c r="DW10" s="11">
        <f t="shared" ca="1" si="19"/>
        <v>0.34643963129230426</v>
      </c>
      <c r="DX10" s="11">
        <f t="shared" ca="1" si="19"/>
        <v>0.49277735594004013</v>
      </c>
      <c r="DY10" s="11">
        <f t="shared" ca="1" si="19"/>
        <v>0.36200465655514658</v>
      </c>
      <c r="DZ10" s="11">
        <f t="shared" ca="1" si="19"/>
        <v>0.9161990408004832</v>
      </c>
      <c r="EA10" s="11">
        <f t="shared" ca="1" si="19"/>
        <v>0.3187398555698514</v>
      </c>
      <c r="EB10" s="11">
        <f t="shared" ca="1" si="19"/>
        <v>0.81861488717108888</v>
      </c>
      <c r="EC10" s="11">
        <f t="shared" ca="1" si="19"/>
        <v>0.70541807400126499</v>
      </c>
      <c r="ED10" s="11">
        <f t="shared" ca="1" si="19"/>
        <v>0.94392371285847665</v>
      </c>
      <c r="EE10" s="11">
        <f t="shared" ca="1" si="19"/>
        <v>0.61823875134047379</v>
      </c>
    </row>
    <row r="11" spans="1:138" x14ac:dyDescent="0.4">
      <c r="C11" s="7" t="s">
        <v>13</v>
      </c>
      <c r="D11" s="11">
        <f t="shared" ref="D11:AI11" ca="1" si="20">RANDBETWEEN(1, 100)</f>
        <v>19</v>
      </c>
      <c r="E11" s="11">
        <f t="shared" ca="1" si="20"/>
        <v>37</v>
      </c>
      <c r="F11" s="11">
        <f t="shared" ca="1" si="20"/>
        <v>86</v>
      </c>
      <c r="G11" s="11">
        <f t="shared" ca="1" si="20"/>
        <v>55</v>
      </c>
      <c r="H11" s="11">
        <f t="shared" ca="1" si="20"/>
        <v>64</v>
      </c>
      <c r="I11" s="11">
        <f t="shared" ca="1" si="20"/>
        <v>75</v>
      </c>
      <c r="J11" s="11">
        <f t="shared" ca="1" si="20"/>
        <v>46</v>
      </c>
      <c r="K11" s="11">
        <f t="shared" ca="1" si="20"/>
        <v>15</v>
      </c>
      <c r="L11" s="11">
        <f t="shared" ca="1" si="20"/>
        <v>11</v>
      </c>
      <c r="M11" s="11">
        <f t="shared" ca="1" si="20"/>
        <v>75</v>
      </c>
      <c r="N11" s="11">
        <f t="shared" ca="1" si="20"/>
        <v>18</v>
      </c>
      <c r="O11" s="11">
        <f t="shared" ca="1" si="20"/>
        <v>79</v>
      </c>
      <c r="P11" s="11">
        <f t="shared" ca="1" si="20"/>
        <v>27</v>
      </c>
      <c r="Q11" s="11">
        <f t="shared" ca="1" si="20"/>
        <v>19</v>
      </c>
      <c r="R11" s="11">
        <f t="shared" ca="1" si="20"/>
        <v>11</v>
      </c>
      <c r="S11" s="11">
        <f t="shared" ca="1" si="20"/>
        <v>77</v>
      </c>
      <c r="T11" s="11">
        <f t="shared" ca="1" si="20"/>
        <v>92</v>
      </c>
      <c r="U11" s="11">
        <f t="shared" ca="1" si="20"/>
        <v>65</v>
      </c>
      <c r="V11" s="11">
        <f t="shared" ca="1" si="20"/>
        <v>81</v>
      </c>
      <c r="W11" s="11">
        <f t="shared" ca="1" si="20"/>
        <v>8</v>
      </c>
      <c r="X11" s="11">
        <f t="shared" ca="1" si="20"/>
        <v>80</v>
      </c>
      <c r="Y11" s="11">
        <f t="shared" ca="1" si="20"/>
        <v>71</v>
      </c>
      <c r="Z11" s="11">
        <f t="shared" ca="1" si="20"/>
        <v>99</v>
      </c>
      <c r="AA11" s="11">
        <f t="shared" ca="1" si="20"/>
        <v>68</v>
      </c>
      <c r="AB11" s="11">
        <f t="shared" ca="1" si="20"/>
        <v>40</v>
      </c>
      <c r="AC11" s="11">
        <f t="shared" ca="1" si="20"/>
        <v>76</v>
      </c>
      <c r="AD11" s="11">
        <f t="shared" ca="1" si="20"/>
        <v>33</v>
      </c>
      <c r="AE11" s="11">
        <f t="shared" ca="1" si="20"/>
        <v>39</v>
      </c>
      <c r="AF11" s="11">
        <f t="shared" ca="1" si="20"/>
        <v>70</v>
      </c>
      <c r="AG11" s="11">
        <f t="shared" ca="1" si="20"/>
        <v>42</v>
      </c>
      <c r="AH11" s="11">
        <f t="shared" ca="1" si="20"/>
        <v>12</v>
      </c>
      <c r="AI11" s="11">
        <f t="shared" ca="1" si="20"/>
        <v>63</v>
      </c>
      <c r="AJ11" s="11">
        <f t="shared" ref="AJ11:BO11" ca="1" si="21">RANDBETWEEN(1, 100)</f>
        <v>100</v>
      </c>
      <c r="AK11" s="11">
        <f t="shared" ca="1" si="21"/>
        <v>40</v>
      </c>
      <c r="AL11" s="11">
        <f t="shared" ca="1" si="21"/>
        <v>71</v>
      </c>
      <c r="AM11" s="11">
        <f t="shared" ca="1" si="21"/>
        <v>50</v>
      </c>
      <c r="AN11" s="11">
        <f t="shared" ca="1" si="21"/>
        <v>98</v>
      </c>
      <c r="AO11" s="11">
        <f t="shared" ca="1" si="21"/>
        <v>83</v>
      </c>
      <c r="AP11" s="11">
        <f t="shared" ca="1" si="21"/>
        <v>31</v>
      </c>
      <c r="AQ11" s="11">
        <f t="shared" ca="1" si="21"/>
        <v>21</v>
      </c>
      <c r="AR11" s="11">
        <f t="shared" ca="1" si="21"/>
        <v>61</v>
      </c>
      <c r="AS11" s="11">
        <f t="shared" ca="1" si="21"/>
        <v>33</v>
      </c>
      <c r="AT11" s="11">
        <f t="shared" ca="1" si="21"/>
        <v>92</v>
      </c>
      <c r="AU11" s="11">
        <f t="shared" ca="1" si="21"/>
        <v>41</v>
      </c>
      <c r="AV11" s="11">
        <f t="shared" ca="1" si="21"/>
        <v>2</v>
      </c>
      <c r="AW11" s="11">
        <f t="shared" ca="1" si="21"/>
        <v>15</v>
      </c>
      <c r="AX11" s="11">
        <f t="shared" ca="1" si="21"/>
        <v>26</v>
      </c>
      <c r="AY11" s="11">
        <f t="shared" ca="1" si="21"/>
        <v>39</v>
      </c>
      <c r="AZ11" s="11">
        <f t="shared" ca="1" si="21"/>
        <v>27</v>
      </c>
      <c r="BA11" s="11">
        <f t="shared" ca="1" si="21"/>
        <v>59</v>
      </c>
      <c r="BB11" s="11">
        <f t="shared" ca="1" si="21"/>
        <v>96</v>
      </c>
      <c r="BC11" s="11">
        <f t="shared" ca="1" si="21"/>
        <v>96</v>
      </c>
      <c r="BD11" s="11">
        <f t="shared" ca="1" si="21"/>
        <v>33</v>
      </c>
      <c r="BE11" s="11">
        <f t="shared" ca="1" si="21"/>
        <v>96</v>
      </c>
      <c r="BF11" s="11">
        <f t="shared" ca="1" si="21"/>
        <v>35</v>
      </c>
      <c r="BG11" s="11">
        <f t="shared" ca="1" si="21"/>
        <v>49</v>
      </c>
      <c r="BH11" s="11">
        <f t="shared" ca="1" si="21"/>
        <v>10</v>
      </c>
      <c r="BI11" s="11">
        <f t="shared" ca="1" si="21"/>
        <v>55</v>
      </c>
      <c r="BJ11" s="11">
        <f t="shared" ca="1" si="21"/>
        <v>50</v>
      </c>
      <c r="BK11" s="11">
        <f t="shared" ca="1" si="21"/>
        <v>3</v>
      </c>
      <c r="BL11" s="11">
        <f t="shared" ca="1" si="21"/>
        <v>22</v>
      </c>
      <c r="BM11" s="11">
        <f t="shared" ca="1" si="21"/>
        <v>17</v>
      </c>
      <c r="BN11" s="11">
        <f t="shared" ca="1" si="21"/>
        <v>44</v>
      </c>
      <c r="BO11" s="11">
        <f t="shared" ca="1" si="21"/>
        <v>77</v>
      </c>
      <c r="BP11" s="11">
        <f t="shared" ref="BP11:CU11" ca="1" si="22">RANDBETWEEN(1, 100)</f>
        <v>57</v>
      </c>
      <c r="BQ11" s="11">
        <f t="shared" ca="1" si="22"/>
        <v>1</v>
      </c>
      <c r="BR11" s="11">
        <f t="shared" ca="1" si="22"/>
        <v>82</v>
      </c>
      <c r="BS11" s="11">
        <f t="shared" ca="1" si="22"/>
        <v>42</v>
      </c>
      <c r="BT11" s="11">
        <f t="shared" ca="1" si="22"/>
        <v>63</v>
      </c>
      <c r="BU11" s="11">
        <f t="shared" ca="1" si="22"/>
        <v>50</v>
      </c>
      <c r="BV11" s="11">
        <f t="shared" ca="1" si="22"/>
        <v>83</v>
      </c>
      <c r="BW11" s="11">
        <f t="shared" ca="1" si="22"/>
        <v>6</v>
      </c>
      <c r="BX11" s="11">
        <f t="shared" ca="1" si="22"/>
        <v>56</v>
      </c>
      <c r="BY11" s="11">
        <f t="shared" ca="1" si="22"/>
        <v>54</v>
      </c>
      <c r="BZ11" s="11">
        <f t="shared" ca="1" si="22"/>
        <v>75</v>
      </c>
      <c r="CA11" s="11">
        <f t="shared" ca="1" si="22"/>
        <v>91</v>
      </c>
      <c r="CB11" s="11">
        <f t="shared" ca="1" si="22"/>
        <v>96</v>
      </c>
      <c r="CC11" s="11">
        <f t="shared" ca="1" si="22"/>
        <v>84</v>
      </c>
      <c r="CD11" s="11">
        <f t="shared" ca="1" si="22"/>
        <v>61</v>
      </c>
      <c r="CE11" s="11">
        <f t="shared" ca="1" si="22"/>
        <v>42</v>
      </c>
      <c r="CF11" s="11">
        <f t="shared" ca="1" si="22"/>
        <v>64</v>
      </c>
      <c r="CG11" s="11">
        <f t="shared" ca="1" si="22"/>
        <v>81</v>
      </c>
      <c r="CH11" s="11">
        <f t="shared" ca="1" si="22"/>
        <v>100</v>
      </c>
      <c r="CI11" s="11">
        <f t="shared" ca="1" si="22"/>
        <v>68</v>
      </c>
      <c r="CJ11" s="11">
        <f t="shared" ca="1" si="22"/>
        <v>60</v>
      </c>
      <c r="CK11" s="11">
        <f t="shared" ca="1" si="22"/>
        <v>47</v>
      </c>
      <c r="CL11" s="11">
        <f t="shared" ca="1" si="22"/>
        <v>50</v>
      </c>
      <c r="CM11" s="11">
        <f t="shared" ca="1" si="22"/>
        <v>31</v>
      </c>
      <c r="CN11" s="11">
        <f t="shared" ca="1" si="22"/>
        <v>34</v>
      </c>
      <c r="CO11" s="11">
        <f t="shared" ca="1" si="22"/>
        <v>66</v>
      </c>
      <c r="CP11" s="11">
        <f t="shared" ca="1" si="22"/>
        <v>12</v>
      </c>
      <c r="CQ11" s="11">
        <f t="shared" ca="1" si="22"/>
        <v>89</v>
      </c>
      <c r="CR11" s="11">
        <f t="shared" ca="1" si="22"/>
        <v>46</v>
      </c>
      <c r="CS11" s="11">
        <f t="shared" ca="1" si="22"/>
        <v>75</v>
      </c>
      <c r="CT11" s="11">
        <f t="shared" ca="1" si="22"/>
        <v>8</v>
      </c>
      <c r="CU11" s="11">
        <f t="shared" ca="1" si="22"/>
        <v>42</v>
      </c>
      <c r="CV11" s="11">
        <f t="shared" ref="CV11:EE11" ca="1" si="23">RANDBETWEEN(1, 100)</f>
        <v>51</v>
      </c>
      <c r="CW11" s="11">
        <f t="shared" ca="1" si="23"/>
        <v>88</v>
      </c>
      <c r="CX11" s="11">
        <f t="shared" ca="1" si="23"/>
        <v>85</v>
      </c>
      <c r="CY11" s="11">
        <f t="shared" ca="1" si="23"/>
        <v>74</v>
      </c>
      <c r="CZ11" s="11">
        <f t="shared" ca="1" si="23"/>
        <v>78</v>
      </c>
      <c r="DA11" s="11">
        <f t="shared" ca="1" si="23"/>
        <v>16</v>
      </c>
      <c r="DB11" s="11">
        <f t="shared" ca="1" si="23"/>
        <v>86</v>
      </c>
      <c r="DC11" s="11">
        <f t="shared" ca="1" si="23"/>
        <v>5</v>
      </c>
      <c r="DD11" s="11">
        <f t="shared" ca="1" si="23"/>
        <v>61</v>
      </c>
      <c r="DE11" s="11">
        <f t="shared" ca="1" si="23"/>
        <v>42</v>
      </c>
      <c r="DF11" s="11">
        <f t="shared" ca="1" si="23"/>
        <v>47</v>
      </c>
      <c r="DG11" s="11">
        <f t="shared" ca="1" si="23"/>
        <v>87</v>
      </c>
      <c r="DH11" s="11">
        <f t="shared" ca="1" si="23"/>
        <v>36</v>
      </c>
      <c r="DI11" s="11">
        <f t="shared" ca="1" si="23"/>
        <v>26</v>
      </c>
      <c r="DJ11" s="11">
        <f t="shared" ca="1" si="23"/>
        <v>40</v>
      </c>
      <c r="DK11" s="11">
        <f t="shared" ca="1" si="23"/>
        <v>55</v>
      </c>
      <c r="DL11" s="11">
        <f t="shared" ca="1" si="23"/>
        <v>18</v>
      </c>
      <c r="DM11" s="11">
        <f t="shared" ca="1" si="23"/>
        <v>43</v>
      </c>
      <c r="DN11" s="11">
        <f t="shared" ca="1" si="23"/>
        <v>57</v>
      </c>
      <c r="DO11" s="11">
        <f t="shared" ca="1" si="23"/>
        <v>70</v>
      </c>
      <c r="DP11" s="11">
        <f t="shared" ca="1" si="23"/>
        <v>9</v>
      </c>
      <c r="DQ11" s="11">
        <f t="shared" ca="1" si="23"/>
        <v>28</v>
      </c>
      <c r="DR11" s="11">
        <f t="shared" ca="1" si="23"/>
        <v>42</v>
      </c>
      <c r="DS11" s="11">
        <f t="shared" ca="1" si="23"/>
        <v>48</v>
      </c>
      <c r="DT11" s="11">
        <f t="shared" ca="1" si="23"/>
        <v>24</v>
      </c>
      <c r="DU11" s="11">
        <f t="shared" ca="1" si="23"/>
        <v>64</v>
      </c>
      <c r="DV11" s="11">
        <f t="shared" ca="1" si="23"/>
        <v>92</v>
      </c>
      <c r="DW11" s="11">
        <f t="shared" ca="1" si="23"/>
        <v>64</v>
      </c>
      <c r="DX11" s="11">
        <f t="shared" ca="1" si="23"/>
        <v>69</v>
      </c>
      <c r="DY11" s="11">
        <f t="shared" ca="1" si="23"/>
        <v>42</v>
      </c>
      <c r="DZ11" s="11">
        <f t="shared" ca="1" si="23"/>
        <v>29</v>
      </c>
      <c r="EA11" s="11">
        <f t="shared" ca="1" si="23"/>
        <v>34</v>
      </c>
      <c r="EB11" s="11">
        <f t="shared" ca="1" si="23"/>
        <v>18</v>
      </c>
      <c r="EC11" s="11">
        <f t="shared" ca="1" si="23"/>
        <v>97</v>
      </c>
      <c r="ED11" s="11">
        <f t="shared" ca="1" si="23"/>
        <v>17</v>
      </c>
      <c r="EE11" s="11">
        <f t="shared" ca="1" si="23"/>
        <v>88</v>
      </c>
    </row>
    <row r="12" spans="1:138" x14ac:dyDescent="0.4">
      <c r="C12" s="7" t="s">
        <v>14</v>
      </c>
      <c r="D12" s="11">
        <f t="shared" ref="D12:AI12" ca="1" si="24">RANDBETWEEN(20, 45)</f>
        <v>26</v>
      </c>
      <c r="E12" s="11">
        <f t="shared" ca="1" si="24"/>
        <v>39</v>
      </c>
      <c r="F12" s="11">
        <f t="shared" ca="1" si="24"/>
        <v>35</v>
      </c>
      <c r="G12" s="11">
        <f t="shared" ca="1" si="24"/>
        <v>30</v>
      </c>
      <c r="H12" s="11">
        <f t="shared" ca="1" si="24"/>
        <v>41</v>
      </c>
      <c r="I12" s="11">
        <f t="shared" ca="1" si="24"/>
        <v>22</v>
      </c>
      <c r="J12" s="11">
        <f t="shared" ca="1" si="24"/>
        <v>34</v>
      </c>
      <c r="K12" s="11">
        <f t="shared" ca="1" si="24"/>
        <v>37</v>
      </c>
      <c r="L12" s="11">
        <f t="shared" ca="1" si="24"/>
        <v>25</v>
      </c>
      <c r="M12" s="11">
        <f t="shared" ca="1" si="24"/>
        <v>23</v>
      </c>
      <c r="N12" s="11">
        <f t="shared" ca="1" si="24"/>
        <v>25</v>
      </c>
      <c r="O12" s="11">
        <f t="shared" ca="1" si="24"/>
        <v>24</v>
      </c>
      <c r="P12" s="11">
        <f t="shared" ca="1" si="24"/>
        <v>40</v>
      </c>
      <c r="Q12" s="11">
        <f t="shared" ca="1" si="24"/>
        <v>41</v>
      </c>
      <c r="R12" s="11">
        <f t="shared" ca="1" si="24"/>
        <v>24</v>
      </c>
      <c r="S12" s="11">
        <f t="shared" ca="1" si="24"/>
        <v>37</v>
      </c>
      <c r="T12" s="11">
        <f t="shared" ca="1" si="24"/>
        <v>25</v>
      </c>
      <c r="U12" s="11">
        <f t="shared" ca="1" si="24"/>
        <v>42</v>
      </c>
      <c r="V12" s="11">
        <f t="shared" ca="1" si="24"/>
        <v>27</v>
      </c>
      <c r="W12" s="11">
        <f t="shared" ca="1" si="24"/>
        <v>35</v>
      </c>
      <c r="X12" s="11">
        <f t="shared" ca="1" si="24"/>
        <v>44</v>
      </c>
      <c r="Y12" s="11">
        <f t="shared" ca="1" si="24"/>
        <v>33</v>
      </c>
      <c r="Z12" s="11">
        <f t="shared" ca="1" si="24"/>
        <v>29</v>
      </c>
      <c r="AA12" s="11">
        <f t="shared" ca="1" si="24"/>
        <v>28</v>
      </c>
      <c r="AB12" s="11">
        <f t="shared" ca="1" si="24"/>
        <v>43</v>
      </c>
      <c r="AC12" s="11">
        <f t="shared" ca="1" si="24"/>
        <v>29</v>
      </c>
      <c r="AD12" s="11">
        <f t="shared" ca="1" si="24"/>
        <v>27</v>
      </c>
      <c r="AE12" s="11">
        <f t="shared" ca="1" si="24"/>
        <v>34</v>
      </c>
      <c r="AF12" s="11">
        <f t="shared" ca="1" si="24"/>
        <v>20</v>
      </c>
      <c r="AG12" s="11">
        <f t="shared" ca="1" si="24"/>
        <v>28</v>
      </c>
      <c r="AH12" s="11">
        <f t="shared" ca="1" si="24"/>
        <v>44</v>
      </c>
      <c r="AI12" s="11">
        <f t="shared" ca="1" si="24"/>
        <v>21</v>
      </c>
      <c r="AJ12" s="11">
        <f t="shared" ref="AJ12:BO12" ca="1" si="25">RANDBETWEEN(20, 45)</f>
        <v>35</v>
      </c>
      <c r="AK12" s="11">
        <f t="shared" ca="1" si="25"/>
        <v>35</v>
      </c>
      <c r="AL12" s="11">
        <f t="shared" ca="1" si="25"/>
        <v>41</v>
      </c>
      <c r="AM12" s="11">
        <f t="shared" ca="1" si="25"/>
        <v>33</v>
      </c>
      <c r="AN12" s="11">
        <f t="shared" ca="1" si="25"/>
        <v>37</v>
      </c>
      <c r="AO12" s="11">
        <f t="shared" ca="1" si="25"/>
        <v>31</v>
      </c>
      <c r="AP12" s="11">
        <f t="shared" ca="1" si="25"/>
        <v>34</v>
      </c>
      <c r="AQ12" s="11">
        <f t="shared" ca="1" si="25"/>
        <v>32</v>
      </c>
      <c r="AR12" s="11">
        <f t="shared" ca="1" si="25"/>
        <v>41</v>
      </c>
      <c r="AS12" s="11">
        <f t="shared" ca="1" si="25"/>
        <v>33</v>
      </c>
      <c r="AT12" s="11">
        <f t="shared" ca="1" si="25"/>
        <v>32</v>
      </c>
      <c r="AU12" s="11">
        <f t="shared" ca="1" si="25"/>
        <v>22</v>
      </c>
      <c r="AV12" s="11">
        <f t="shared" ca="1" si="25"/>
        <v>29</v>
      </c>
      <c r="AW12" s="11">
        <f t="shared" ca="1" si="25"/>
        <v>40</v>
      </c>
      <c r="AX12" s="11">
        <f t="shared" ca="1" si="25"/>
        <v>27</v>
      </c>
      <c r="AY12" s="11">
        <f t="shared" ca="1" si="25"/>
        <v>22</v>
      </c>
      <c r="AZ12" s="11">
        <f t="shared" ca="1" si="25"/>
        <v>27</v>
      </c>
      <c r="BA12" s="11">
        <f t="shared" ca="1" si="25"/>
        <v>42</v>
      </c>
      <c r="BB12" s="11">
        <f t="shared" ca="1" si="25"/>
        <v>33</v>
      </c>
      <c r="BC12" s="11">
        <f t="shared" ca="1" si="25"/>
        <v>22</v>
      </c>
      <c r="BD12" s="11">
        <f t="shared" ca="1" si="25"/>
        <v>32</v>
      </c>
      <c r="BE12" s="11">
        <f t="shared" ca="1" si="25"/>
        <v>27</v>
      </c>
      <c r="BF12" s="11">
        <f t="shared" ca="1" si="25"/>
        <v>28</v>
      </c>
      <c r="BG12" s="11">
        <f t="shared" ca="1" si="25"/>
        <v>41</v>
      </c>
      <c r="BH12" s="11">
        <f t="shared" ca="1" si="25"/>
        <v>22</v>
      </c>
      <c r="BI12" s="11">
        <f t="shared" ca="1" si="25"/>
        <v>21</v>
      </c>
      <c r="BJ12" s="11">
        <f t="shared" ca="1" si="25"/>
        <v>44</v>
      </c>
      <c r="BK12" s="11">
        <f t="shared" ca="1" si="25"/>
        <v>35</v>
      </c>
      <c r="BL12" s="11">
        <f t="shared" ca="1" si="25"/>
        <v>38</v>
      </c>
      <c r="BM12" s="11">
        <f t="shared" ca="1" si="25"/>
        <v>28</v>
      </c>
      <c r="BN12" s="11">
        <f t="shared" ca="1" si="25"/>
        <v>23</v>
      </c>
      <c r="BO12" s="11">
        <f t="shared" ca="1" si="25"/>
        <v>34</v>
      </c>
      <c r="BP12" s="11">
        <f t="shared" ref="BP12:CU12" ca="1" si="26">RANDBETWEEN(20, 45)</f>
        <v>34</v>
      </c>
      <c r="BQ12" s="11">
        <f t="shared" ca="1" si="26"/>
        <v>40</v>
      </c>
      <c r="BR12" s="11">
        <f t="shared" ca="1" si="26"/>
        <v>22</v>
      </c>
      <c r="BS12" s="11">
        <f t="shared" ca="1" si="26"/>
        <v>29</v>
      </c>
      <c r="BT12" s="11">
        <f t="shared" ca="1" si="26"/>
        <v>32</v>
      </c>
      <c r="BU12" s="11">
        <f t="shared" ca="1" si="26"/>
        <v>31</v>
      </c>
      <c r="BV12" s="11">
        <f t="shared" ca="1" si="26"/>
        <v>21</v>
      </c>
      <c r="BW12" s="11">
        <f t="shared" ca="1" si="26"/>
        <v>31</v>
      </c>
      <c r="BX12" s="11">
        <f t="shared" ca="1" si="26"/>
        <v>45</v>
      </c>
      <c r="BY12" s="11">
        <f t="shared" ca="1" si="26"/>
        <v>23</v>
      </c>
      <c r="BZ12" s="11">
        <f t="shared" ca="1" si="26"/>
        <v>21</v>
      </c>
      <c r="CA12" s="11">
        <f t="shared" ca="1" si="26"/>
        <v>34</v>
      </c>
      <c r="CB12" s="11">
        <f t="shared" ca="1" si="26"/>
        <v>34</v>
      </c>
      <c r="CC12" s="11">
        <f t="shared" ca="1" si="26"/>
        <v>32</v>
      </c>
      <c r="CD12" s="11">
        <f t="shared" ca="1" si="26"/>
        <v>44</v>
      </c>
      <c r="CE12" s="11">
        <f t="shared" ca="1" si="26"/>
        <v>44</v>
      </c>
      <c r="CF12" s="11">
        <f t="shared" ca="1" si="26"/>
        <v>36</v>
      </c>
      <c r="CG12" s="11">
        <f t="shared" ca="1" si="26"/>
        <v>35</v>
      </c>
      <c r="CH12" s="11">
        <f t="shared" ca="1" si="26"/>
        <v>31</v>
      </c>
      <c r="CI12" s="11">
        <f t="shared" ca="1" si="26"/>
        <v>43</v>
      </c>
      <c r="CJ12" s="11">
        <f t="shared" ca="1" si="26"/>
        <v>34</v>
      </c>
      <c r="CK12" s="11">
        <f t="shared" ca="1" si="26"/>
        <v>28</v>
      </c>
      <c r="CL12" s="11">
        <f t="shared" ca="1" si="26"/>
        <v>28</v>
      </c>
      <c r="CM12" s="11">
        <f t="shared" ca="1" si="26"/>
        <v>24</v>
      </c>
      <c r="CN12" s="11">
        <f t="shared" ca="1" si="26"/>
        <v>37</v>
      </c>
      <c r="CO12" s="11">
        <f t="shared" ca="1" si="26"/>
        <v>32</v>
      </c>
      <c r="CP12" s="11">
        <f t="shared" ca="1" si="26"/>
        <v>31</v>
      </c>
      <c r="CQ12" s="11">
        <f t="shared" ca="1" si="26"/>
        <v>26</v>
      </c>
      <c r="CR12" s="11">
        <f t="shared" ca="1" si="26"/>
        <v>37</v>
      </c>
      <c r="CS12" s="11">
        <f t="shared" ca="1" si="26"/>
        <v>35</v>
      </c>
      <c r="CT12" s="11">
        <f t="shared" ca="1" si="26"/>
        <v>40</v>
      </c>
      <c r="CU12" s="11">
        <f t="shared" ca="1" si="26"/>
        <v>45</v>
      </c>
      <c r="CV12" s="11">
        <f t="shared" ref="CV12:EE12" ca="1" si="27">RANDBETWEEN(20, 45)</f>
        <v>35</v>
      </c>
      <c r="CW12" s="11">
        <f t="shared" ca="1" si="27"/>
        <v>39</v>
      </c>
      <c r="CX12" s="11">
        <f t="shared" ca="1" si="27"/>
        <v>20</v>
      </c>
      <c r="CY12" s="11">
        <f t="shared" ca="1" si="27"/>
        <v>42</v>
      </c>
      <c r="CZ12" s="11">
        <f t="shared" ca="1" si="27"/>
        <v>43</v>
      </c>
      <c r="DA12" s="11">
        <f t="shared" ca="1" si="27"/>
        <v>23</v>
      </c>
      <c r="DB12" s="11">
        <f t="shared" ca="1" si="27"/>
        <v>42</v>
      </c>
      <c r="DC12" s="11">
        <f t="shared" ca="1" si="27"/>
        <v>34</v>
      </c>
      <c r="DD12" s="11">
        <f t="shared" ca="1" si="27"/>
        <v>32</v>
      </c>
      <c r="DE12" s="11">
        <f t="shared" ca="1" si="27"/>
        <v>31</v>
      </c>
      <c r="DF12" s="11">
        <f t="shared" ca="1" si="27"/>
        <v>24</v>
      </c>
      <c r="DG12" s="11">
        <f t="shared" ca="1" si="27"/>
        <v>25</v>
      </c>
      <c r="DH12" s="11">
        <f t="shared" ca="1" si="27"/>
        <v>22</v>
      </c>
      <c r="DI12" s="11">
        <f t="shared" ca="1" si="27"/>
        <v>30</v>
      </c>
      <c r="DJ12" s="11">
        <f t="shared" ca="1" si="27"/>
        <v>36</v>
      </c>
      <c r="DK12" s="11">
        <f t="shared" ca="1" si="27"/>
        <v>28</v>
      </c>
      <c r="DL12" s="11">
        <f t="shared" ca="1" si="27"/>
        <v>45</v>
      </c>
      <c r="DM12" s="11">
        <f t="shared" ca="1" si="27"/>
        <v>20</v>
      </c>
      <c r="DN12" s="11">
        <f t="shared" ca="1" si="27"/>
        <v>33</v>
      </c>
      <c r="DO12" s="11">
        <f t="shared" ca="1" si="27"/>
        <v>37</v>
      </c>
      <c r="DP12" s="11">
        <f t="shared" ca="1" si="27"/>
        <v>28</v>
      </c>
      <c r="DQ12" s="11">
        <f t="shared" ca="1" si="27"/>
        <v>34</v>
      </c>
      <c r="DR12" s="11">
        <f t="shared" ca="1" si="27"/>
        <v>35</v>
      </c>
      <c r="DS12" s="11">
        <f t="shared" ca="1" si="27"/>
        <v>45</v>
      </c>
      <c r="DT12" s="11">
        <f t="shared" ca="1" si="27"/>
        <v>36</v>
      </c>
      <c r="DU12" s="11">
        <f t="shared" ca="1" si="27"/>
        <v>21</v>
      </c>
      <c r="DV12" s="11">
        <f t="shared" ca="1" si="27"/>
        <v>27</v>
      </c>
      <c r="DW12" s="11">
        <f t="shared" ca="1" si="27"/>
        <v>25</v>
      </c>
      <c r="DX12" s="11">
        <f t="shared" ca="1" si="27"/>
        <v>34</v>
      </c>
      <c r="DY12" s="11">
        <f t="shared" ca="1" si="27"/>
        <v>21</v>
      </c>
      <c r="DZ12" s="11">
        <f t="shared" ca="1" si="27"/>
        <v>32</v>
      </c>
      <c r="EA12" s="11">
        <f t="shared" ca="1" si="27"/>
        <v>24</v>
      </c>
      <c r="EB12" s="11">
        <f t="shared" ca="1" si="27"/>
        <v>43</v>
      </c>
      <c r="EC12" s="11">
        <f t="shared" ca="1" si="27"/>
        <v>20</v>
      </c>
      <c r="ED12" s="11">
        <f t="shared" ca="1" si="27"/>
        <v>35</v>
      </c>
      <c r="EE12" s="11">
        <f t="shared" ca="1" si="27"/>
        <v>29</v>
      </c>
    </row>
    <row r="13" spans="1:138" x14ac:dyDescent="0.4">
      <c r="C13" s="7" t="s">
        <v>29</v>
      </c>
      <c r="D13" s="11">
        <f t="shared" ref="D13:AI13" ca="1" si="28">RAND()+1</f>
        <v>1.5996849263211235</v>
      </c>
      <c r="E13" s="11">
        <f t="shared" ca="1" si="28"/>
        <v>1.6051082213204153</v>
      </c>
      <c r="F13" s="11">
        <f t="shared" ca="1" si="28"/>
        <v>1.0043407156240429</v>
      </c>
      <c r="G13" s="11">
        <f t="shared" ca="1" si="28"/>
        <v>1.9215419101588378</v>
      </c>
      <c r="H13" s="11">
        <f t="shared" ca="1" si="28"/>
        <v>1.4136963044989346</v>
      </c>
      <c r="I13" s="11">
        <f t="shared" ca="1" si="28"/>
        <v>1.0230983541529162</v>
      </c>
      <c r="J13" s="11">
        <f t="shared" ca="1" si="28"/>
        <v>1.8661332933966048</v>
      </c>
      <c r="K13" s="11">
        <f t="shared" ca="1" si="28"/>
        <v>1.3611058158318294</v>
      </c>
      <c r="L13" s="11">
        <f t="shared" ca="1" si="28"/>
        <v>1.4082656937331579</v>
      </c>
      <c r="M13" s="11">
        <f t="shared" ca="1" si="28"/>
        <v>1.4557923630172165</v>
      </c>
      <c r="N13" s="11">
        <f t="shared" ca="1" si="28"/>
        <v>1.4139422632549574</v>
      </c>
      <c r="O13" s="11">
        <f t="shared" ca="1" si="28"/>
        <v>1.4834834993313266</v>
      </c>
      <c r="P13" s="11">
        <f t="shared" ca="1" si="28"/>
        <v>1.3465573339664516</v>
      </c>
      <c r="Q13" s="11">
        <f t="shared" ca="1" si="28"/>
        <v>1.6024732173176139</v>
      </c>
      <c r="R13" s="11">
        <f t="shared" ca="1" si="28"/>
        <v>1.1383539966157548</v>
      </c>
      <c r="S13" s="11">
        <f t="shared" ca="1" si="28"/>
        <v>1.1379752516962007</v>
      </c>
      <c r="T13" s="11">
        <f t="shared" ca="1" si="28"/>
        <v>1.6145445732495902</v>
      </c>
      <c r="U13" s="11">
        <f t="shared" ca="1" si="28"/>
        <v>1.6586725117237784</v>
      </c>
      <c r="V13" s="11">
        <f t="shared" ca="1" si="28"/>
        <v>1.8052887124159032</v>
      </c>
      <c r="W13" s="11">
        <f t="shared" ca="1" si="28"/>
        <v>1.6485924187637369</v>
      </c>
      <c r="X13" s="11">
        <f t="shared" ca="1" si="28"/>
        <v>1.6171671588606189</v>
      </c>
      <c r="Y13" s="11">
        <f t="shared" ca="1" si="28"/>
        <v>1.8194986048834449</v>
      </c>
      <c r="Z13" s="11">
        <f t="shared" ca="1" si="28"/>
        <v>1.1205358811087114</v>
      </c>
      <c r="AA13" s="11">
        <f t="shared" ca="1" si="28"/>
        <v>1.7091824332636958</v>
      </c>
      <c r="AB13" s="11">
        <f t="shared" ca="1" si="28"/>
        <v>1.2212897258507276</v>
      </c>
      <c r="AC13" s="11">
        <f t="shared" ca="1" si="28"/>
        <v>1.9132016932429676</v>
      </c>
      <c r="AD13" s="11">
        <f t="shared" ca="1" si="28"/>
        <v>1.7242655201118495</v>
      </c>
      <c r="AE13" s="11">
        <f t="shared" ca="1" si="28"/>
        <v>1.7459621270360612</v>
      </c>
      <c r="AF13" s="11">
        <f t="shared" ca="1" si="28"/>
        <v>1.6516543569376738</v>
      </c>
      <c r="AG13" s="11">
        <f t="shared" ca="1" si="28"/>
        <v>1.4209149267572636</v>
      </c>
      <c r="AH13" s="11">
        <f t="shared" ca="1" si="28"/>
        <v>1.4401347352557752</v>
      </c>
      <c r="AI13" s="11">
        <f t="shared" ca="1" si="28"/>
        <v>1.6880056483715102</v>
      </c>
      <c r="AJ13" s="11">
        <f t="shared" ref="AJ13:BO13" ca="1" si="29">RAND()+1</f>
        <v>1.6435320278949435</v>
      </c>
      <c r="AK13" s="11">
        <f t="shared" ca="1" si="29"/>
        <v>1.7700595533624119</v>
      </c>
      <c r="AL13" s="11">
        <f t="shared" ca="1" si="29"/>
        <v>1.4543329010308774</v>
      </c>
      <c r="AM13" s="11">
        <f t="shared" ca="1" si="29"/>
        <v>1.4035339750270963</v>
      </c>
      <c r="AN13" s="11">
        <f t="shared" ca="1" si="29"/>
        <v>1.0137693322398635</v>
      </c>
      <c r="AO13" s="11">
        <f t="shared" ca="1" si="29"/>
        <v>1.3704316073043628</v>
      </c>
      <c r="AP13" s="11">
        <f t="shared" ca="1" si="29"/>
        <v>1.4181058643657569</v>
      </c>
      <c r="AQ13" s="11">
        <f t="shared" ca="1" si="29"/>
        <v>1.5698659279796239</v>
      </c>
      <c r="AR13" s="11">
        <f t="shared" ca="1" si="29"/>
        <v>1.7187594652744427</v>
      </c>
      <c r="AS13" s="11">
        <f t="shared" ca="1" si="29"/>
        <v>1.2467738948227283</v>
      </c>
      <c r="AT13" s="11">
        <f t="shared" ca="1" si="29"/>
        <v>1.1768423825220493</v>
      </c>
      <c r="AU13" s="11">
        <f t="shared" ca="1" si="29"/>
        <v>1.0129092167734153</v>
      </c>
      <c r="AV13" s="11">
        <f t="shared" ca="1" si="29"/>
        <v>1.1638751258382851</v>
      </c>
      <c r="AW13" s="11">
        <f t="shared" ca="1" si="29"/>
        <v>1.2612142404156741</v>
      </c>
      <c r="AX13" s="11">
        <f t="shared" ca="1" si="29"/>
        <v>1.3711442756618988</v>
      </c>
      <c r="AY13" s="11">
        <f t="shared" ca="1" si="29"/>
        <v>1.8034888494000105</v>
      </c>
      <c r="AZ13" s="11">
        <f t="shared" ca="1" si="29"/>
        <v>1.5053333319989803</v>
      </c>
      <c r="BA13" s="11">
        <f t="shared" ca="1" si="29"/>
        <v>1.3087423909472866</v>
      </c>
      <c r="BB13" s="11">
        <f t="shared" ca="1" si="29"/>
        <v>1.2824594965910583</v>
      </c>
      <c r="BC13" s="11">
        <f t="shared" ca="1" si="29"/>
        <v>1.584134511591309</v>
      </c>
      <c r="BD13" s="11">
        <f t="shared" ca="1" si="29"/>
        <v>1.5862392074925764</v>
      </c>
      <c r="BE13" s="11">
        <f t="shared" ca="1" si="29"/>
        <v>1.2543052174785054</v>
      </c>
      <c r="BF13" s="11">
        <f t="shared" ca="1" si="29"/>
        <v>1.5459911067460332</v>
      </c>
      <c r="BG13" s="11">
        <f t="shared" ca="1" si="29"/>
        <v>1.0088453683494736</v>
      </c>
      <c r="BH13" s="11">
        <f t="shared" ca="1" si="29"/>
        <v>1.7441721448861722</v>
      </c>
      <c r="BI13" s="11">
        <f t="shared" ca="1" si="29"/>
        <v>1.3617982923233198</v>
      </c>
      <c r="BJ13" s="11">
        <f t="shared" ca="1" si="29"/>
        <v>1.9649223845201518</v>
      </c>
      <c r="BK13" s="11">
        <f t="shared" ca="1" si="29"/>
        <v>1.9671727846142284</v>
      </c>
      <c r="BL13" s="11">
        <f t="shared" ca="1" si="29"/>
        <v>1.2492884710381686</v>
      </c>
      <c r="BM13" s="11">
        <f t="shared" ca="1" si="29"/>
        <v>1.8187953212460797</v>
      </c>
      <c r="BN13" s="11">
        <f t="shared" ca="1" si="29"/>
        <v>1.3658706640450706</v>
      </c>
      <c r="BO13" s="11">
        <f t="shared" ca="1" si="29"/>
        <v>1.4014142596107728</v>
      </c>
      <c r="BP13" s="11">
        <f t="shared" ref="BP13:CU13" ca="1" si="30">RAND()+1</f>
        <v>1.2198086664303487</v>
      </c>
      <c r="BQ13" s="11">
        <f t="shared" ca="1" si="30"/>
        <v>1.2952729981113227</v>
      </c>
      <c r="BR13" s="11">
        <f t="shared" ca="1" si="30"/>
        <v>1.9169691905259603</v>
      </c>
      <c r="BS13" s="11">
        <f t="shared" ca="1" si="30"/>
        <v>1.9006130617797683</v>
      </c>
      <c r="BT13" s="11">
        <f t="shared" ca="1" si="30"/>
        <v>1.3179533110310218</v>
      </c>
      <c r="BU13" s="11">
        <f t="shared" ca="1" si="30"/>
        <v>1.1774721132230228</v>
      </c>
      <c r="BV13" s="11">
        <f t="shared" ca="1" si="30"/>
        <v>1.5591348559090141</v>
      </c>
      <c r="BW13" s="11">
        <f t="shared" ca="1" si="30"/>
        <v>1.025945541705954</v>
      </c>
      <c r="BX13" s="11">
        <f t="shared" ca="1" si="30"/>
        <v>1.8340220073791693</v>
      </c>
      <c r="BY13" s="11">
        <f t="shared" ca="1" si="30"/>
        <v>1.528801662933176</v>
      </c>
      <c r="BZ13" s="11">
        <f t="shared" ca="1" si="30"/>
        <v>1.6129991949503872</v>
      </c>
      <c r="CA13" s="11">
        <f t="shared" ca="1" si="30"/>
        <v>1.2063716323848848</v>
      </c>
      <c r="CB13" s="11">
        <f t="shared" ca="1" si="30"/>
        <v>1.3237913805901989</v>
      </c>
      <c r="CC13" s="11">
        <f t="shared" ca="1" si="30"/>
        <v>1.8510251139228635</v>
      </c>
      <c r="CD13" s="11">
        <f t="shared" ca="1" si="30"/>
        <v>1.3901369421732523</v>
      </c>
      <c r="CE13" s="11">
        <f t="shared" ca="1" si="30"/>
        <v>1.728856176752624</v>
      </c>
      <c r="CF13" s="11">
        <f t="shared" ca="1" si="30"/>
        <v>1.1317732546625456</v>
      </c>
      <c r="CG13" s="11">
        <f t="shared" ca="1" si="30"/>
        <v>1.8699559253164117</v>
      </c>
      <c r="CH13" s="11">
        <f t="shared" ca="1" si="30"/>
        <v>1.1094232200679339</v>
      </c>
      <c r="CI13" s="11">
        <f t="shared" ca="1" si="30"/>
        <v>1.1757752212025252</v>
      </c>
      <c r="CJ13" s="11">
        <f t="shared" ca="1" si="30"/>
        <v>1.5757239203451294</v>
      </c>
      <c r="CK13" s="11">
        <f t="shared" ca="1" si="30"/>
        <v>1.2354588721284325</v>
      </c>
      <c r="CL13" s="11">
        <f t="shared" ca="1" si="30"/>
        <v>1.4737103032910768</v>
      </c>
      <c r="CM13" s="11">
        <f t="shared" ca="1" si="30"/>
        <v>1.2868029695845529</v>
      </c>
      <c r="CN13" s="11">
        <f t="shared" ca="1" si="30"/>
        <v>1.9313831743638361</v>
      </c>
      <c r="CO13" s="11">
        <f t="shared" ca="1" si="30"/>
        <v>1.0895173065723363</v>
      </c>
      <c r="CP13" s="11">
        <f t="shared" ca="1" si="30"/>
        <v>1.4710575963071717</v>
      </c>
      <c r="CQ13" s="11">
        <f t="shared" ca="1" si="30"/>
        <v>1.0288183542901455</v>
      </c>
      <c r="CR13" s="11">
        <f t="shared" ca="1" si="30"/>
        <v>1.9858522346981031</v>
      </c>
      <c r="CS13" s="11">
        <f t="shared" ca="1" si="30"/>
        <v>1.8338601790150002</v>
      </c>
      <c r="CT13" s="11">
        <f t="shared" ca="1" si="30"/>
        <v>1.4190379273555256</v>
      </c>
      <c r="CU13" s="11">
        <f t="shared" ca="1" si="30"/>
        <v>1.7924367944988164</v>
      </c>
      <c r="CV13" s="11">
        <f t="shared" ref="CV13:EE13" ca="1" si="31">RAND()+1</f>
        <v>1.7726358057741236</v>
      </c>
      <c r="CW13" s="11">
        <f t="shared" ca="1" si="31"/>
        <v>1.919554315038186</v>
      </c>
      <c r="CX13" s="11">
        <f t="shared" ca="1" si="31"/>
        <v>1.7748460871669463</v>
      </c>
      <c r="CY13" s="11">
        <f t="shared" ca="1" si="31"/>
        <v>1.3467791096167088</v>
      </c>
      <c r="CZ13" s="11">
        <f t="shared" ca="1" si="31"/>
        <v>1.159047356397783</v>
      </c>
      <c r="DA13" s="11">
        <f t="shared" ca="1" si="31"/>
        <v>1.7602850809294734</v>
      </c>
      <c r="DB13" s="11">
        <f t="shared" ca="1" si="31"/>
        <v>1.9878145133534184</v>
      </c>
      <c r="DC13" s="11">
        <f t="shared" ca="1" si="31"/>
        <v>1.0022835586237893</v>
      </c>
      <c r="DD13" s="11">
        <f t="shared" ca="1" si="31"/>
        <v>1.7253059390614292</v>
      </c>
      <c r="DE13" s="11">
        <f t="shared" ca="1" si="31"/>
        <v>1.484370097187707</v>
      </c>
      <c r="DF13" s="11">
        <f t="shared" ca="1" si="31"/>
        <v>1.7630208339437021</v>
      </c>
      <c r="DG13" s="11">
        <f t="shared" ca="1" si="31"/>
        <v>1.2706372972896847</v>
      </c>
      <c r="DH13" s="11">
        <f t="shared" ca="1" si="31"/>
        <v>1.1032205003559763</v>
      </c>
      <c r="DI13" s="11">
        <f t="shared" ca="1" si="31"/>
        <v>1.587765292028771</v>
      </c>
      <c r="DJ13" s="11">
        <f t="shared" ca="1" si="31"/>
        <v>1.1123588701152558</v>
      </c>
      <c r="DK13" s="11">
        <f t="shared" ca="1" si="31"/>
        <v>1.43997585909726</v>
      </c>
      <c r="DL13" s="11">
        <f t="shared" ca="1" si="31"/>
        <v>1.9340773102988695</v>
      </c>
      <c r="DM13" s="11">
        <f t="shared" ca="1" si="31"/>
        <v>1.8591101352691153</v>
      </c>
      <c r="DN13" s="11">
        <f t="shared" ca="1" si="31"/>
        <v>1.2245534752963834</v>
      </c>
      <c r="DO13" s="11">
        <f t="shared" ca="1" si="31"/>
        <v>1.4741576159415362</v>
      </c>
      <c r="DP13" s="11">
        <f t="shared" ca="1" si="31"/>
        <v>1.9147999410534324</v>
      </c>
      <c r="DQ13" s="11">
        <f t="shared" ca="1" si="31"/>
        <v>1.2975485678656806</v>
      </c>
      <c r="DR13" s="11">
        <f t="shared" ca="1" si="31"/>
        <v>1.6696826298513483</v>
      </c>
      <c r="DS13" s="11">
        <f t="shared" ca="1" si="31"/>
        <v>1.3124938382729776</v>
      </c>
      <c r="DT13" s="11">
        <f t="shared" ca="1" si="31"/>
        <v>1.8551960393694049</v>
      </c>
      <c r="DU13" s="11">
        <f t="shared" ca="1" si="31"/>
        <v>1.6369781126350169</v>
      </c>
      <c r="DV13" s="11">
        <f t="shared" ca="1" si="31"/>
        <v>1.7989512207437084</v>
      </c>
      <c r="DW13" s="11">
        <f t="shared" ca="1" si="31"/>
        <v>1.1658403148885448</v>
      </c>
      <c r="DX13" s="11">
        <f t="shared" ca="1" si="31"/>
        <v>1.152248755874179</v>
      </c>
      <c r="DY13" s="11">
        <f t="shared" ca="1" si="31"/>
        <v>1.9761597786367675</v>
      </c>
      <c r="DZ13" s="11">
        <f t="shared" ca="1" si="31"/>
        <v>1.5191417978163022</v>
      </c>
      <c r="EA13" s="11">
        <f t="shared" ca="1" si="31"/>
        <v>1.4156006681604514</v>
      </c>
      <c r="EB13" s="11">
        <f t="shared" ca="1" si="31"/>
        <v>1.5883198053890042</v>
      </c>
      <c r="EC13" s="11">
        <f t="shared" ca="1" si="31"/>
        <v>1.0263630581003964</v>
      </c>
      <c r="ED13" s="11">
        <f t="shared" ca="1" si="31"/>
        <v>1.4820436279681535</v>
      </c>
      <c r="EE13" s="11">
        <f t="shared" ca="1" si="31"/>
        <v>1.3834914266431619</v>
      </c>
    </row>
    <row r="14" spans="1:138" x14ac:dyDescent="0.4">
      <c r="C14" s="7" t="s">
        <v>15</v>
      </c>
      <c r="D14" s="11">
        <f t="shared" ref="D14:AI14" ca="1" si="32">RANDBETWEEN(6, 10)+1.245</f>
        <v>9.245000000000001</v>
      </c>
      <c r="E14" s="11">
        <f t="shared" ca="1" si="32"/>
        <v>8.245000000000001</v>
      </c>
      <c r="F14" s="11">
        <f t="shared" ca="1" si="32"/>
        <v>8.245000000000001</v>
      </c>
      <c r="G14" s="11">
        <f t="shared" ca="1" si="32"/>
        <v>10.245000000000001</v>
      </c>
      <c r="H14" s="11">
        <f t="shared" ca="1" si="32"/>
        <v>7.2450000000000001</v>
      </c>
      <c r="I14" s="11">
        <f t="shared" ca="1" si="32"/>
        <v>10.245000000000001</v>
      </c>
      <c r="J14" s="11">
        <f t="shared" ca="1" si="32"/>
        <v>11.245000000000001</v>
      </c>
      <c r="K14" s="11">
        <f t="shared" ca="1" si="32"/>
        <v>10.245000000000001</v>
      </c>
      <c r="L14" s="11">
        <f t="shared" ca="1" si="32"/>
        <v>7.2450000000000001</v>
      </c>
      <c r="M14" s="11">
        <f t="shared" ca="1" si="32"/>
        <v>9.245000000000001</v>
      </c>
      <c r="N14" s="11">
        <f t="shared" ca="1" si="32"/>
        <v>8.245000000000001</v>
      </c>
      <c r="O14" s="11">
        <f t="shared" ca="1" si="32"/>
        <v>7.2450000000000001</v>
      </c>
      <c r="P14" s="11">
        <f t="shared" ca="1" si="32"/>
        <v>7.2450000000000001</v>
      </c>
      <c r="Q14" s="11">
        <f t="shared" ca="1" si="32"/>
        <v>10.245000000000001</v>
      </c>
      <c r="R14" s="11">
        <f t="shared" ca="1" si="32"/>
        <v>10.245000000000001</v>
      </c>
      <c r="S14" s="11">
        <f t="shared" ca="1" si="32"/>
        <v>10.245000000000001</v>
      </c>
      <c r="T14" s="11">
        <f t="shared" ca="1" si="32"/>
        <v>10.245000000000001</v>
      </c>
      <c r="U14" s="11">
        <f t="shared" ca="1" si="32"/>
        <v>10.245000000000001</v>
      </c>
      <c r="V14" s="11">
        <f t="shared" ca="1" si="32"/>
        <v>8.245000000000001</v>
      </c>
      <c r="W14" s="11">
        <f t="shared" ca="1" si="32"/>
        <v>8.245000000000001</v>
      </c>
      <c r="X14" s="11">
        <f t="shared" ca="1" si="32"/>
        <v>8.245000000000001</v>
      </c>
      <c r="Y14" s="11">
        <f t="shared" ca="1" si="32"/>
        <v>7.2450000000000001</v>
      </c>
      <c r="Z14" s="11">
        <f t="shared" ca="1" si="32"/>
        <v>7.2450000000000001</v>
      </c>
      <c r="AA14" s="11">
        <f t="shared" ca="1" si="32"/>
        <v>7.2450000000000001</v>
      </c>
      <c r="AB14" s="11">
        <f t="shared" ca="1" si="32"/>
        <v>10.245000000000001</v>
      </c>
      <c r="AC14" s="11">
        <f t="shared" ca="1" si="32"/>
        <v>8.245000000000001</v>
      </c>
      <c r="AD14" s="11">
        <f t="shared" ca="1" si="32"/>
        <v>9.245000000000001</v>
      </c>
      <c r="AE14" s="11">
        <f t="shared" ca="1" si="32"/>
        <v>7.2450000000000001</v>
      </c>
      <c r="AF14" s="11">
        <f t="shared" ca="1" si="32"/>
        <v>10.245000000000001</v>
      </c>
      <c r="AG14" s="11">
        <f t="shared" ca="1" si="32"/>
        <v>9.245000000000001</v>
      </c>
      <c r="AH14" s="11">
        <f t="shared" ca="1" si="32"/>
        <v>9.245000000000001</v>
      </c>
      <c r="AI14" s="11">
        <f t="shared" ca="1" si="32"/>
        <v>7.2450000000000001</v>
      </c>
      <c r="AJ14" s="11">
        <f t="shared" ref="AJ14:BO14" ca="1" si="33">RANDBETWEEN(6, 10)+1.245</f>
        <v>7.2450000000000001</v>
      </c>
      <c r="AK14" s="11">
        <f t="shared" ca="1" si="33"/>
        <v>9.245000000000001</v>
      </c>
      <c r="AL14" s="11">
        <f t="shared" ca="1" si="33"/>
        <v>7.2450000000000001</v>
      </c>
      <c r="AM14" s="11">
        <f t="shared" ca="1" si="33"/>
        <v>9.245000000000001</v>
      </c>
      <c r="AN14" s="11">
        <f t="shared" ca="1" si="33"/>
        <v>10.245000000000001</v>
      </c>
      <c r="AO14" s="11">
        <f t="shared" ca="1" si="33"/>
        <v>11.245000000000001</v>
      </c>
      <c r="AP14" s="11">
        <f t="shared" ca="1" si="33"/>
        <v>7.2450000000000001</v>
      </c>
      <c r="AQ14" s="11">
        <f t="shared" ca="1" si="33"/>
        <v>8.245000000000001</v>
      </c>
      <c r="AR14" s="11">
        <f t="shared" ca="1" si="33"/>
        <v>7.2450000000000001</v>
      </c>
      <c r="AS14" s="11">
        <f t="shared" ca="1" si="33"/>
        <v>7.2450000000000001</v>
      </c>
      <c r="AT14" s="11">
        <f t="shared" ca="1" si="33"/>
        <v>8.245000000000001</v>
      </c>
      <c r="AU14" s="11">
        <f t="shared" ca="1" si="33"/>
        <v>11.245000000000001</v>
      </c>
      <c r="AV14" s="11">
        <f t="shared" ca="1" si="33"/>
        <v>9.245000000000001</v>
      </c>
      <c r="AW14" s="11">
        <f t="shared" ca="1" si="33"/>
        <v>11.245000000000001</v>
      </c>
      <c r="AX14" s="11">
        <f t="shared" ca="1" si="33"/>
        <v>10.245000000000001</v>
      </c>
      <c r="AY14" s="11">
        <f t="shared" ca="1" si="33"/>
        <v>7.2450000000000001</v>
      </c>
      <c r="AZ14" s="11">
        <f t="shared" ca="1" si="33"/>
        <v>7.2450000000000001</v>
      </c>
      <c r="BA14" s="11">
        <f t="shared" ca="1" si="33"/>
        <v>9.245000000000001</v>
      </c>
      <c r="BB14" s="11">
        <f t="shared" ca="1" si="33"/>
        <v>9.245000000000001</v>
      </c>
      <c r="BC14" s="11">
        <f t="shared" ca="1" si="33"/>
        <v>9.245000000000001</v>
      </c>
      <c r="BD14" s="11">
        <f t="shared" ca="1" si="33"/>
        <v>8.245000000000001</v>
      </c>
      <c r="BE14" s="11">
        <f t="shared" ca="1" si="33"/>
        <v>11.245000000000001</v>
      </c>
      <c r="BF14" s="11">
        <f t="shared" ca="1" si="33"/>
        <v>11.245000000000001</v>
      </c>
      <c r="BG14" s="11">
        <f t="shared" ca="1" si="33"/>
        <v>9.245000000000001</v>
      </c>
      <c r="BH14" s="11">
        <f t="shared" ca="1" si="33"/>
        <v>11.245000000000001</v>
      </c>
      <c r="BI14" s="11">
        <f t="shared" ca="1" si="33"/>
        <v>11.245000000000001</v>
      </c>
      <c r="BJ14" s="11">
        <f t="shared" ca="1" si="33"/>
        <v>7.2450000000000001</v>
      </c>
      <c r="BK14" s="11">
        <f t="shared" ca="1" si="33"/>
        <v>8.245000000000001</v>
      </c>
      <c r="BL14" s="11">
        <f t="shared" ca="1" si="33"/>
        <v>7.2450000000000001</v>
      </c>
      <c r="BM14" s="11">
        <f t="shared" ca="1" si="33"/>
        <v>11.245000000000001</v>
      </c>
      <c r="BN14" s="11">
        <f t="shared" ca="1" si="33"/>
        <v>9.245000000000001</v>
      </c>
      <c r="BO14" s="11">
        <f t="shared" ca="1" si="33"/>
        <v>8.245000000000001</v>
      </c>
      <c r="BP14" s="11">
        <f t="shared" ref="BP14:CU14" ca="1" si="34">RANDBETWEEN(6, 10)+1.245</f>
        <v>10.245000000000001</v>
      </c>
      <c r="BQ14" s="11">
        <f t="shared" ca="1" si="34"/>
        <v>10.245000000000001</v>
      </c>
      <c r="BR14" s="11">
        <f t="shared" ca="1" si="34"/>
        <v>11.245000000000001</v>
      </c>
      <c r="BS14" s="11">
        <f t="shared" ca="1" si="34"/>
        <v>9.245000000000001</v>
      </c>
      <c r="BT14" s="11">
        <f t="shared" ca="1" si="34"/>
        <v>10.245000000000001</v>
      </c>
      <c r="BU14" s="11">
        <f t="shared" ca="1" si="34"/>
        <v>11.245000000000001</v>
      </c>
      <c r="BV14" s="11">
        <f t="shared" ca="1" si="34"/>
        <v>7.2450000000000001</v>
      </c>
      <c r="BW14" s="11">
        <f t="shared" ca="1" si="34"/>
        <v>9.245000000000001</v>
      </c>
      <c r="BX14" s="11">
        <f t="shared" ca="1" si="34"/>
        <v>7.2450000000000001</v>
      </c>
      <c r="BY14" s="11">
        <f t="shared" ca="1" si="34"/>
        <v>7.2450000000000001</v>
      </c>
      <c r="BZ14" s="11">
        <f t="shared" ca="1" si="34"/>
        <v>7.2450000000000001</v>
      </c>
      <c r="CA14" s="11">
        <f t="shared" ca="1" si="34"/>
        <v>11.245000000000001</v>
      </c>
      <c r="CB14" s="11">
        <f t="shared" ca="1" si="34"/>
        <v>7.2450000000000001</v>
      </c>
      <c r="CC14" s="11">
        <f t="shared" ca="1" si="34"/>
        <v>9.245000000000001</v>
      </c>
      <c r="CD14" s="11">
        <f t="shared" ca="1" si="34"/>
        <v>8.245000000000001</v>
      </c>
      <c r="CE14" s="11">
        <f t="shared" ca="1" si="34"/>
        <v>8.245000000000001</v>
      </c>
      <c r="CF14" s="11">
        <f t="shared" ca="1" si="34"/>
        <v>11.245000000000001</v>
      </c>
      <c r="CG14" s="11">
        <f t="shared" ca="1" si="34"/>
        <v>11.245000000000001</v>
      </c>
      <c r="CH14" s="11">
        <f t="shared" ca="1" si="34"/>
        <v>7.2450000000000001</v>
      </c>
      <c r="CI14" s="11">
        <f t="shared" ca="1" si="34"/>
        <v>9.245000000000001</v>
      </c>
      <c r="CJ14" s="11">
        <f t="shared" ca="1" si="34"/>
        <v>11.245000000000001</v>
      </c>
      <c r="CK14" s="11">
        <f t="shared" ca="1" si="34"/>
        <v>11.245000000000001</v>
      </c>
      <c r="CL14" s="11">
        <f t="shared" ca="1" si="34"/>
        <v>10.245000000000001</v>
      </c>
      <c r="CM14" s="11">
        <f t="shared" ca="1" si="34"/>
        <v>11.245000000000001</v>
      </c>
      <c r="CN14" s="11">
        <f t="shared" ca="1" si="34"/>
        <v>9.245000000000001</v>
      </c>
      <c r="CO14" s="11">
        <f t="shared" ca="1" si="34"/>
        <v>10.245000000000001</v>
      </c>
      <c r="CP14" s="11">
        <f t="shared" ca="1" si="34"/>
        <v>9.245000000000001</v>
      </c>
      <c r="CQ14" s="11">
        <f t="shared" ca="1" si="34"/>
        <v>8.245000000000001</v>
      </c>
      <c r="CR14" s="11">
        <f t="shared" ca="1" si="34"/>
        <v>7.2450000000000001</v>
      </c>
      <c r="CS14" s="11">
        <f t="shared" ca="1" si="34"/>
        <v>10.245000000000001</v>
      </c>
      <c r="CT14" s="11">
        <f t="shared" ca="1" si="34"/>
        <v>9.245000000000001</v>
      </c>
      <c r="CU14" s="11">
        <f t="shared" ca="1" si="34"/>
        <v>11.245000000000001</v>
      </c>
      <c r="CV14" s="11">
        <f t="shared" ref="CV14:EE14" ca="1" si="35">RANDBETWEEN(6, 10)+1.245</f>
        <v>11.245000000000001</v>
      </c>
      <c r="CW14" s="11">
        <f t="shared" ca="1" si="35"/>
        <v>7.2450000000000001</v>
      </c>
      <c r="CX14" s="11">
        <f t="shared" ca="1" si="35"/>
        <v>10.245000000000001</v>
      </c>
      <c r="CY14" s="11">
        <f t="shared" ca="1" si="35"/>
        <v>10.245000000000001</v>
      </c>
      <c r="CZ14" s="11">
        <f t="shared" ca="1" si="35"/>
        <v>8.245000000000001</v>
      </c>
      <c r="DA14" s="11">
        <f t="shared" ca="1" si="35"/>
        <v>7.2450000000000001</v>
      </c>
      <c r="DB14" s="11">
        <f t="shared" ca="1" si="35"/>
        <v>11.245000000000001</v>
      </c>
      <c r="DC14" s="11">
        <f t="shared" ca="1" si="35"/>
        <v>11.245000000000001</v>
      </c>
      <c r="DD14" s="11">
        <f t="shared" ca="1" si="35"/>
        <v>7.2450000000000001</v>
      </c>
      <c r="DE14" s="11">
        <f t="shared" ca="1" si="35"/>
        <v>9.245000000000001</v>
      </c>
      <c r="DF14" s="11">
        <f t="shared" ca="1" si="35"/>
        <v>7.2450000000000001</v>
      </c>
      <c r="DG14" s="11">
        <f t="shared" ca="1" si="35"/>
        <v>7.2450000000000001</v>
      </c>
      <c r="DH14" s="11">
        <f t="shared" ca="1" si="35"/>
        <v>11.245000000000001</v>
      </c>
      <c r="DI14" s="11">
        <f t="shared" ca="1" si="35"/>
        <v>7.2450000000000001</v>
      </c>
      <c r="DJ14" s="11">
        <f t="shared" ca="1" si="35"/>
        <v>7.2450000000000001</v>
      </c>
      <c r="DK14" s="11">
        <f t="shared" ca="1" si="35"/>
        <v>11.245000000000001</v>
      </c>
      <c r="DL14" s="11">
        <f t="shared" ca="1" si="35"/>
        <v>9.245000000000001</v>
      </c>
      <c r="DM14" s="11">
        <f t="shared" ca="1" si="35"/>
        <v>10.245000000000001</v>
      </c>
      <c r="DN14" s="11">
        <f t="shared" ca="1" si="35"/>
        <v>8.245000000000001</v>
      </c>
      <c r="DO14" s="11">
        <f t="shared" ca="1" si="35"/>
        <v>11.245000000000001</v>
      </c>
      <c r="DP14" s="11">
        <f t="shared" ca="1" si="35"/>
        <v>11.245000000000001</v>
      </c>
      <c r="DQ14" s="11">
        <f t="shared" ca="1" si="35"/>
        <v>8.245000000000001</v>
      </c>
      <c r="DR14" s="11">
        <f t="shared" ca="1" si="35"/>
        <v>8.245000000000001</v>
      </c>
      <c r="DS14" s="11">
        <f t="shared" ca="1" si="35"/>
        <v>11.245000000000001</v>
      </c>
      <c r="DT14" s="11">
        <f t="shared" ca="1" si="35"/>
        <v>10.245000000000001</v>
      </c>
      <c r="DU14" s="11">
        <f t="shared" ca="1" si="35"/>
        <v>11.245000000000001</v>
      </c>
      <c r="DV14" s="11">
        <f t="shared" ca="1" si="35"/>
        <v>8.245000000000001</v>
      </c>
      <c r="DW14" s="11">
        <f t="shared" ca="1" si="35"/>
        <v>10.245000000000001</v>
      </c>
      <c r="DX14" s="11">
        <f t="shared" ca="1" si="35"/>
        <v>10.245000000000001</v>
      </c>
      <c r="DY14" s="11">
        <f t="shared" ca="1" si="35"/>
        <v>9.245000000000001</v>
      </c>
      <c r="DZ14" s="11">
        <f t="shared" ca="1" si="35"/>
        <v>8.245000000000001</v>
      </c>
      <c r="EA14" s="11">
        <f t="shared" ca="1" si="35"/>
        <v>8.245000000000001</v>
      </c>
      <c r="EB14" s="11">
        <f t="shared" ca="1" si="35"/>
        <v>9.245000000000001</v>
      </c>
      <c r="EC14" s="11">
        <f t="shared" ca="1" si="35"/>
        <v>10.245000000000001</v>
      </c>
      <c r="ED14" s="11">
        <f t="shared" ca="1" si="35"/>
        <v>7.2450000000000001</v>
      </c>
      <c r="EE14" s="11">
        <f t="shared" ca="1" si="35"/>
        <v>10.245000000000001</v>
      </c>
    </row>
    <row r="15" spans="1:138" x14ac:dyDescent="0.4">
      <c r="C15" s="7" t="s">
        <v>16</v>
      </c>
      <c r="D15" s="11">
        <f t="shared" ref="D15:AI15" ca="1" si="36">RANDBETWEEN(300, 440)+1.245</f>
        <v>310.245</v>
      </c>
      <c r="E15" s="11">
        <f t="shared" ca="1" si="36"/>
        <v>351.245</v>
      </c>
      <c r="F15" s="11">
        <f t="shared" ca="1" si="36"/>
        <v>344.245</v>
      </c>
      <c r="G15" s="11">
        <f t="shared" ca="1" si="36"/>
        <v>399.245</v>
      </c>
      <c r="H15" s="11">
        <f t="shared" ca="1" si="36"/>
        <v>399.245</v>
      </c>
      <c r="I15" s="11">
        <f t="shared" ca="1" si="36"/>
        <v>351.245</v>
      </c>
      <c r="J15" s="11">
        <f t="shared" ca="1" si="36"/>
        <v>433.245</v>
      </c>
      <c r="K15" s="11">
        <f t="shared" ca="1" si="36"/>
        <v>379.245</v>
      </c>
      <c r="L15" s="11">
        <f t="shared" ca="1" si="36"/>
        <v>385.245</v>
      </c>
      <c r="M15" s="11">
        <f t="shared" ca="1" si="36"/>
        <v>343.245</v>
      </c>
      <c r="N15" s="11">
        <f t="shared" ca="1" si="36"/>
        <v>435.245</v>
      </c>
      <c r="O15" s="11">
        <f t="shared" ca="1" si="36"/>
        <v>330.245</v>
      </c>
      <c r="P15" s="11">
        <f t="shared" ca="1" si="36"/>
        <v>301.245</v>
      </c>
      <c r="Q15" s="11">
        <f t="shared" ca="1" si="36"/>
        <v>313.245</v>
      </c>
      <c r="R15" s="11">
        <f t="shared" ca="1" si="36"/>
        <v>409.245</v>
      </c>
      <c r="S15" s="11">
        <f t="shared" ca="1" si="36"/>
        <v>332.245</v>
      </c>
      <c r="T15" s="11">
        <f t="shared" ca="1" si="36"/>
        <v>387.245</v>
      </c>
      <c r="U15" s="11">
        <f t="shared" ca="1" si="36"/>
        <v>424.245</v>
      </c>
      <c r="V15" s="11">
        <f t="shared" ca="1" si="36"/>
        <v>315.245</v>
      </c>
      <c r="W15" s="11">
        <f t="shared" ca="1" si="36"/>
        <v>338.245</v>
      </c>
      <c r="X15" s="11">
        <f t="shared" ca="1" si="36"/>
        <v>361.245</v>
      </c>
      <c r="Y15" s="11">
        <f t="shared" ca="1" si="36"/>
        <v>352.245</v>
      </c>
      <c r="Z15" s="11">
        <f t="shared" ca="1" si="36"/>
        <v>415.245</v>
      </c>
      <c r="AA15" s="11">
        <f t="shared" ca="1" si="36"/>
        <v>428.245</v>
      </c>
      <c r="AB15" s="11">
        <f t="shared" ca="1" si="36"/>
        <v>435.245</v>
      </c>
      <c r="AC15" s="11">
        <f t="shared" ca="1" si="36"/>
        <v>436.245</v>
      </c>
      <c r="AD15" s="11">
        <f t="shared" ca="1" si="36"/>
        <v>303.245</v>
      </c>
      <c r="AE15" s="11">
        <f t="shared" ca="1" si="36"/>
        <v>428.245</v>
      </c>
      <c r="AF15" s="11">
        <f t="shared" ca="1" si="36"/>
        <v>367.245</v>
      </c>
      <c r="AG15" s="11">
        <f t="shared" ca="1" si="36"/>
        <v>362.245</v>
      </c>
      <c r="AH15" s="11">
        <f t="shared" ca="1" si="36"/>
        <v>335.245</v>
      </c>
      <c r="AI15" s="11">
        <f t="shared" ca="1" si="36"/>
        <v>346.245</v>
      </c>
      <c r="AJ15" s="11">
        <f t="shared" ref="AJ15:BO15" ca="1" si="37">RANDBETWEEN(300, 440)+1.245</f>
        <v>417.245</v>
      </c>
      <c r="AK15" s="11">
        <f t="shared" ca="1" si="37"/>
        <v>440.245</v>
      </c>
      <c r="AL15" s="11">
        <f t="shared" ca="1" si="37"/>
        <v>353.245</v>
      </c>
      <c r="AM15" s="11">
        <f t="shared" ca="1" si="37"/>
        <v>384.245</v>
      </c>
      <c r="AN15" s="11">
        <f t="shared" ca="1" si="37"/>
        <v>438.245</v>
      </c>
      <c r="AO15" s="11">
        <f t="shared" ca="1" si="37"/>
        <v>349.245</v>
      </c>
      <c r="AP15" s="11">
        <f t="shared" ca="1" si="37"/>
        <v>311.245</v>
      </c>
      <c r="AQ15" s="11">
        <f t="shared" ca="1" si="37"/>
        <v>417.245</v>
      </c>
      <c r="AR15" s="11">
        <f t="shared" ca="1" si="37"/>
        <v>407.245</v>
      </c>
      <c r="AS15" s="11">
        <f t="shared" ca="1" si="37"/>
        <v>417.245</v>
      </c>
      <c r="AT15" s="11">
        <f t="shared" ca="1" si="37"/>
        <v>388.245</v>
      </c>
      <c r="AU15" s="11">
        <f t="shared" ca="1" si="37"/>
        <v>381.245</v>
      </c>
      <c r="AV15" s="11">
        <f t="shared" ca="1" si="37"/>
        <v>409.245</v>
      </c>
      <c r="AW15" s="11">
        <f t="shared" ca="1" si="37"/>
        <v>439.245</v>
      </c>
      <c r="AX15" s="11">
        <f t="shared" ca="1" si="37"/>
        <v>333.245</v>
      </c>
      <c r="AY15" s="11">
        <f t="shared" ca="1" si="37"/>
        <v>340.245</v>
      </c>
      <c r="AZ15" s="11">
        <f t="shared" ca="1" si="37"/>
        <v>332.245</v>
      </c>
      <c r="BA15" s="11">
        <f t="shared" ca="1" si="37"/>
        <v>304.245</v>
      </c>
      <c r="BB15" s="11">
        <f t="shared" ca="1" si="37"/>
        <v>436.245</v>
      </c>
      <c r="BC15" s="11">
        <f t="shared" ca="1" si="37"/>
        <v>407.245</v>
      </c>
      <c r="BD15" s="11">
        <f t="shared" ca="1" si="37"/>
        <v>394.245</v>
      </c>
      <c r="BE15" s="11">
        <f t="shared" ca="1" si="37"/>
        <v>432.245</v>
      </c>
      <c r="BF15" s="11">
        <f t="shared" ca="1" si="37"/>
        <v>371.245</v>
      </c>
      <c r="BG15" s="11">
        <f t="shared" ca="1" si="37"/>
        <v>438.245</v>
      </c>
      <c r="BH15" s="11">
        <f t="shared" ca="1" si="37"/>
        <v>366.245</v>
      </c>
      <c r="BI15" s="11">
        <f t="shared" ca="1" si="37"/>
        <v>364.245</v>
      </c>
      <c r="BJ15" s="11">
        <f t="shared" ca="1" si="37"/>
        <v>374.245</v>
      </c>
      <c r="BK15" s="11">
        <f t="shared" ca="1" si="37"/>
        <v>413.245</v>
      </c>
      <c r="BL15" s="11">
        <f t="shared" ca="1" si="37"/>
        <v>380.245</v>
      </c>
      <c r="BM15" s="11">
        <f t="shared" ca="1" si="37"/>
        <v>358.245</v>
      </c>
      <c r="BN15" s="11">
        <f t="shared" ca="1" si="37"/>
        <v>403.245</v>
      </c>
      <c r="BO15" s="11">
        <f t="shared" ca="1" si="37"/>
        <v>323.245</v>
      </c>
      <c r="BP15" s="11">
        <f t="shared" ref="BP15:CU15" ca="1" si="38">RANDBETWEEN(300, 440)+1.245</f>
        <v>331.245</v>
      </c>
      <c r="BQ15" s="11">
        <f t="shared" ca="1" si="38"/>
        <v>329.245</v>
      </c>
      <c r="BR15" s="11">
        <f t="shared" ca="1" si="38"/>
        <v>436.245</v>
      </c>
      <c r="BS15" s="11">
        <f t="shared" ca="1" si="38"/>
        <v>309.245</v>
      </c>
      <c r="BT15" s="11">
        <f t="shared" ca="1" si="38"/>
        <v>383.245</v>
      </c>
      <c r="BU15" s="11">
        <f t="shared" ca="1" si="38"/>
        <v>349.245</v>
      </c>
      <c r="BV15" s="11">
        <f t="shared" ca="1" si="38"/>
        <v>379.245</v>
      </c>
      <c r="BW15" s="11">
        <f t="shared" ca="1" si="38"/>
        <v>427.245</v>
      </c>
      <c r="BX15" s="11">
        <f t="shared" ca="1" si="38"/>
        <v>357.245</v>
      </c>
      <c r="BY15" s="11">
        <f t="shared" ca="1" si="38"/>
        <v>362.245</v>
      </c>
      <c r="BZ15" s="11">
        <f t="shared" ca="1" si="38"/>
        <v>355.245</v>
      </c>
      <c r="CA15" s="11">
        <f t="shared" ca="1" si="38"/>
        <v>308.245</v>
      </c>
      <c r="CB15" s="11">
        <f t="shared" ca="1" si="38"/>
        <v>389.245</v>
      </c>
      <c r="CC15" s="11">
        <f t="shared" ca="1" si="38"/>
        <v>326.245</v>
      </c>
      <c r="CD15" s="11">
        <f t="shared" ca="1" si="38"/>
        <v>306.245</v>
      </c>
      <c r="CE15" s="11">
        <f t="shared" ca="1" si="38"/>
        <v>439.245</v>
      </c>
      <c r="CF15" s="11">
        <f t="shared" ca="1" si="38"/>
        <v>374.245</v>
      </c>
      <c r="CG15" s="11">
        <f t="shared" ca="1" si="38"/>
        <v>370.245</v>
      </c>
      <c r="CH15" s="11">
        <f t="shared" ca="1" si="38"/>
        <v>410.245</v>
      </c>
      <c r="CI15" s="11">
        <f t="shared" ca="1" si="38"/>
        <v>342.245</v>
      </c>
      <c r="CJ15" s="11">
        <f t="shared" ca="1" si="38"/>
        <v>419.245</v>
      </c>
      <c r="CK15" s="11">
        <f t="shared" ca="1" si="38"/>
        <v>428.245</v>
      </c>
      <c r="CL15" s="11">
        <f t="shared" ca="1" si="38"/>
        <v>359.245</v>
      </c>
      <c r="CM15" s="11">
        <f t="shared" ca="1" si="38"/>
        <v>420.245</v>
      </c>
      <c r="CN15" s="11">
        <f t="shared" ca="1" si="38"/>
        <v>304.245</v>
      </c>
      <c r="CO15" s="11">
        <f t="shared" ca="1" si="38"/>
        <v>399.245</v>
      </c>
      <c r="CP15" s="11">
        <f t="shared" ca="1" si="38"/>
        <v>325.245</v>
      </c>
      <c r="CQ15" s="11">
        <f t="shared" ca="1" si="38"/>
        <v>425.245</v>
      </c>
      <c r="CR15" s="11">
        <f t="shared" ca="1" si="38"/>
        <v>339.245</v>
      </c>
      <c r="CS15" s="11">
        <f t="shared" ca="1" si="38"/>
        <v>380.245</v>
      </c>
      <c r="CT15" s="11">
        <f t="shared" ca="1" si="38"/>
        <v>415.245</v>
      </c>
      <c r="CU15" s="11">
        <f t="shared" ca="1" si="38"/>
        <v>328.245</v>
      </c>
      <c r="CV15" s="11">
        <f t="shared" ref="CV15:EE15" ca="1" si="39">RANDBETWEEN(300, 440)+1.245</f>
        <v>407.245</v>
      </c>
      <c r="CW15" s="11">
        <f t="shared" ca="1" si="39"/>
        <v>418.245</v>
      </c>
      <c r="CX15" s="11">
        <f t="shared" ca="1" si="39"/>
        <v>390.245</v>
      </c>
      <c r="CY15" s="11">
        <f t="shared" ca="1" si="39"/>
        <v>302.245</v>
      </c>
      <c r="CZ15" s="11">
        <f t="shared" ca="1" si="39"/>
        <v>370.245</v>
      </c>
      <c r="DA15" s="11">
        <f t="shared" ca="1" si="39"/>
        <v>405.245</v>
      </c>
      <c r="DB15" s="11">
        <f t="shared" ca="1" si="39"/>
        <v>385.245</v>
      </c>
      <c r="DC15" s="11">
        <f t="shared" ca="1" si="39"/>
        <v>406.245</v>
      </c>
      <c r="DD15" s="11">
        <f t="shared" ca="1" si="39"/>
        <v>374.245</v>
      </c>
      <c r="DE15" s="11">
        <f t="shared" ca="1" si="39"/>
        <v>352.245</v>
      </c>
      <c r="DF15" s="11">
        <f t="shared" ca="1" si="39"/>
        <v>338.245</v>
      </c>
      <c r="DG15" s="11">
        <f t="shared" ca="1" si="39"/>
        <v>417.245</v>
      </c>
      <c r="DH15" s="11">
        <f t="shared" ca="1" si="39"/>
        <v>332.245</v>
      </c>
      <c r="DI15" s="11">
        <f t="shared" ca="1" si="39"/>
        <v>320.245</v>
      </c>
      <c r="DJ15" s="11">
        <f t="shared" ca="1" si="39"/>
        <v>322.245</v>
      </c>
      <c r="DK15" s="11">
        <f t="shared" ca="1" si="39"/>
        <v>357.245</v>
      </c>
      <c r="DL15" s="11">
        <f t="shared" ca="1" si="39"/>
        <v>351.245</v>
      </c>
      <c r="DM15" s="11">
        <f t="shared" ca="1" si="39"/>
        <v>417.245</v>
      </c>
      <c r="DN15" s="11">
        <f t="shared" ca="1" si="39"/>
        <v>376.245</v>
      </c>
      <c r="DO15" s="11">
        <f t="shared" ca="1" si="39"/>
        <v>403.245</v>
      </c>
      <c r="DP15" s="11">
        <f t="shared" ca="1" si="39"/>
        <v>308.245</v>
      </c>
      <c r="DQ15" s="11">
        <f t="shared" ca="1" si="39"/>
        <v>387.245</v>
      </c>
      <c r="DR15" s="11">
        <f t="shared" ca="1" si="39"/>
        <v>310.245</v>
      </c>
      <c r="DS15" s="11">
        <f t="shared" ca="1" si="39"/>
        <v>394.245</v>
      </c>
      <c r="DT15" s="11">
        <f t="shared" ca="1" si="39"/>
        <v>357.245</v>
      </c>
      <c r="DU15" s="11">
        <f t="shared" ca="1" si="39"/>
        <v>313.245</v>
      </c>
      <c r="DV15" s="11">
        <f t="shared" ca="1" si="39"/>
        <v>387.245</v>
      </c>
      <c r="DW15" s="11">
        <f t="shared" ca="1" si="39"/>
        <v>352.245</v>
      </c>
      <c r="DX15" s="11">
        <f t="shared" ca="1" si="39"/>
        <v>390.245</v>
      </c>
      <c r="DY15" s="11">
        <f t="shared" ca="1" si="39"/>
        <v>364.245</v>
      </c>
      <c r="DZ15" s="11">
        <f t="shared" ca="1" si="39"/>
        <v>343.245</v>
      </c>
      <c r="EA15" s="11">
        <f t="shared" ca="1" si="39"/>
        <v>369.245</v>
      </c>
      <c r="EB15" s="11">
        <f t="shared" ca="1" si="39"/>
        <v>344.245</v>
      </c>
      <c r="EC15" s="11">
        <f t="shared" ca="1" si="39"/>
        <v>428.245</v>
      </c>
      <c r="ED15" s="11">
        <f t="shared" ca="1" si="39"/>
        <v>345.245</v>
      </c>
      <c r="EE15" s="11">
        <f t="shared" ca="1" si="39"/>
        <v>390.245</v>
      </c>
    </row>
    <row r="16" spans="1:138" x14ac:dyDescent="0.4">
      <c r="C16" s="7" t="s">
        <v>17</v>
      </c>
      <c r="D16" s="11">
        <f t="shared" ref="D16:M17" ca="1" si="40">RAND()</f>
        <v>0.90324376338314671</v>
      </c>
      <c r="E16" s="11">
        <f t="shared" ca="1" si="40"/>
        <v>0.19481463412635691</v>
      </c>
      <c r="F16" s="11">
        <f t="shared" ca="1" si="40"/>
        <v>0.21759847659697928</v>
      </c>
      <c r="G16" s="11">
        <f t="shared" ca="1" si="40"/>
        <v>0.85511298117668033</v>
      </c>
      <c r="H16" s="11">
        <f t="shared" ca="1" si="40"/>
        <v>0.72289411157568206</v>
      </c>
      <c r="I16" s="11">
        <f t="shared" ca="1" si="40"/>
        <v>0.58192364132100005</v>
      </c>
      <c r="J16" s="11">
        <f t="shared" ca="1" si="40"/>
        <v>0.24775124143703675</v>
      </c>
      <c r="K16" s="11">
        <f t="shared" ca="1" si="40"/>
        <v>0.10112985937321439</v>
      </c>
      <c r="L16" s="11">
        <f t="shared" ca="1" si="40"/>
        <v>0.57339724880133269</v>
      </c>
      <c r="M16" s="11">
        <f t="shared" ca="1" si="40"/>
        <v>0.20849362362458757</v>
      </c>
      <c r="N16" s="11">
        <f t="shared" ref="N16:W17" ca="1" si="41">RAND()</f>
        <v>4.8633215669475538E-2</v>
      </c>
      <c r="O16" s="11">
        <f t="shared" ca="1" si="41"/>
        <v>0.83761956082853795</v>
      </c>
      <c r="P16" s="11">
        <f t="shared" ca="1" si="41"/>
        <v>0.70946560335868303</v>
      </c>
      <c r="Q16" s="11">
        <f t="shared" ca="1" si="41"/>
        <v>0.9062209261415447</v>
      </c>
      <c r="R16" s="11">
        <f t="shared" ca="1" si="41"/>
        <v>0.40109462687040554</v>
      </c>
      <c r="S16" s="11">
        <f t="shared" ca="1" si="41"/>
        <v>0.57758110673498453</v>
      </c>
      <c r="T16" s="11">
        <f t="shared" ca="1" si="41"/>
        <v>0.87133993759398398</v>
      </c>
      <c r="U16" s="11">
        <f t="shared" ca="1" si="41"/>
        <v>0.74287718428952298</v>
      </c>
      <c r="V16" s="11">
        <f t="shared" ca="1" si="41"/>
        <v>4.1308204520966729E-2</v>
      </c>
      <c r="W16" s="11">
        <f t="shared" ca="1" si="41"/>
        <v>7.5870794474079628E-2</v>
      </c>
      <c r="X16" s="11">
        <f t="shared" ref="X16:AG17" ca="1" si="42">RAND()</f>
        <v>0.74821908139064064</v>
      </c>
      <c r="Y16" s="11">
        <f t="shared" ca="1" si="42"/>
        <v>0.46464312916562422</v>
      </c>
      <c r="Z16" s="11">
        <f t="shared" ca="1" si="42"/>
        <v>0.65422486678407976</v>
      </c>
      <c r="AA16" s="11">
        <f t="shared" ca="1" si="42"/>
        <v>0.56695447581009795</v>
      </c>
      <c r="AB16" s="11">
        <f t="shared" ca="1" si="42"/>
        <v>0.92983749396861559</v>
      </c>
      <c r="AC16" s="11">
        <f t="shared" ca="1" si="42"/>
        <v>0.38434619101600109</v>
      </c>
      <c r="AD16" s="11">
        <f t="shared" ca="1" si="42"/>
        <v>0.11475364454634585</v>
      </c>
      <c r="AE16" s="11">
        <f t="shared" ca="1" si="42"/>
        <v>7.1757924437688247E-2</v>
      </c>
      <c r="AF16" s="11">
        <f t="shared" ca="1" si="42"/>
        <v>0.14358359944487242</v>
      </c>
      <c r="AG16" s="11">
        <f t="shared" ca="1" si="42"/>
        <v>0.36683466478549887</v>
      </c>
      <c r="AH16" s="11">
        <f t="shared" ref="AH16:AQ17" ca="1" si="43">RAND()</f>
        <v>0.10129788788169791</v>
      </c>
      <c r="AI16" s="11">
        <f t="shared" ca="1" si="43"/>
        <v>0.50792403817960641</v>
      </c>
      <c r="AJ16" s="11">
        <f t="shared" ca="1" si="43"/>
        <v>0.87821331817803339</v>
      </c>
      <c r="AK16" s="11">
        <f t="shared" ca="1" si="43"/>
        <v>0.15526013946643391</v>
      </c>
      <c r="AL16" s="11">
        <f t="shared" ca="1" si="43"/>
        <v>0.73556648274524483</v>
      </c>
      <c r="AM16" s="11">
        <f t="shared" ca="1" si="43"/>
        <v>0.69238472854065669</v>
      </c>
      <c r="AN16" s="11">
        <f t="shared" ca="1" si="43"/>
        <v>0.83029925663145954</v>
      </c>
      <c r="AO16" s="11">
        <f t="shared" ca="1" si="43"/>
        <v>0.13792142420331788</v>
      </c>
      <c r="AP16" s="11">
        <f t="shared" ca="1" si="43"/>
        <v>0.59173371082762372</v>
      </c>
      <c r="AQ16" s="11">
        <f t="shared" ca="1" si="43"/>
        <v>0.65469425774418888</v>
      </c>
      <c r="AR16" s="11">
        <f t="shared" ref="AR16:BA17" ca="1" si="44">RAND()</f>
        <v>0.3835857794091394</v>
      </c>
      <c r="AS16" s="11">
        <f t="shared" ca="1" si="44"/>
        <v>0.31028706495451874</v>
      </c>
      <c r="AT16" s="11">
        <f t="shared" ca="1" si="44"/>
        <v>4.5338358890351094E-3</v>
      </c>
      <c r="AU16" s="11">
        <f t="shared" ca="1" si="44"/>
        <v>0.14696692720394144</v>
      </c>
      <c r="AV16" s="11">
        <f t="shared" ca="1" si="44"/>
        <v>6.8054256332255258E-2</v>
      </c>
      <c r="AW16" s="11">
        <f t="shared" ca="1" si="44"/>
        <v>0.5803572942095595</v>
      </c>
      <c r="AX16" s="11">
        <f t="shared" ca="1" si="44"/>
        <v>0.13809019183759308</v>
      </c>
      <c r="AY16" s="11">
        <f t="shared" ca="1" si="44"/>
        <v>0.40173221734697151</v>
      </c>
      <c r="AZ16" s="11">
        <f t="shared" ca="1" si="44"/>
        <v>0.97110181869878032</v>
      </c>
      <c r="BA16" s="11">
        <f t="shared" ca="1" si="44"/>
        <v>0.71888205683847195</v>
      </c>
      <c r="BB16" s="11">
        <f t="shared" ref="BB16:BK17" ca="1" si="45">RAND()</f>
        <v>0.73292672112983159</v>
      </c>
      <c r="BC16" s="11">
        <f t="shared" ca="1" si="45"/>
        <v>0.75693979669884404</v>
      </c>
      <c r="BD16" s="11">
        <f t="shared" ca="1" si="45"/>
        <v>0.98953231067607827</v>
      </c>
      <c r="BE16" s="11">
        <f t="shared" ca="1" si="45"/>
        <v>0.40858724786411615</v>
      </c>
      <c r="BF16" s="11">
        <f t="shared" ca="1" si="45"/>
        <v>0.54288835327721907</v>
      </c>
      <c r="BG16" s="11">
        <f t="shared" ca="1" si="45"/>
        <v>0.82750089471888733</v>
      </c>
      <c r="BH16" s="11">
        <f t="shared" ca="1" si="45"/>
        <v>0.72407778494652464</v>
      </c>
      <c r="BI16" s="11">
        <f t="shared" ca="1" si="45"/>
        <v>0.95937991608459783</v>
      </c>
      <c r="BJ16" s="11">
        <f t="shared" ca="1" si="45"/>
        <v>0.24426730455783363</v>
      </c>
      <c r="BK16" s="11">
        <f t="shared" ca="1" si="45"/>
        <v>7.5096566936485809E-2</v>
      </c>
      <c r="BL16" s="11">
        <f t="shared" ref="BL16:BU17" ca="1" si="46">RAND()</f>
        <v>0.7020804451905881</v>
      </c>
      <c r="BM16" s="11">
        <f t="shared" ca="1" si="46"/>
        <v>0.80359149011658526</v>
      </c>
      <c r="BN16" s="11">
        <f t="shared" ca="1" si="46"/>
        <v>6.300964963778688E-2</v>
      </c>
      <c r="BO16" s="11">
        <f t="shared" ca="1" si="46"/>
        <v>0.33919292596024664</v>
      </c>
      <c r="BP16" s="11">
        <f t="shared" ca="1" si="46"/>
        <v>5.3647225849017599E-2</v>
      </c>
      <c r="BQ16" s="11">
        <f t="shared" ca="1" si="46"/>
        <v>0.14084417826014517</v>
      </c>
      <c r="BR16" s="11">
        <f t="shared" ca="1" si="46"/>
        <v>0.87284522211319826</v>
      </c>
      <c r="BS16" s="11">
        <f t="shared" ca="1" si="46"/>
        <v>0.27294963484308399</v>
      </c>
      <c r="BT16" s="11">
        <f t="shared" ca="1" si="46"/>
        <v>0.85460097881589936</v>
      </c>
      <c r="BU16" s="11">
        <f t="shared" ca="1" si="46"/>
        <v>0.92684932532312181</v>
      </c>
      <c r="BV16" s="11">
        <f t="shared" ref="BV16:CE17" ca="1" si="47">RAND()</f>
        <v>0.18610548072546118</v>
      </c>
      <c r="BW16" s="11">
        <f t="shared" ca="1" si="47"/>
        <v>0.75271436841767692</v>
      </c>
      <c r="BX16" s="11">
        <f t="shared" ca="1" si="47"/>
        <v>0.93880484913650641</v>
      </c>
      <c r="BY16" s="11">
        <f t="shared" ca="1" si="47"/>
        <v>0.32088745370130578</v>
      </c>
      <c r="BZ16" s="11">
        <f t="shared" ca="1" si="47"/>
        <v>0.45991044627818323</v>
      </c>
      <c r="CA16" s="11">
        <f t="shared" ca="1" si="47"/>
        <v>0.79759067807230755</v>
      </c>
      <c r="CB16" s="11">
        <f t="shared" ca="1" si="47"/>
        <v>0.9376239772585766</v>
      </c>
      <c r="CC16" s="11">
        <f t="shared" ca="1" si="47"/>
        <v>0.99939506461252947</v>
      </c>
      <c r="CD16" s="11">
        <f t="shared" ca="1" si="47"/>
        <v>0.88141410304247403</v>
      </c>
      <c r="CE16" s="11">
        <f t="shared" ca="1" si="47"/>
        <v>0.72622599085287798</v>
      </c>
      <c r="CF16" s="11">
        <f t="shared" ref="CF16:CO17" ca="1" si="48">RAND()</f>
        <v>0.89418824087868498</v>
      </c>
      <c r="CG16" s="11">
        <f t="shared" ca="1" si="48"/>
        <v>0.16424549709012048</v>
      </c>
      <c r="CH16" s="11">
        <f t="shared" ca="1" si="48"/>
        <v>0.57119883245754521</v>
      </c>
      <c r="CI16" s="11">
        <f t="shared" ca="1" si="48"/>
        <v>0.84622633618369791</v>
      </c>
      <c r="CJ16" s="11">
        <f t="shared" ca="1" si="48"/>
        <v>0.72666869526447164</v>
      </c>
      <c r="CK16" s="11">
        <f t="shared" ca="1" si="48"/>
        <v>0.98545001255166231</v>
      </c>
      <c r="CL16" s="11">
        <f t="shared" ca="1" si="48"/>
        <v>0.88920264774734492</v>
      </c>
      <c r="CM16" s="11">
        <f t="shared" ca="1" si="48"/>
        <v>0.20113793839711969</v>
      </c>
      <c r="CN16" s="11">
        <f t="shared" ca="1" si="48"/>
        <v>0.70714210626270901</v>
      </c>
      <c r="CO16" s="11">
        <f t="shared" ca="1" si="48"/>
        <v>0.13381102370398434</v>
      </c>
      <c r="CP16" s="11">
        <f t="shared" ref="CP16:CY17" ca="1" si="49">RAND()</f>
        <v>0.10481025552034762</v>
      </c>
      <c r="CQ16" s="11">
        <f t="shared" ca="1" si="49"/>
        <v>0.26823471858630321</v>
      </c>
      <c r="CR16" s="11">
        <f t="shared" ca="1" si="49"/>
        <v>0.37072672265559214</v>
      </c>
      <c r="CS16" s="11">
        <f t="shared" ca="1" si="49"/>
        <v>0.34559371562486851</v>
      </c>
      <c r="CT16" s="11">
        <f t="shared" ca="1" si="49"/>
        <v>0.25043917331188492</v>
      </c>
      <c r="CU16" s="11">
        <f t="shared" ca="1" si="49"/>
        <v>0.2971996006716231</v>
      </c>
      <c r="CV16" s="11">
        <f t="shared" ca="1" si="49"/>
        <v>0.66308099295811029</v>
      </c>
      <c r="CW16" s="11">
        <f t="shared" ca="1" si="49"/>
        <v>0.8996878221986313</v>
      </c>
      <c r="CX16" s="11">
        <f t="shared" ca="1" si="49"/>
        <v>0.73689296520422898</v>
      </c>
      <c r="CY16" s="11">
        <f t="shared" ca="1" si="49"/>
        <v>0.48691955101513051</v>
      </c>
      <c r="CZ16" s="11">
        <f t="shared" ref="CZ16:DI17" ca="1" si="50">RAND()</f>
        <v>0.10884437239630562</v>
      </c>
      <c r="DA16" s="11">
        <f t="shared" ca="1" si="50"/>
        <v>0.72481762913080927</v>
      </c>
      <c r="DB16" s="11">
        <f t="shared" ca="1" si="50"/>
        <v>6.3316400777165271E-2</v>
      </c>
      <c r="DC16" s="11">
        <f t="shared" ca="1" si="50"/>
        <v>0.37703738663709963</v>
      </c>
      <c r="DD16" s="11">
        <f t="shared" ca="1" si="50"/>
        <v>0.99045392099573182</v>
      </c>
      <c r="DE16" s="11">
        <f t="shared" ca="1" si="50"/>
        <v>0.56214923640488035</v>
      </c>
      <c r="DF16" s="11">
        <f t="shared" ca="1" si="50"/>
        <v>0.87741806214527507</v>
      </c>
      <c r="DG16" s="11">
        <f t="shared" ca="1" si="50"/>
        <v>0.10414864837970017</v>
      </c>
      <c r="DH16" s="11">
        <f t="shared" ca="1" si="50"/>
        <v>0.79306615624316457</v>
      </c>
      <c r="DI16" s="11">
        <f t="shared" ca="1" si="50"/>
        <v>0.22758402494619578</v>
      </c>
      <c r="DJ16" s="11">
        <f t="shared" ref="DJ16:DS17" ca="1" si="51">RAND()</f>
        <v>0.92979476892951141</v>
      </c>
      <c r="DK16" s="11">
        <f t="shared" ca="1" si="51"/>
        <v>0.90852370941773886</v>
      </c>
      <c r="DL16" s="11">
        <f t="shared" ca="1" si="51"/>
        <v>0.18934128320227406</v>
      </c>
      <c r="DM16" s="11">
        <f t="shared" ca="1" si="51"/>
        <v>0.71122710437876602</v>
      </c>
      <c r="DN16" s="11">
        <f t="shared" ca="1" si="51"/>
        <v>0.51020853591566662</v>
      </c>
      <c r="DO16" s="11">
        <f t="shared" ca="1" si="51"/>
        <v>0.59090090589363486</v>
      </c>
      <c r="DP16" s="11">
        <f t="shared" ca="1" si="51"/>
        <v>0.32265368934396754</v>
      </c>
      <c r="DQ16" s="11">
        <f t="shared" ca="1" si="51"/>
        <v>0.50191627487655532</v>
      </c>
      <c r="DR16" s="11">
        <f t="shared" ca="1" si="51"/>
        <v>0.62165280431763004</v>
      </c>
      <c r="DS16" s="11">
        <f t="shared" ca="1" si="51"/>
        <v>0.22429336773478203</v>
      </c>
      <c r="DT16" s="11">
        <f t="shared" ref="DT16:EE17" ca="1" si="52">RAND()</f>
        <v>0.50893433536149879</v>
      </c>
      <c r="DU16" s="11">
        <f t="shared" ca="1" si="52"/>
        <v>0.70224648856007088</v>
      </c>
      <c r="DV16" s="11">
        <f t="shared" ca="1" si="52"/>
        <v>0.83247087700092337</v>
      </c>
      <c r="DW16" s="11">
        <f t="shared" ca="1" si="52"/>
        <v>0.40227588024463978</v>
      </c>
      <c r="DX16" s="11">
        <f t="shared" ca="1" si="52"/>
        <v>0.13189579033770116</v>
      </c>
      <c r="DY16" s="11">
        <f t="shared" ca="1" si="52"/>
        <v>0.56444521952864846</v>
      </c>
      <c r="DZ16" s="11">
        <f t="shared" ca="1" si="52"/>
        <v>0.13959501933913943</v>
      </c>
      <c r="EA16" s="11">
        <f t="shared" ca="1" si="52"/>
        <v>0.79373057929760771</v>
      </c>
      <c r="EB16" s="11">
        <f t="shared" ca="1" si="52"/>
        <v>0.32219765662263466</v>
      </c>
      <c r="EC16" s="11">
        <f t="shared" ca="1" si="52"/>
        <v>5.5357630014017167E-2</v>
      </c>
      <c r="ED16" s="11">
        <f t="shared" ca="1" si="52"/>
        <v>0.32165574432022714</v>
      </c>
      <c r="EE16" s="11">
        <f t="shared" ca="1" si="52"/>
        <v>0.4171559682003404</v>
      </c>
    </row>
    <row r="17" spans="3:135" x14ac:dyDescent="0.4">
      <c r="C17" s="7" t="s">
        <v>30</v>
      </c>
      <c r="D17" s="11">
        <f t="shared" ca="1" si="40"/>
        <v>0.90277543249179981</v>
      </c>
      <c r="E17" s="11">
        <f t="shared" ca="1" si="40"/>
        <v>0.39954391302279069</v>
      </c>
      <c r="F17" s="11">
        <f t="shared" ca="1" si="40"/>
        <v>0.17192461003530035</v>
      </c>
      <c r="G17" s="11">
        <f t="shared" ca="1" si="40"/>
        <v>0.13100416439927021</v>
      </c>
      <c r="H17" s="11">
        <f t="shared" ca="1" si="40"/>
        <v>0.91626411141229469</v>
      </c>
      <c r="I17" s="11">
        <f t="shared" ca="1" si="40"/>
        <v>0.81447928830431104</v>
      </c>
      <c r="J17" s="11">
        <f t="shared" ca="1" si="40"/>
        <v>0.98254581213955405</v>
      </c>
      <c r="K17" s="11">
        <f t="shared" ca="1" si="40"/>
        <v>0.55387370802357427</v>
      </c>
      <c r="L17" s="11">
        <f t="shared" ca="1" si="40"/>
        <v>0.79037661028157613</v>
      </c>
      <c r="M17" s="11">
        <f t="shared" ca="1" si="40"/>
        <v>8.561721318899651E-2</v>
      </c>
      <c r="N17" s="11">
        <f t="shared" ca="1" si="41"/>
        <v>0.24908692291765344</v>
      </c>
      <c r="O17" s="11">
        <f t="shared" ca="1" si="41"/>
        <v>0.95338877068912087</v>
      </c>
      <c r="P17" s="11">
        <f t="shared" ca="1" si="41"/>
        <v>0.49022600427257501</v>
      </c>
      <c r="Q17" s="11">
        <f t="shared" ca="1" si="41"/>
        <v>0.91963406046815732</v>
      </c>
      <c r="R17" s="11">
        <f t="shared" ca="1" si="41"/>
        <v>0.26854543651894081</v>
      </c>
      <c r="S17" s="11">
        <f t="shared" ca="1" si="41"/>
        <v>9.965502475750565E-2</v>
      </c>
      <c r="T17" s="11">
        <f t="shared" ca="1" si="41"/>
        <v>0.29227852731017823</v>
      </c>
      <c r="U17" s="11">
        <f t="shared" ca="1" si="41"/>
        <v>0.63050643397383321</v>
      </c>
      <c r="V17" s="11">
        <f t="shared" ca="1" si="41"/>
        <v>0.61775785032796549</v>
      </c>
      <c r="W17" s="11">
        <f t="shared" ca="1" si="41"/>
        <v>7.7699020535214713E-2</v>
      </c>
      <c r="X17" s="11">
        <f t="shared" ca="1" si="42"/>
        <v>0.69009975100756538</v>
      </c>
      <c r="Y17" s="11">
        <f t="shared" ca="1" si="42"/>
        <v>0.33603979113450821</v>
      </c>
      <c r="Z17" s="11">
        <f t="shared" ca="1" si="42"/>
        <v>0.57589558993232681</v>
      </c>
      <c r="AA17" s="11">
        <f t="shared" ca="1" si="42"/>
        <v>0.11834778590672512</v>
      </c>
      <c r="AB17" s="11">
        <f t="shared" ca="1" si="42"/>
        <v>0.1972275972426456</v>
      </c>
      <c r="AC17" s="11">
        <f t="shared" ca="1" si="42"/>
        <v>0.37420197202100269</v>
      </c>
      <c r="AD17" s="11">
        <f t="shared" ca="1" si="42"/>
        <v>0.54870079392530047</v>
      </c>
      <c r="AE17" s="11">
        <f t="shared" ca="1" si="42"/>
        <v>0.69419812464674291</v>
      </c>
      <c r="AF17" s="11">
        <f t="shared" ca="1" si="42"/>
        <v>0.52010387336628505</v>
      </c>
      <c r="AG17" s="11">
        <f t="shared" ca="1" si="42"/>
        <v>0.56977196306688782</v>
      </c>
      <c r="AH17" s="11">
        <f t="shared" ca="1" si="43"/>
        <v>0.19504517464177407</v>
      </c>
      <c r="AI17" s="11">
        <f t="shared" ca="1" si="43"/>
        <v>0.7144681722684012</v>
      </c>
      <c r="AJ17" s="11">
        <f t="shared" ca="1" si="43"/>
        <v>0.92251329379807456</v>
      </c>
      <c r="AK17" s="11">
        <f t="shared" ca="1" si="43"/>
        <v>0.83185335742873079</v>
      </c>
      <c r="AL17" s="11">
        <f t="shared" ca="1" si="43"/>
        <v>0.96916645965587411</v>
      </c>
      <c r="AM17" s="11">
        <f t="shared" ca="1" si="43"/>
        <v>0.71609020368351017</v>
      </c>
      <c r="AN17" s="11">
        <f t="shared" ca="1" si="43"/>
        <v>0.11899620287173507</v>
      </c>
      <c r="AO17" s="11">
        <f t="shared" ca="1" si="43"/>
        <v>0.48024364076898685</v>
      </c>
      <c r="AP17" s="11">
        <f t="shared" ca="1" si="43"/>
        <v>0.1024374212275031</v>
      </c>
      <c r="AQ17" s="11">
        <f t="shared" ca="1" si="43"/>
        <v>0.14569389495830198</v>
      </c>
      <c r="AR17" s="11">
        <f t="shared" ca="1" si="44"/>
        <v>0.17433165357344937</v>
      </c>
      <c r="AS17" s="11">
        <f t="shared" ca="1" si="44"/>
        <v>0.61789428493487664</v>
      </c>
      <c r="AT17" s="11">
        <f t="shared" ca="1" si="44"/>
        <v>0.47850608366135561</v>
      </c>
      <c r="AU17" s="11">
        <f t="shared" ca="1" si="44"/>
        <v>0.98153824307968973</v>
      </c>
      <c r="AV17" s="11">
        <f t="shared" ca="1" si="44"/>
        <v>0.66750192312590972</v>
      </c>
      <c r="AW17" s="11">
        <f t="shared" ca="1" si="44"/>
        <v>0.93488581991583231</v>
      </c>
      <c r="AX17" s="11">
        <f t="shared" ca="1" si="44"/>
        <v>0.26180954358599862</v>
      </c>
      <c r="AY17" s="11">
        <f t="shared" ca="1" si="44"/>
        <v>0.96647383762597794</v>
      </c>
      <c r="AZ17" s="11">
        <f t="shared" ca="1" si="44"/>
        <v>0.61390736169951599</v>
      </c>
      <c r="BA17" s="11">
        <f t="shared" ca="1" si="44"/>
        <v>0.65785197746636936</v>
      </c>
      <c r="BB17" s="11">
        <f t="shared" ca="1" si="45"/>
        <v>0.86664373788404347</v>
      </c>
      <c r="BC17" s="11">
        <f t="shared" ca="1" si="45"/>
        <v>0.57400428965483818</v>
      </c>
      <c r="BD17" s="11">
        <f t="shared" ca="1" si="45"/>
        <v>0.25499672063618339</v>
      </c>
      <c r="BE17" s="11">
        <f t="shared" ca="1" si="45"/>
        <v>0.48776928270041864</v>
      </c>
      <c r="BF17" s="11">
        <f t="shared" ca="1" si="45"/>
        <v>0.1651601234887452</v>
      </c>
      <c r="BG17" s="11">
        <f t="shared" ca="1" si="45"/>
        <v>0.42635973271419036</v>
      </c>
      <c r="BH17" s="11">
        <f t="shared" ca="1" si="45"/>
        <v>7.752794637267546E-2</v>
      </c>
      <c r="BI17" s="11">
        <f t="shared" ca="1" si="45"/>
        <v>0.57783571805395328</v>
      </c>
      <c r="BJ17" s="11">
        <f t="shared" ca="1" si="45"/>
        <v>0.42333479619758607</v>
      </c>
      <c r="BK17" s="11">
        <f t="shared" ca="1" si="45"/>
        <v>0.65813652661705979</v>
      </c>
      <c r="BL17" s="11">
        <f t="shared" ca="1" si="46"/>
        <v>8.1254899393535251E-2</v>
      </c>
      <c r="BM17" s="11">
        <f t="shared" ca="1" si="46"/>
        <v>0.85771780752333637</v>
      </c>
      <c r="BN17" s="11">
        <f t="shared" ca="1" si="46"/>
        <v>0.48766960723517183</v>
      </c>
      <c r="BO17" s="11">
        <f t="shared" ca="1" si="46"/>
        <v>0.48300958939561034</v>
      </c>
      <c r="BP17" s="11">
        <f t="shared" ca="1" si="46"/>
        <v>0.40253417140442505</v>
      </c>
      <c r="BQ17" s="11">
        <f t="shared" ca="1" si="46"/>
        <v>0.75418557598467584</v>
      </c>
      <c r="BR17" s="11">
        <f t="shared" ca="1" si="46"/>
        <v>0.29801575887929999</v>
      </c>
      <c r="BS17" s="11">
        <f t="shared" ca="1" si="46"/>
        <v>0.57463675336129239</v>
      </c>
      <c r="BT17" s="11">
        <f t="shared" ca="1" si="46"/>
        <v>0.40862687748884097</v>
      </c>
      <c r="BU17" s="11">
        <f t="shared" ca="1" si="46"/>
        <v>3.5057337819444423E-2</v>
      </c>
      <c r="BV17" s="11">
        <f t="shared" ca="1" si="47"/>
        <v>0.63020749267648168</v>
      </c>
      <c r="BW17" s="11">
        <f t="shared" ca="1" si="47"/>
        <v>0.52596749054578262</v>
      </c>
      <c r="BX17" s="11">
        <f t="shared" ca="1" si="47"/>
        <v>2.1424778907900288E-2</v>
      </c>
      <c r="BY17" s="11">
        <f t="shared" ca="1" si="47"/>
        <v>0.7658940554071143</v>
      </c>
      <c r="BZ17" s="11">
        <f t="shared" ca="1" si="47"/>
        <v>0.22161794368337928</v>
      </c>
      <c r="CA17" s="11">
        <f t="shared" ca="1" si="47"/>
        <v>0.87632751405797793</v>
      </c>
      <c r="CB17" s="11">
        <f t="shared" ca="1" si="47"/>
        <v>0.18867961579264181</v>
      </c>
      <c r="CC17" s="11">
        <f t="shared" ca="1" si="47"/>
        <v>5.4183248906886194E-2</v>
      </c>
      <c r="CD17" s="11">
        <f t="shared" ca="1" si="47"/>
        <v>0.82424228634123275</v>
      </c>
      <c r="CE17" s="11">
        <f t="shared" ca="1" si="47"/>
        <v>3.8571714281688818E-3</v>
      </c>
      <c r="CF17" s="11">
        <f t="shared" ca="1" si="48"/>
        <v>0.25382568589000531</v>
      </c>
      <c r="CG17" s="11">
        <f t="shared" ca="1" si="48"/>
        <v>0.74441015100965235</v>
      </c>
      <c r="CH17" s="11">
        <f t="shared" ca="1" si="48"/>
        <v>4.1175688979008584E-2</v>
      </c>
      <c r="CI17" s="11">
        <f t="shared" ca="1" si="48"/>
        <v>9.3141889172121406E-3</v>
      </c>
      <c r="CJ17" s="11">
        <f t="shared" ca="1" si="48"/>
        <v>0.51118319231906439</v>
      </c>
      <c r="CK17" s="11">
        <f t="shared" ca="1" si="48"/>
        <v>0.51673378620092081</v>
      </c>
      <c r="CL17" s="11">
        <f t="shared" ca="1" si="48"/>
        <v>0.29118024435744294</v>
      </c>
      <c r="CM17" s="11">
        <f t="shared" ca="1" si="48"/>
        <v>0.69378098043876257</v>
      </c>
      <c r="CN17" s="11">
        <f t="shared" ca="1" si="48"/>
        <v>0.84939537777929075</v>
      </c>
      <c r="CO17" s="11">
        <f t="shared" ca="1" si="48"/>
        <v>0.65487978871928132</v>
      </c>
      <c r="CP17" s="11">
        <f t="shared" ca="1" si="49"/>
        <v>0.23450520367379035</v>
      </c>
      <c r="CQ17" s="11">
        <f t="shared" ca="1" si="49"/>
        <v>0.29565938947715287</v>
      </c>
      <c r="CR17" s="11">
        <f t="shared" ca="1" si="49"/>
        <v>0.9183724808731496</v>
      </c>
      <c r="CS17" s="11">
        <f t="shared" ca="1" si="49"/>
        <v>0.42685727865413603</v>
      </c>
      <c r="CT17" s="11">
        <f t="shared" ca="1" si="49"/>
        <v>0.65608821392293803</v>
      </c>
      <c r="CU17" s="11">
        <f t="shared" ca="1" si="49"/>
        <v>0.71345161537979174</v>
      </c>
      <c r="CV17" s="11">
        <f t="shared" ca="1" si="49"/>
        <v>6.9224325947988552E-2</v>
      </c>
      <c r="CW17" s="11">
        <f t="shared" ca="1" si="49"/>
        <v>1.0776507586214401E-2</v>
      </c>
      <c r="CX17" s="11">
        <f t="shared" ca="1" si="49"/>
        <v>0.76085375692819712</v>
      </c>
      <c r="CY17" s="11">
        <f t="shared" ca="1" si="49"/>
        <v>0.40589856114415179</v>
      </c>
      <c r="CZ17" s="11">
        <f t="shared" ca="1" si="50"/>
        <v>0.8404786554680781</v>
      </c>
      <c r="DA17" s="11">
        <f t="shared" ca="1" si="50"/>
        <v>0.31491626210219126</v>
      </c>
      <c r="DB17" s="11">
        <f t="shared" ca="1" si="50"/>
        <v>0.3469035851530895</v>
      </c>
      <c r="DC17" s="11">
        <f t="shared" ca="1" si="50"/>
        <v>0.75051541752095108</v>
      </c>
      <c r="DD17" s="11">
        <f t="shared" ca="1" si="50"/>
        <v>0.71519921251067808</v>
      </c>
      <c r="DE17" s="11">
        <f t="shared" ca="1" si="50"/>
        <v>0.9155710509443693</v>
      </c>
      <c r="DF17" s="11">
        <f t="shared" ca="1" si="50"/>
        <v>0.62776032461860209</v>
      </c>
      <c r="DG17" s="11">
        <f t="shared" ca="1" si="50"/>
        <v>1.8460603800694475E-2</v>
      </c>
      <c r="DH17" s="11">
        <f t="shared" ca="1" si="50"/>
        <v>0.44474578396450593</v>
      </c>
      <c r="DI17" s="11">
        <f t="shared" ca="1" si="50"/>
        <v>0.21232672786472639</v>
      </c>
      <c r="DJ17" s="11">
        <f t="shared" ca="1" si="51"/>
        <v>0.81656948681894681</v>
      </c>
      <c r="DK17" s="11">
        <f t="shared" ca="1" si="51"/>
        <v>0.2795842706849373</v>
      </c>
      <c r="DL17" s="11">
        <f t="shared" ca="1" si="51"/>
        <v>0.39773191746603553</v>
      </c>
      <c r="DM17" s="11">
        <f t="shared" ca="1" si="51"/>
        <v>0.17059712878872169</v>
      </c>
      <c r="DN17" s="11">
        <f t="shared" ca="1" si="51"/>
        <v>0.1606015643112173</v>
      </c>
      <c r="DO17" s="11">
        <f t="shared" ca="1" si="51"/>
        <v>0.3487924270929893</v>
      </c>
      <c r="DP17" s="11">
        <f t="shared" ca="1" si="51"/>
        <v>0.16220716987753514</v>
      </c>
      <c r="DQ17" s="11">
        <f t="shared" ca="1" si="51"/>
        <v>9.1556140237281869E-2</v>
      </c>
      <c r="DR17" s="11">
        <f t="shared" ca="1" si="51"/>
        <v>0.16375150208812006</v>
      </c>
      <c r="DS17" s="11">
        <f t="shared" ca="1" si="51"/>
        <v>0.95710813930913086</v>
      </c>
      <c r="DT17" s="11">
        <f t="shared" ca="1" si="52"/>
        <v>0.52664219459047934</v>
      </c>
      <c r="DU17" s="11">
        <f t="shared" ca="1" si="52"/>
        <v>0.52910530550244561</v>
      </c>
      <c r="DV17" s="11">
        <f t="shared" ca="1" si="52"/>
        <v>0.85044274109068274</v>
      </c>
      <c r="DW17" s="11">
        <f t="shared" ca="1" si="52"/>
        <v>0.42802406190194087</v>
      </c>
      <c r="DX17" s="11">
        <f t="shared" ca="1" si="52"/>
        <v>0.25969762963241183</v>
      </c>
      <c r="DY17" s="11">
        <f t="shared" ca="1" si="52"/>
        <v>0.74082839064088668</v>
      </c>
      <c r="DZ17" s="11">
        <f t="shared" ca="1" si="52"/>
        <v>0.91160075225845238</v>
      </c>
      <c r="EA17" s="11">
        <f t="shared" ca="1" si="52"/>
        <v>4.0523567947409633E-2</v>
      </c>
      <c r="EB17" s="11">
        <f t="shared" ca="1" si="52"/>
        <v>0.71596784007349901</v>
      </c>
      <c r="EC17" s="11">
        <f t="shared" ca="1" si="52"/>
        <v>0.60751455152756539</v>
      </c>
      <c r="ED17" s="11">
        <f t="shared" ca="1" si="52"/>
        <v>0.8785560465962523</v>
      </c>
      <c r="EE17" s="11">
        <f t="shared" ca="1" si="52"/>
        <v>0.61580781253310801</v>
      </c>
    </row>
    <row r="18" spans="3:135" x14ac:dyDescent="0.4">
      <c r="C18" s="7" t="s">
        <v>18</v>
      </c>
      <c r="D18" s="11">
        <f t="shared" ref="D18:AI18" ca="1" si="53">RANDBETWEEN(1, 100)</f>
        <v>81</v>
      </c>
      <c r="E18" s="11">
        <f t="shared" ca="1" si="53"/>
        <v>49</v>
      </c>
      <c r="F18" s="11">
        <f t="shared" ca="1" si="53"/>
        <v>88</v>
      </c>
      <c r="G18" s="11">
        <f t="shared" ca="1" si="53"/>
        <v>92</v>
      </c>
      <c r="H18" s="11">
        <f t="shared" ca="1" si="53"/>
        <v>91</v>
      </c>
      <c r="I18" s="11">
        <f t="shared" ca="1" si="53"/>
        <v>79</v>
      </c>
      <c r="J18" s="11">
        <f t="shared" ca="1" si="53"/>
        <v>23</v>
      </c>
      <c r="K18" s="11">
        <f t="shared" ca="1" si="53"/>
        <v>68</v>
      </c>
      <c r="L18" s="11">
        <f t="shared" ca="1" si="53"/>
        <v>44</v>
      </c>
      <c r="M18" s="11">
        <f t="shared" ca="1" si="53"/>
        <v>51</v>
      </c>
      <c r="N18" s="11">
        <f t="shared" ca="1" si="53"/>
        <v>40</v>
      </c>
      <c r="O18" s="11">
        <f t="shared" ca="1" si="53"/>
        <v>53</v>
      </c>
      <c r="P18" s="11">
        <f t="shared" ca="1" si="53"/>
        <v>91</v>
      </c>
      <c r="Q18" s="11">
        <f t="shared" ca="1" si="53"/>
        <v>75</v>
      </c>
      <c r="R18" s="11">
        <f t="shared" ca="1" si="53"/>
        <v>44</v>
      </c>
      <c r="S18" s="11">
        <f t="shared" ca="1" si="53"/>
        <v>88</v>
      </c>
      <c r="T18" s="11">
        <f t="shared" ca="1" si="53"/>
        <v>34</v>
      </c>
      <c r="U18" s="11">
        <f t="shared" ca="1" si="53"/>
        <v>55</v>
      </c>
      <c r="V18" s="11">
        <f t="shared" ca="1" si="53"/>
        <v>4</v>
      </c>
      <c r="W18" s="11">
        <f t="shared" ca="1" si="53"/>
        <v>7</v>
      </c>
      <c r="X18" s="11">
        <f t="shared" ca="1" si="53"/>
        <v>43</v>
      </c>
      <c r="Y18" s="11">
        <f t="shared" ca="1" si="53"/>
        <v>42</v>
      </c>
      <c r="Z18" s="11">
        <f t="shared" ca="1" si="53"/>
        <v>19</v>
      </c>
      <c r="AA18" s="11">
        <f t="shared" ca="1" si="53"/>
        <v>98</v>
      </c>
      <c r="AB18" s="11">
        <f t="shared" ca="1" si="53"/>
        <v>62</v>
      </c>
      <c r="AC18" s="11">
        <f t="shared" ca="1" si="53"/>
        <v>63</v>
      </c>
      <c r="AD18" s="11">
        <f t="shared" ca="1" si="53"/>
        <v>19</v>
      </c>
      <c r="AE18" s="11">
        <f t="shared" ca="1" si="53"/>
        <v>36</v>
      </c>
      <c r="AF18" s="11">
        <f t="shared" ca="1" si="53"/>
        <v>21</v>
      </c>
      <c r="AG18" s="11">
        <f t="shared" ca="1" si="53"/>
        <v>55</v>
      </c>
      <c r="AH18" s="11">
        <f t="shared" ca="1" si="53"/>
        <v>24</v>
      </c>
      <c r="AI18" s="11">
        <f t="shared" ca="1" si="53"/>
        <v>3</v>
      </c>
      <c r="AJ18" s="11">
        <f t="shared" ref="AJ18:BO18" ca="1" si="54">RANDBETWEEN(1, 100)</f>
        <v>34</v>
      </c>
      <c r="AK18" s="11">
        <f t="shared" ca="1" si="54"/>
        <v>46</v>
      </c>
      <c r="AL18" s="11">
        <f t="shared" ca="1" si="54"/>
        <v>9</v>
      </c>
      <c r="AM18" s="11">
        <f t="shared" ca="1" si="54"/>
        <v>23</v>
      </c>
      <c r="AN18" s="11">
        <f t="shared" ca="1" si="54"/>
        <v>3</v>
      </c>
      <c r="AO18" s="11">
        <f t="shared" ca="1" si="54"/>
        <v>29</v>
      </c>
      <c r="AP18" s="11">
        <f t="shared" ca="1" si="54"/>
        <v>46</v>
      </c>
      <c r="AQ18" s="11">
        <f t="shared" ca="1" si="54"/>
        <v>32</v>
      </c>
      <c r="AR18" s="11">
        <f t="shared" ca="1" si="54"/>
        <v>1</v>
      </c>
      <c r="AS18" s="11">
        <f t="shared" ca="1" si="54"/>
        <v>96</v>
      </c>
      <c r="AT18" s="11">
        <f t="shared" ca="1" si="54"/>
        <v>51</v>
      </c>
      <c r="AU18" s="11">
        <f t="shared" ca="1" si="54"/>
        <v>81</v>
      </c>
      <c r="AV18" s="11">
        <f t="shared" ca="1" si="54"/>
        <v>97</v>
      </c>
      <c r="AW18" s="11">
        <f t="shared" ca="1" si="54"/>
        <v>13</v>
      </c>
      <c r="AX18" s="11">
        <f t="shared" ca="1" si="54"/>
        <v>5</v>
      </c>
      <c r="AY18" s="11">
        <f t="shared" ca="1" si="54"/>
        <v>20</v>
      </c>
      <c r="AZ18" s="11">
        <f t="shared" ca="1" si="54"/>
        <v>50</v>
      </c>
      <c r="BA18" s="11">
        <f t="shared" ca="1" si="54"/>
        <v>4</v>
      </c>
      <c r="BB18" s="11">
        <f t="shared" ca="1" si="54"/>
        <v>86</v>
      </c>
      <c r="BC18" s="11">
        <f t="shared" ca="1" si="54"/>
        <v>25</v>
      </c>
      <c r="BD18" s="11">
        <f t="shared" ca="1" si="54"/>
        <v>99</v>
      </c>
      <c r="BE18" s="11">
        <f t="shared" ca="1" si="54"/>
        <v>42</v>
      </c>
      <c r="BF18" s="11">
        <f t="shared" ca="1" si="54"/>
        <v>80</v>
      </c>
      <c r="BG18" s="11">
        <f t="shared" ca="1" si="54"/>
        <v>17</v>
      </c>
      <c r="BH18" s="11">
        <f t="shared" ca="1" si="54"/>
        <v>9</v>
      </c>
      <c r="BI18" s="11">
        <f t="shared" ca="1" si="54"/>
        <v>91</v>
      </c>
      <c r="BJ18" s="11">
        <f t="shared" ca="1" si="54"/>
        <v>21</v>
      </c>
      <c r="BK18" s="11">
        <f t="shared" ca="1" si="54"/>
        <v>83</v>
      </c>
      <c r="BL18" s="11">
        <f t="shared" ca="1" si="54"/>
        <v>20</v>
      </c>
      <c r="BM18" s="11">
        <f t="shared" ca="1" si="54"/>
        <v>31</v>
      </c>
      <c r="BN18" s="11">
        <f t="shared" ca="1" si="54"/>
        <v>23</v>
      </c>
      <c r="BO18" s="11">
        <f t="shared" ca="1" si="54"/>
        <v>84</v>
      </c>
      <c r="BP18" s="11">
        <f t="shared" ref="BP18:CU18" ca="1" si="55">RANDBETWEEN(1, 100)</f>
        <v>65</v>
      </c>
      <c r="BQ18" s="11">
        <f t="shared" ca="1" si="55"/>
        <v>44</v>
      </c>
      <c r="BR18" s="11">
        <f t="shared" ca="1" si="55"/>
        <v>52</v>
      </c>
      <c r="BS18" s="11">
        <f t="shared" ca="1" si="55"/>
        <v>84</v>
      </c>
      <c r="BT18" s="11">
        <f t="shared" ca="1" si="55"/>
        <v>40</v>
      </c>
      <c r="BU18" s="11">
        <f t="shared" ca="1" si="55"/>
        <v>8</v>
      </c>
      <c r="BV18" s="11">
        <f t="shared" ca="1" si="55"/>
        <v>96</v>
      </c>
      <c r="BW18" s="11">
        <f t="shared" ca="1" si="55"/>
        <v>25</v>
      </c>
      <c r="BX18" s="11">
        <f t="shared" ca="1" si="55"/>
        <v>7</v>
      </c>
      <c r="BY18" s="11">
        <f t="shared" ca="1" si="55"/>
        <v>63</v>
      </c>
      <c r="BZ18" s="11">
        <f t="shared" ca="1" si="55"/>
        <v>64</v>
      </c>
      <c r="CA18" s="11">
        <f t="shared" ca="1" si="55"/>
        <v>11</v>
      </c>
      <c r="CB18" s="11">
        <f t="shared" ca="1" si="55"/>
        <v>83</v>
      </c>
      <c r="CC18" s="11">
        <f t="shared" ca="1" si="55"/>
        <v>93</v>
      </c>
      <c r="CD18" s="11">
        <f t="shared" ca="1" si="55"/>
        <v>16</v>
      </c>
      <c r="CE18" s="11">
        <f t="shared" ca="1" si="55"/>
        <v>81</v>
      </c>
      <c r="CF18" s="11">
        <f t="shared" ca="1" si="55"/>
        <v>31</v>
      </c>
      <c r="CG18" s="11">
        <f t="shared" ca="1" si="55"/>
        <v>62</v>
      </c>
      <c r="CH18" s="11">
        <f t="shared" ca="1" si="55"/>
        <v>82</v>
      </c>
      <c r="CI18" s="11">
        <f t="shared" ca="1" si="55"/>
        <v>95</v>
      </c>
      <c r="CJ18" s="11">
        <f t="shared" ca="1" si="55"/>
        <v>80</v>
      </c>
      <c r="CK18" s="11">
        <f t="shared" ca="1" si="55"/>
        <v>52</v>
      </c>
      <c r="CL18" s="11">
        <f t="shared" ca="1" si="55"/>
        <v>75</v>
      </c>
      <c r="CM18" s="11">
        <f t="shared" ca="1" si="55"/>
        <v>5</v>
      </c>
      <c r="CN18" s="11">
        <f t="shared" ca="1" si="55"/>
        <v>54</v>
      </c>
      <c r="CO18" s="11">
        <f t="shared" ca="1" si="55"/>
        <v>40</v>
      </c>
      <c r="CP18" s="11">
        <f t="shared" ca="1" si="55"/>
        <v>70</v>
      </c>
      <c r="CQ18" s="11">
        <f t="shared" ca="1" si="55"/>
        <v>16</v>
      </c>
      <c r="CR18" s="11">
        <f t="shared" ca="1" si="55"/>
        <v>88</v>
      </c>
      <c r="CS18" s="11">
        <f t="shared" ca="1" si="55"/>
        <v>67</v>
      </c>
      <c r="CT18" s="11">
        <f t="shared" ca="1" si="55"/>
        <v>90</v>
      </c>
      <c r="CU18" s="11">
        <f t="shared" ca="1" si="55"/>
        <v>37</v>
      </c>
      <c r="CV18" s="11">
        <f t="shared" ref="CV18:EE18" ca="1" si="56">RANDBETWEEN(1, 100)</f>
        <v>71</v>
      </c>
      <c r="CW18" s="11">
        <f t="shared" ca="1" si="56"/>
        <v>3</v>
      </c>
      <c r="CX18" s="11">
        <f t="shared" ca="1" si="56"/>
        <v>57</v>
      </c>
      <c r="CY18" s="11">
        <f t="shared" ca="1" si="56"/>
        <v>49</v>
      </c>
      <c r="CZ18" s="11">
        <f t="shared" ca="1" si="56"/>
        <v>53</v>
      </c>
      <c r="DA18" s="11">
        <f t="shared" ca="1" si="56"/>
        <v>24</v>
      </c>
      <c r="DB18" s="11">
        <f t="shared" ca="1" si="56"/>
        <v>35</v>
      </c>
      <c r="DC18" s="11">
        <f t="shared" ca="1" si="56"/>
        <v>38</v>
      </c>
      <c r="DD18" s="11">
        <f t="shared" ca="1" si="56"/>
        <v>77</v>
      </c>
      <c r="DE18" s="11">
        <f t="shared" ca="1" si="56"/>
        <v>25</v>
      </c>
      <c r="DF18" s="11">
        <f t="shared" ca="1" si="56"/>
        <v>63</v>
      </c>
      <c r="DG18" s="11">
        <f t="shared" ca="1" si="56"/>
        <v>71</v>
      </c>
      <c r="DH18" s="11">
        <f t="shared" ca="1" si="56"/>
        <v>33</v>
      </c>
      <c r="DI18" s="11">
        <f t="shared" ca="1" si="56"/>
        <v>80</v>
      </c>
      <c r="DJ18" s="11">
        <f t="shared" ca="1" si="56"/>
        <v>96</v>
      </c>
      <c r="DK18" s="11">
        <f t="shared" ca="1" si="56"/>
        <v>23</v>
      </c>
      <c r="DL18" s="11">
        <f t="shared" ca="1" si="56"/>
        <v>89</v>
      </c>
      <c r="DM18" s="11">
        <f t="shared" ca="1" si="56"/>
        <v>15</v>
      </c>
      <c r="DN18" s="11">
        <f t="shared" ca="1" si="56"/>
        <v>82</v>
      </c>
      <c r="DO18" s="11">
        <f t="shared" ca="1" si="56"/>
        <v>84</v>
      </c>
      <c r="DP18" s="11">
        <f t="shared" ca="1" si="56"/>
        <v>94</v>
      </c>
      <c r="DQ18" s="11">
        <f t="shared" ca="1" si="56"/>
        <v>47</v>
      </c>
      <c r="DR18" s="11">
        <f t="shared" ca="1" si="56"/>
        <v>34</v>
      </c>
      <c r="DS18" s="11">
        <f t="shared" ca="1" si="56"/>
        <v>44</v>
      </c>
      <c r="DT18" s="11">
        <f t="shared" ca="1" si="56"/>
        <v>10</v>
      </c>
      <c r="DU18" s="11">
        <f t="shared" ca="1" si="56"/>
        <v>23</v>
      </c>
      <c r="DV18" s="11">
        <f t="shared" ca="1" si="56"/>
        <v>71</v>
      </c>
      <c r="DW18" s="11">
        <f t="shared" ca="1" si="56"/>
        <v>52</v>
      </c>
      <c r="DX18" s="11">
        <f t="shared" ca="1" si="56"/>
        <v>37</v>
      </c>
      <c r="DY18" s="11">
        <f t="shared" ca="1" si="56"/>
        <v>94</v>
      </c>
      <c r="DZ18" s="11">
        <f t="shared" ca="1" si="56"/>
        <v>44</v>
      </c>
      <c r="EA18" s="11">
        <f t="shared" ca="1" si="56"/>
        <v>76</v>
      </c>
      <c r="EB18" s="11">
        <f t="shared" ca="1" si="56"/>
        <v>28</v>
      </c>
      <c r="EC18" s="11">
        <f t="shared" ca="1" si="56"/>
        <v>19</v>
      </c>
      <c r="ED18" s="11">
        <f t="shared" ca="1" si="56"/>
        <v>55</v>
      </c>
      <c r="EE18" s="11">
        <f t="shared" ca="1" si="56"/>
        <v>37</v>
      </c>
    </row>
    <row r="19" spans="3:135" x14ac:dyDescent="0.4">
      <c r="C19" s="7" t="s">
        <v>19</v>
      </c>
      <c r="D19" s="11">
        <f t="shared" ref="D19:AI19" ca="1" si="57">RANDBETWEEN(1, 200)</f>
        <v>55</v>
      </c>
      <c r="E19" s="11">
        <f t="shared" ca="1" si="57"/>
        <v>186</v>
      </c>
      <c r="F19" s="11">
        <f t="shared" ca="1" si="57"/>
        <v>130</v>
      </c>
      <c r="G19" s="11">
        <f t="shared" ca="1" si="57"/>
        <v>6</v>
      </c>
      <c r="H19" s="11">
        <f t="shared" ca="1" si="57"/>
        <v>39</v>
      </c>
      <c r="I19" s="11">
        <f t="shared" ca="1" si="57"/>
        <v>36</v>
      </c>
      <c r="J19" s="11">
        <f t="shared" ca="1" si="57"/>
        <v>57</v>
      </c>
      <c r="K19" s="11">
        <f t="shared" ca="1" si="57"/>
        <v>113</v>
      </c>
      <c r="L19" s="11">
        <f t="shared" ca="1" si="57"/>
        <v>55</v>
      </c>
      <c r="M19" s="11">
        <f t="shared" ca="1" si="57"/>
        <v>6</v>
      </c>
      <c r="N19" s="11">
        <f t="shared" ca="1" si="57"/>
        <v>85</v>
      </c>
      <c r="O19" s="11">
        <f t="shared" ca="1" si="57"/>
        <v>152</v>
      </c>
      <c r="P19" s="11">
        <f t="shared" ca="1" si="57"/>
        <v>194</v>
      </c>
      <c r="Q19" s="11">
        <f t="shared" ca="1" si="57"/>
        <v>63</v>
      </c>
      <c r="R19" s="11">
        <f t="shared" ca="1" si="57"/>
        <v>72</v>
      </c>
      <c r="S19" s="11">
        <f t="shared" ca="1" si="57"/>
        <v>142</v>
      </c>
      <c r="T19" s="11">
        <f t="shared" ca="1" si="57"/>
        <v>57</v>
      </c>
      <c r="U19" s="11">
        <f t="shared" ca="1" si="57"/>
        <v>92</v>
      </c>
      <c r="V19" s="11">
        <f t="shared" ca="1" si="57"/>
        <v>48</v>
      </c>
      <c r="W19" s="11">
        <f t="shared" ca="1" si="57"/>
        <v>110</v>
      </c>
      <c r="X19" s="11">
        <f t="shared" ca="1" si="57"/>
        <v>165</v>
      </c>
      <c r="Y19" s="11">
        <f t="shared" ca="1" si="57"/>
        <v>109</v>
      </c>
      <c r="Z19" s="11">
        <f t="shared" ca="1" si="57"/>
        <v>180</v>
      </c>
      <c r="AA19" s="11">
        <f t="shared" ca="1" si="57"/>
        <v>14</v>
      </c>
      <c r="AB19" s="11">
        <f t="shared" ca="1" si="57"/>
        <v>110</v>
      </c>
      <c r="AC19" s="11">
        <f t="shared" ca="1" si="57"/>
        <v>97</v>
      </c>
      <c r="AD19" s="11">
        <f t="shared" ca="1" si="57"/>
        <v>44</v>
      </c>
      <c r="AE19" s="11">
        <f t="shared" ca="1" si="57"/>
        <v>171</v>
      </c>
      <c r="AF19" s="11">
        <f t="shared" ca="1" si="57"/>
        <v>93</v>
      </c>
      <c r="AG19" s="11">
        <f t="shared" ca="1" si="57"/>
        <v>59</v>
      </c>
      <c r="AH19" s="11">
        <f t="shared" ca="1" si="57"/>
        <v>175</v>
      </c>
      <c r="AI19" s="11">
        <f t="shared" ca="1" si="57"/>
        <v>149</v>
      </c>
      <c r="AJ19" s="11">
        <f t="shared" ref="AJ19:BO19" ca="1" si="58">RANDBETWEEN(1, 200)</f>
        <v>130</v>
      </c>
      <c r="AK19" s="11">
        <f t="shared" ca="1" si="58"/>
        <v>25</v>
      </c>
      <c r="AL19" s="11">
        <f t="shared" ca="1" si="58"/>
        <v>95</v>
      </c>
      <c r="AM19" s="11">
        <f t="shared" ca="1" si="58"/>
        <v>184</v>
      </c>
      <c r="AN19" s="11">
        <f t="shared" ca="1" si="58"/>
        <v>130</v>
      </c>
      <c r="AO19" s="11">
        <f t="shared" ca="1" si="58"/>
        <v>185</v>
      </c>
      <c r="AP19" s="11">
        <f t="shared" ca="1" si="58"/>
        <v>135</v>
      </c>
      <c r="AQ19" s="11">
        <f t="shared" ca="1" si="58"/>
        <v>107</v>
      </c>
      <c r="AR19" s="11">
        <f t="shared" ca="1" si="58"/>
        <v>44</v>
      </c>
      <c r="AS19" s="11">
        <f t="shared" ca="1" si="58"/>
        <v>132</v>
      </c>
      <c r="AT19" s="11">
        <f t="shared" ca="1" si="58"/>
        <v>138</v>
      </c>
      <c r="AU19" s="11">
        <f t="shared" ca="1" si="58"/>
        <v>8</v>
      </c>
      <c r="AV19" s="11">
        <f t="shared" ca="1" si="58"/>
        <v>103</v>
      </c>
      <c r="AW19" s="11">
        <f t="shared" ca="1" si="58"/>
        <v>20</v>
      </c>
      <c r="AX19" s="11">
        <f t="shared" ca="1" si="58"/>
        <v>132</v>
      </c>
      <c r="AY19" s="11">
        <f t="shared" ca="1" si="58"/>
        <v>182</v>
      </c>
      <c r="AZ19" s="11">
        <f t="shared" ca="1" si="58"/>
        <v>158</v>
      </c>
      <c r="BA19" s="11">
        <f t="shared" ca="1" si="58"/>
        <v>90</v>
      </c>
      <c r="BB19" s="11">
        <f t="shared" ca="1" si="58"/>
        <v>103</v>
      </c>
      <c r="BC19" s="11">
        <f t="shared" ca="1" si="58"/>
        <v>162</v>
      </c>
      <c r="BD19" s="11">
        <f t="shared" ca="1" si="58"/>
        <v>169</v>
      </c>
      <c r="BE19" s="11">
        <f t="shared" ca="1" si="58"/>
        <v>62</v>
      </c>
      <c r="BF19" s="11">
        <f t="shared" ca="1" si="58"/>
        <v>22</v>
      </c>
      <c r="BG19" s="11">
        <f t="shared" ca="1" si="58"/>
        <v>161</v>
      </c>
      <c r="BH19" s="11">
        <f t="shared" ca="1" si="58"/>
        <v>178</v>
      </c>
      <c r="BI19" s="11">
        <f t="shared" ca="1" si="58"/>
        <v>127</v>
      </c>
      <c r="BJ19" s="11">
        <f t="shared" ca="1" si="58"/>
        <v>136</v>
      </c>
      <c r="BK19" s="11">
        <f t="shared" ca="1" si="58"/>
        <v>183</v>
      </c>
      <c r="BL19" s="11">
        <f t="shared" ca="1" si="58"/>
        <v>178</v>
      </c>
      <c r="BM19" s="11">
        <f t="shared" ca="1" si="58"/>
        <v>185</v>
      </c>
      <c r="BN19" s="11">
        <f t="shared" ca="1" si="58"/>
        <v>186</v>
      </c>
      <c r="BO19" s="11">
        <f t="shared" ca="1" si="58"/>
        <v>115</v>
      </c>
      <c r="BP19" s="11">
        <f t="shared" ref="BP19:CU19" ca="1" si="59">RANDBETWEEN(1, 200)</f>
        <v>84</v>
      </c>
      <c r="BQ19" s="11">
        <f t="shared" ca="1" si="59"/>
        <v>172</v>
      </c>
      <c r="BR19" s="11">
        <f t="shared" ca="1" si="59"/>
        <v>45</v>
      </c>
      <c r="BS19" s="11">
        <f t="shared" ca="1" si="59"/>
        <v>151</v>
      </c>
      <c r="BT19" s="11">
        <f t="shared" ca="1" si="59"/>
        <v>68</v>
      </c>
      <c r="BU19" s="11">
        <f t="shared" ca="1" si="59"/>
        <v>176</v>
      </c>
      <c r="BV19" s="11">
        <f t="shared" ca="1" si="59"/>
        <v>78</v>
      </c>
      <c r="BW19" s="11">
        <f t="shared" ca="1" si="59"/>
        <v>34</v>
      </c>
      <c r="BX19" s="11">
        <f t="shared" ca="1" si="59"/>
        <v>108</v>
      </c>
      <c r="BY19" s="11">
        <f t="shared" ca="1" si="59"/>
        <v>162</v>
      </c>
      <c r="BZ19" s="11">
        <f t="shared" ca="1" si="59"/>
        <v>134</v>
      </c>
      <c r="CA19" s="11">
        <f t="shared" ca="1" si="59"/>
        <v>180</v>
      </c>
      <c r="CB19" s="11">
        <f t="shared" ca="1" si="59"/>
        <v>57</v>
      </c>
      <c r="CC19" s="11">
        <f t="shared" ca="1" si="59"/>
        <v>86</v>
      </c>
      <c r="CD19" s="11">
        <f t="shared" ca="1" si="59"/>
        <v>94</v>
      </c>
      <c r="CE19" s="11">
        <f t="shared" ca="1" si="59"/>
        <v>88</v>
      </c>
      <c r="CF19" s="11">
        <f t="shared" ca="1" si="59"/>
        <v>91</v>
      </c>
      <c r="CG19" s="11">
        <f t="shared" ca="1" si="59"/>
        <v>105</v>
      </c>
      <c r="CH19" s="11">
        <f t="shared" ca="1" si="59"/>
        <v>178</v>
      </c>
      <c r="CI19" s="11">
        <f t="shared" ca="1" si="59"/>
        <v>79</v>
      </c>
      <c r="CJ19" s="11">
        <f t="shared" ca="1" si="59"/>
        <v>81</v>
      </c>
      <c r="CK19" s="11">
        <f t="shared" ca="1" si="59"/>
        <v>199</v>
      </c>
      <c r="CL19" s="11">
        <f t="shared" ca="1" si="59"/>
        <v>158</v>
      </c>
      <c r="CM19" s="11">
        <f t="shared" ca="1" si="59"/>
        <v>30</v>
      </c>
      <c r="CN19" s="11">
        <f t="shared" ca="1" si="59"/>
        <v>199</v>
      </c>
      <c r="CO19" s="11">
        <f t="shared" ca="1" si="59"/>
        <v>68</v>
      </c>
      <c r="CP19" s="11">
        <f t="shared" ca="1" si="59"/>
        <v>66</v>
      </c>
      <c r="CQ19" s="11">
        <f t="shared" ca="1" si="59"/>
        <v>64</v>
      </c>
      <c r="CR19" s="11">
        <f t="shared" ca="1" si="59"/>
        <v>195</v>
      </c>
      <c r="CS19" s="11">
        <f t="shared" ca="1" si="59"/>
        <v>193</v>
      </c>
      <c r="CT19" s="11">
        <f t="shared" ca="1" si="59"/>
        <v>117</v>
      </c>
      <c r="CU19" s="11">
        <f t="shared" ca="1" si="59"/>
        <v>36</v>
      </c>
      <c r="CV19" s="11">
        <f t="shared" ref="CV19:EE19" ca="1" si="60">RANDBETWEEN(1, 200)</f>
        <v>32</v>
      </c>
      <c r="CW19" s="11">
        <f t="shared" ca="1" si="60"/>
        <v>96</v>
      </c>
      <c r="CX19" s="11">
        <f t="shared" ca="1" si="60"/>
        <v>80</v>
      </c>
      <c r="CY19" s="11">
        <f t="shared" ca="1" si="60"/>
        <v>157</v>
      </c>
      <c r="CZ19" s="11">
        <f t="shared" ca="1" si="60"/>
        <v>40</v>
      </c>
      <c r="DA19" s="11">
        <f t="shared" ca="1" si="60"/>
        <v>143</v>
      </c>
      <c r="DB19" s="11">
        <f t="shared" ca="1" si="60"/>
        <v>168</v>
      </c>
      <c r="DC19" s="11">
        <f t="shared" ca="1" si="60"/>
        <v>8</v>
      </c>
      <c r="DD19" s="11">
        <f t="shared" ca="1" si="60"/>
        <v>85</v>
      </c>
      <c r="DE19" s="11">
        <f t="shared" ca="1" si="60"/>
        <v>29</v>
      </c>
      <c r="DF19" s="11">
        <f t="shared" ca="1" si="60"/>
        <v>60</v>
      </c>
      <c r="DG19" s="11">
        <f t="shared" ca="1" si="60"/>
        <v>14</v>
      </c>
      <c r="DH19" s="11">
        <f t="shared" ca="1" si="60"/>
        <v>159</v>
      </c>
      <c r="DI19" s="11">
        <f t="shared" ca="1" si="60"/>
        <v>48</v>
      </c>
      <c r="DJ19" s="11">
        <f t="shared" ca="1" si="60"/>
        <v>113</v>
      </c>
      <c r="DK19" s="11">
        <f t="shared" ca="1" si="60"/>
        <v>1</v>
      </c>
      <c r="DL19" s="11">
        <f t="shared" ca="1" si="60"/>
        <v>40</v>
      </c>
      <c r="DM19" s="11">
        <f t="shared" ca="1" si="60"/>
        <v>103</v>
      </c>
      <c r="DN19" s="11">
        <f t="shared" ca="1" si="60"/>
        <v>155</v>
      </c>
      <c r="DO19" s="11">
        <f t="shared" ca="1" si="60"/>
        <v>61</v>
      </c>
      <c r="DP19" s="11">
        <f t="shared" ca="1" si="60"/>
        <v>26</v>
      </c>
      <c r="DQ19" s="11">
        <f t="shared" ca="1" si="60"/>
        <v>45</v>
      </c>
      <c r="DR19" s="11">
        <f t="shared" ca="1" si="60"/>
        <v>187</v>
      </c>
      <c r="DS19" s="11">
        <f t="shared" ca="1" si="60"/>
        <v>93</v>
      </c>
      <c r="DT19" s="11">
        <f t="shared" ca="1" si="60"/>
        <v>5</v>
      </c>
      <c r="DU19" s="11">
        <f t="shared" ca="1" si="60"/>
        <v>90</v>
      </c>
      <c r="DV19" s="11">
        <f t="shared" ca="1" si="60"/>
        <v>127</v>
      </c>
      <c r="DW19" s="11">
        <f t="shared" ca="1" si="60"/>
        <v>99</v>
      </c>
      <c r="DX19" s="11">
        <f t="shared" ca="1" si="60"/>
        <v>117</v>
      </c>
      <c r="DY19" s="11">
        <f t="shared" ca="1" si="60"/>
        <v>120</v>
      </c>
      <c r="DZ19" s="11">
        <f t="shared" ca="1" si="60"/>
        <v>85</v>
      </c>
      <c r="EA19" s="11">
        <f t="shared" ca="1" si="60"/>
        <v>1</v>
      </c>
      <c r="EB19" s="11">
        <f t="shared" ca="1" si="60"/>
        <v>190</v>
      </c>
      <c r="EC19" s="11">
        <f t="shared" ca="1" si="60"/>
        <v>145</v>
      </c>
      <c r="ED19" s="11">
        <f t="shared" ca="1" si="60"/>
        <v>70</v>
      </c>
      <c r="EE19" s="11">
        <f t="shared" ca="1" si="60"/>
        <v>8</v>
      </c>
    </row>
    <row r="20" spans="3:135" x14ac:dyDescent="0.4">
      <c r="C20" s="7" t="s">
        <v>31</v>
      </c>
      <c r="D20" s="11">
        <f t="shared" ref="D20:AI20" ca="1" si="61">RANDBETWEEN(20, 45)</f>
        <v>38</v>
      </c>
      <c r="E20" s="11">
        <f t="shared" ca="1" si="61"/>
        <v>29</v>
      </c>
      <c r="F20" s="11">
        <f t="shared" ca="1" si="61"/>
        <v>37</v>
      </c>
      <c r="G20" s="11">
        <f t="shared" ca="1" si="61"/>
        <v>40</v>
      </c>
      <c r="H20" s="11">
        <f t="shared" ca="1" si="61"/>
        <v>42</v>
      </c>
      <c r="I20" s="11">
        <f t="shared" ca="1" si="61"/>
        <v>21</v>
      </c>
      <c r="J20" s="11">
        <f t="shared" ca="1" si="61"/>
        <v>20</v>
      </c>
      <c r="K20" s="11">
        <f t="shared" ca="1" si="61"/>
        <v>29</v>
      </c>
      <c r="L20" s="11">
        <f t="shared" ca="1" si="61"/>
        <v>32</v>
      </c>
      <c r="M20" s="11">
        <f t="shared" ca="1" si="61"/>
        <v>39</v>
      </c>
      <c r="N20" s="11">
        <f t="shared" ca="1" si="61"/>
        <v>40</v>
      </c>
      <c r="O20" s="11">
        <f t="shared" ca="1" si="61"/>
        <v>42</v>
      </c>
      <c r="P20" s="11">
        <f t="shared" ca="1" si="61"/>
        <v>38</v>
      </c>
      <c r="Q20" s="11">
        <f t="shared" ca="1" si="61"/>
        <v>42</v>
      </c>
      <c r="R20" s="11">
        <f t="shared" ca="1" si="61"/>
        <v>23</v>
      </c>
      <c r="S20" s="11">
        <f t="shared" ca="1" si="61"/>
        <v>30</v>
      </c>
      <c r="T20" s="11">
        <f t="shared" ca="1" si="61"/>
        <v>40</v>
      </c>
      <c r="U20" s="11">
        <f t="shared" ca="1" si="61"/>
        <v>36</v>
      </c>
      <c r="V20" s="11">
        <f t="shared" ca="1" si="61"/>
        <v>41</v>
      </c>
      <c r="W20" s="11">
        <f t="shared" ca="1" si="61"/>
        <v>41</v>
      </c>
      <c r="X20" s="11">
        <f t="shared" ca="1" si="61"/>
        <v>44</v>
      </c>
      <c r="Y20" s="11">
        <f t="shared" ca="1" si="61"/>
        <v>37</v>
      </c>
      <c r="Z20" s="11">
        <f t="shared" ca="1" si="61"/>
        <v>20</v>
      </c>
      <c r="AA20" s="11">
        <f t="shared" ca="1" si="61"/>
        <v>25</v>
      </c>
      <c r="AB20" s="11">
        <f t="shared" ca="1" si="61"/>
        <v>33</v>
      </c>
      <c r="AC20" s="11">
        <f t="shared" ca="1" si="61"/>
        <v>41</v>
      </c>
      <c r="AD20" s="11">
        <f t="shared" ca="1" si="61"/>
        <v>45</v>
      </c>
      <c r="AE20" s="11">
        <f t="shared" ca="1" si="61"/>
        <v>31</v>
      </c>
      <c r="AF20" s="11">
        <f t="shared" ca="1" si="61"/>
        <v>37</v>
      </c>
      <c r="AG20" s="11">
        <f t="shared" ca="1" si="61"/>
        <v>20</v>
      </c>
      <c r="AH20" s="11">
        <f t="shared" ca="1" si="61"/>
        <v>22</v>
      </c>
      <c r="AI20" s="11">
        <f t="shared" ca="1" si="61"/>
        <v>23</v>
      </c>
      <c r="AJ20" s="11">
        <f t="shared" ref="AJ20:BO20" ca="1" si="62">RANDBETWEEN(20, 45)</f>
        <v>40</v>
      </c>
      <c r="AK20" s="11">
        <f t="shared" ca="1" si="62"/>
        <v>27</v>
      </c>
      <c r="AL20" s="11">
        <f t="shared" ca="1" si="62"/>
        <v>23</v>
      </c>
      <c r="AM20" s="11">
        <f t="shared" ca="1" si="62"/>
        <v>42</v>
      </c>
      <c r="AN20" s="11">
        <f t="shared" ca="1" si="62"/>
        <v>36</v>
      </c>
      <c r="AO20" s="11">
        <f t="shared" ca="1" si="62"/>
        <v>28</v>
      </c>
      <c r="AP20" s="11">
        <f t="shared" ca="1" si="62"/>
        <v>31</v>
      </c>
      <c r="AQ20" s="11">
        <f t="shared" ca="1" si="62"/>
        <v>43</v>
      </c>
      <c r="AR20" s="11">
        <f t="shared" ca="1" si="62"/>
        <v>35</v>
      </c>
      <c r="AS20" s="11">
        <f t="shared" ca="1" si="62"/>
        <v>37</v>
      </c>
      <c r="AT20" s="11">
        <f t="shared" ca="1" si="62"/>
        <v>29</v>
      </c>
      <c r="AU20" s="11">
        <f t="shared" ca="1" si="62"/>
        <v>42</v>
      </c>
      <c r="AV20" s="11">
        <f t="shared" ca="1" si="62"/>
        <v>41</v>
      </c>
      <c r="AW20" s="11">
        <f t="shared" ca="1" si="62"/>
        <v>20</v>
      </c>
      <c r="AX20" s="11">
        <f t="shared" ca="1" si="62"/>
        <v>42</v>
      </c>
      <c r="AY20" s="11">
        <f t="shared" ca="1" si="62"/>
        <v>35</v>
      </c>
      <c r="AZ20" s="11">
        <f t="shared" ca="1" si="62"/>
        <v>28</v>
      </c>
      <c r="BA20" s="11">
        <f t="shared" ca="1" si="62"/>
        <v>21</v>
      </c>
      <c r="BB20" s="11">
        <f t="shared" ca="1" si="62"/>
        <v>29</v>
      </c>
      <c r="BC20" s="11">
        <f t="shared" ca="1" si="62"/>
        <v>36</v>
      </c>
      <c r="BD20" s="11">
        <f t="shared" ca="1" si="62"/>
        <v>40</v>
      </c>
      <c r="BE20" s="11">
        <f t="shared" ca="1" si="62"/>
        <v>33</v>
      </c>
      <c r="BF20" s="11">
        <f t="shared" ca="1" si="62"/>
        <v>32</v>
      </c>
      <c r="BG20" s="11">
        <f t="shared" ca="1" si="62"/>
        <v>44</v>
      </c>
      <c r="BH20" s="11">
        <f t="shared" ca="1" si="62"/>
        <v>31</v>
      </c>
      <c r="BI20" s="11">
        <f t="shared" ca="1" si="62"/>
        <v>33</v>
      </c>
      <c r="BJ20" s="11">
        <f t="shared" ca="1" si="62"/>
        <v>35</v>
      </c>
      <c r="BK20" s="11">
        <f t="shared" ca="1" si="62"/>
        <v>30</v>
      </c>
      <c r="BL20" s="11">
        <f t="shared" ca="1" si="62"/>
        <v>23</v>
      </c>
      <c r="BM20" s="11">
        <f t="shared" ca="1" si="62"/>
        <v>23</v>
      </c>
      <c r="BN20" s="11">
        <f t="shared" ca="1" si="62"/>
        <v>43</v>
      </c>
      <c r="BO20" s="11">
        <f t="shared" ca="1" si="62"/>
        <v>22</v>
      </c>
      <c r="BP20" s="11">
        <f t="shared" ref="BP20:CU20" ca="1" si="63">RANDBETWEEN(20, 45)</f>
        <v>37</v>
      </c>
      <c r="BQ20" s="11">
        <f t="shared" ca="1" si="63"/>
        <v>35</v>
      </c>
      <c r="BR20" s="11">
        <f t="shared" ca="1" si="63"/>
        <v>35</v>
      </c>
      <c r="BS20" s="11">
        <f t="shared" ca="1" si="63"/>
        <v>42</v>
      </c>
      <c r="BT20" s="11">
        <f t="shared" ca="1" si="63"/>
        <v>22</v>
      </c>
      <c r="BU20" s="11">
        <f t="shared" ca="1" si="63"/>
        <v>44</v>
      </c>
      <c r="BV20" s="11">
        <f t="shared" ca="1" si="63"/>
        <v>45</v>
      </c>
      <c r="BW20" s="11">
        <f t="shared" ca="1" si="63"/>
        <v>31</v>
      </c>
      <c r="BX20" s="11">
        <f t="shared" ca="1" si="63"/>
        <v>34</v>
      </c>
      <c r="BY20" s="11">
        <f t="shared" ca="1" si="63"/>
        <v>35</v>
      </c>
      <c r="BZ20" s="11">
        <f t="shared" ca="1" si="63"/>
        <v>44</v>
      </c>
      <c r="CA20" s="11">
        <f t="shared" ca="1" si="63"/>
        <v>30</v>
      </c>
      <c r="CB20" s="11">
        <f t="shared" ca="1" si="63"/>
        <v>29</v>
      </c>
      <c r="CC20" s="11">
        <f t="shared" ca="1" si="63"/>
        <v>44</v>
      </c>
      <c r="CD20" s="11">
        <f t="shared" ca="1" si="63"/>
        <v>24</v>
      </c>
      <c r="CE20" s="11">
        <f t="shared" ca="1" si="63"/>
        <v>37</v>
      </c>
      <c r="CF20" s="11">
        <f t="shared" ca="1" si="63"/>
        <v>30</v>
      </c>
      <c r="CG20" s="11">
        <f t="shared" ca="1" si="63"/>
        <v>43</v>
      </c>
      <c r="CH20" s="11">
        <f t="shared" ca="1" si="63"/>
        <v>43</v>
      </c>
      <c r="CI20" s="11">
        <f t="shared" ca="1" si="63"/>
        <v>29</v>
      </c>
      <c r="CJ20" s="11">
        <f t="shared" ca="1" si="63"/>
        <v>33</v>
      </c>
      <c r="CK20" s="11">
        <f t="shared" ca="1" si="63"/>
        <v>23</v>
      </c>
      <c r="CL20" s="11">
        <f t="shared" ca="1" si="63"/>
        <v>43</v>
      </c>
      <c r="CM20" s="11">
        <f t="shared" ca="1" si="63"/>
        <v>25</v>
      </c>
      <c r="CN20" s="11">
        <f t="shared" ca="1" si="63"/>
        <v>30</v>
      </c>
      <c r="CO20" s="11">
        <f t="shared" ca="1" si="63"/>
        <v>42</v>
      </c>
      <c r="CP20" s="11">
        <f t="shared" ca="1" si="63"/>
        <v>35</v>
      </c>
      <c r="CQ20" s="11">
        <f t="shared" ca="1" si="63"/>
        <v>44</v>
      </c>
      <c r="CR20" s="11">
        <f t="shared" ca="1" si="63"/>
        <v>36</v>
      </c>
      <c r="CS20" s="11">
        <f t="shared" ca="1" si="63"/>
        <v>26</v>
      </c>
      <c r="CT20" s="11">
        <f t="shared" ca="1" si="63"/>
        <v>25</v>
      </c>
      <c r="CU20" s="11">
        <f t="shared" ca="1" si="63"/>
        <v>45</v>
      </c>
      <c r="CV20" s="11">
        <f t="shared" ref="CV20:DQ20" ca="1" si="64">RANDBETWEEN(20, 45)</f>
        <v>27</v>
      </c>
      <c r="CW20" s="11">
        <f t="shared" ca="1" si="64"/>
        <v>24</v>
      </c>
      <c r="CX20" s="11">
        <f t="shared" ca="1" si="64"/>
        <v>30</v>
      </c>
      <c r="CY20" s="11">
        <f t="shared" ca="1" si="64"/>
        <v>42</v>
      </c>
      <c r="CZ20" s="11">
        <f t="shared" ca="1" si="64"/>
        <v>41</v>
      </c>
      <c r="DA20" s="11">
        <f t="shared" ca="1" si="64"/>
        <v>21</v>
      </c>
      <c r="DB20" s="11">
        <f t="shared" ca="1" si="64"/>
        <v>22</v>
      </c>
      <c r="DC20" s="11">
        <f t="shared" ca="1" si="64"/>
        <v>38</v>
      </c>
      <c r="DD20" s="11">
        <f t="shared" ca="1" si="64"/>
        <v>28</v>
      </c>
      <c r="DE20" s="11">
        <f t="shared" ca="1" si="64"/>
        <v>34</v>
      </c>
      <c r="DF20" s="11">
        <f t="shared" ca="1" si="64"/>
        <v>29</v>
      </c>
      <c r="DG20" s="11">
        <f t="shared" ca="1" si="64"/>
        <v>31</v>
      </c>
      <c r="DH20" s="11">
        <f t="shared" ca="1" si="64"/>
        <v>24</v>
      </c>
      <c r="DI20" s="11">
        <f t="shared" ca="1" si="64"/>
        <v>29</v>
      </c>
      <c r="DJ20" s="11">
        <f t="shared" ca="1" si="64"/>
        <v>26</v>
      </c>
      <c r="DK20" s="11">
        <f t="shared" ca="1" si="64"/>
        <v>27</v>
      </c>
      <c r="DL20" s="11">
        <f t="shared" ca="1" si="64"/>
        <v>24</v>
      </c>
      <c r="DM20" s="11">
        <f t="shared" ca="1" si="64"/>
        <v>23</v>
      </c>
      <c r="DN20" s="11">
        <f t="shared" ca="1" si="64"/>
        <v>24</v>
      </c>
      <c r="DO20" s="11">
        <f t="shared" ca="1" si="64"/>
        <v>44</v>
      </c>
      <c r="DP20" s="11">
        <f t="shared" ca="1" si="64"/>
        <v>44</v>
      </c>
      <c r="DQ20" s="11">
        <f t="shared" ca="1" si="64"/>
        <v>38</v>
      </c>
      <c r="DR20" s="11">
        <f ca="1">RAND()+1</f>
        <v>1.7855643652388711</v>
      </c>
      <c r="DS20" s="11">
        <f t="shared" ref="DS20:EE20" ca="1" si="65">RANDBETWEEN(20, 45)</f>
        <v>21</v>
      </c>
      <c r="DT20" s="11">
        <f t="shared" ca="1" si="65"/>
        <v>30</v>
      </c>
      <c r="DU20" s="11">
        <f t="shared" ca="1" si="65"/>
        <v>40</v>
      </c>
      <c r="DV20" s="11">
        <f t="shared" ca="1" si="65"/>
        <v>37</v>
      </c>
      <c r="DW20" s="11">
        <f t="shared" ca="1" si="65"/>
        <v>21</v>
      </c>
      <c r="DX20" s="11">
        <f t="shared" ca="1" si="65"/>
        <v>36</v>
      </c>
      <c r="DY20" s="11">
        <f t="shared" ca="1" si="65"/>
        <v>23</v>
      </c>
      <c r="DZ20" s="11">
        <f t="shared" ca="1" si="65"/>
        <v>22</v>
      </c>
      <c r="EA20" s="11">
        <f t="shared" ca="1" si="65"/>
        <v>39</v>
      </c>
      <c r="EB20" s="11">
        <f t="shared" ca="1" si="65"/>
        <v>35</v>
      </c>
      <c r="EC20" s="11">
        <f t="shared" ca="1" si="65"/>
        <v>35</v>
      </c>
      <c r="ED20" s="11">
        <f t="shared" ca="1" si="65"/>
        <v>30</v>
      </c>
      <c r="EE20" s="11">
        <f t="shared" ca="1" si="65"/>
        <v>42</v>
      </c>
    </row>
    <row r="21" spans="3:135" x14ac:dyDescent="0.4">
      <c r="C21" s="7" t="s">
        <v>32</v>
      </c>
      <c r="D21" s="11">
        <f t="shared" ref="D21:AI21" ca="1" si="66">RAND()*0.224</f>
        <v>0.16279607645319719</v>
      </c>
      <c r="E21" s="11">
        <f t="shared" ca="1" si="66"/>
        <v>0.10303152101281082</v>
      </c>
      <c r="F21" s="11">
        <f t="shared" ca="1" si="66"/>
        <v>4.5646005387840249E-2</v>
      </c>
      <c r="G21" s="11">
        <f t="shared" ca="1" si="66"/>
        <v>0.16775128778795007</v>
      </c>
      <c r="H21" s="11">
        <f t="shared" ca="1" si="66"/>
        <v>4.3235560784393084E-2</v>
      </c>
      <c r="I21" s="11">
        <f t="shared" ca="1" si="66"/>
        <v>0.22289524854258749</v>
      </c>
      <c r="J21" s="11">
        <f t="shared" ca="1" si="66"/>
        <v>0.14141817396615786</v>
      </c>
      <c r="K21" s="11">
        <f t="shared" ca="1" si="66"/>
        <v>5.9202063529908061E-2</v>
      </c>
      <c r="L21" s="11">
        <f t="shared" ca="1" si="66"/>
        <v>0.1823495006390389</v>
      </c>
      <c r="M21" s="11">
        <f t="shared" ca="1" si="66"/>
        <v>4.0619158638716638E-2</v>
      </c>
      <c r="N21" s="11">
        <f t="shared" ca="1" si="66"/>
        <v>2.4236870084382505E-2</v>
      </c>
      <c r="O21" s="11">
        <f t="shared" ca="1" si="66"/>
        <v>0.13055859960207078</v>
      </c>
      <c r="P21" s="11">
        <f t="shared" ca="1" si="66"/>
        <v>2.154426710805793E-2</v>
      </c>
      <c r="Q21" s="11">
        <f t="shared" ca="1" si="66"/>
        <v>8.1737886992652733E-2</v>
      </c>
      <c r="R21" s="11">
        <f t="shared" ca="1" si="66"/>
        <v>0.10948007919638786</v>
      </c>
      <c r="S21" s="11">
        <f t="shared" ca="1" si="66"/>
        <v>0.11862524735727319</v>
      </c>
      <c r="T21" s="11">
        <f t="shared" ca="1" si="66"/>
        <v>0.14652489661628329</v>
      </c>
      <c r="U21" s="11">
        <f t="shared" ca="1" si="66"/>
        <v>0.16182860161091997</v>
      </c>
      <c r="V21" s="11">
        <f t="shared" ca="1" si="66"/>
        <v>6.1229007453733218E-3</v>
      </c>
      <c r="W21" s="11">
        <f t="shared" ca="1" si="66"/>
        <v>0.19750483063373364</v>
      </c>
      <c r="X21" s="11">
        <f t="shared" ca="1" si="66"/>
        <v>0.21699749662362924</v>
      </c>
      <c r="Y21" s="11">
        <f t="shared" ca="1" si="66"/>
        <v>4.3181424482741405E-2</v>
      </c>
      <c r="Z21" s="11">
        <f t="shared" ca="1" si="66"/>
        <v>2.276557714532175E-2</v>
      </c>
      <c r="AA21" s="11">
        <f t="shared" ca="1" si="66"/>
        <v>2.5565930855034422E-2</v>
      </c>
      <c r="AB21" s="11">
        <f t="shared" ca="1" si="66"/>
        <v>0.16479838361997279</v>
      </c>
      <c r="AC21" s="11">
        <f t="shared" ca="1" si="66"/>
        <v>3.0694059368474622E-2</v>
      </c>
      <c r="AD21" s="11">
        <f t="shared" ca="1" si="66"/>
        <v>0.21756619745721403</v>
      </c>
      <c r="AE21" s="11">
        <f t="shared" ca="1" si="66"/>
        <v>7.4868283546834613E-2</v>
      </c>
      <c r="AF21" s="11">
        <f t="shared" ca="1" si="66"/>
        <v>0.19785882044657177</v>
      </c>
      <c r="AG21" s="11">
        <f t="shared" ca="1" si="66"/>
        <v>0.14140913408636199</v>
      </c>
      <c r="AH21" s="11">
        <f t="shared" ca="1" si="66"/>
        <v>3.0738205624087481E-2</v>
      </c>
      <c r="AI21" s="11">
        <f t="shared" ca="1" si="66"/>
        <v>0.11226306284622423</v>
      </c>
      <c r="AJ21" s="11">
        <f t="shared" ref="AJ21:BO21" ca="1" si="67">RAND()*0.224</f>
        <v>0.10610297834788986</v>
      </c>
      <c r="AK21" s="11">
        <f t="shared" ca="1" si="67"/>
        <v>0.1853418316521665</v>
      </c>
      <c r="AL21" s="11">
        <f t="shared" ca="1" si="67"/>
        <v>1.5927963965698844E-3</v>
      </c>
      <c r="AM21" s="11">
        <f t="shared" ca="1" si="67"/>
        <v>5.1179996089702785E-2</v>
      </c>
      <c r="AN21" s="11">
        <f t="shared" ca="1" si="67"/>
        <v>0.12475388607370427</v>
      </c>
      <c r="AO21" s="11">
        <f t="shared" ca="1" si="67"/>
        <v>0.15329744903399573</v>
      </c>
      <c r="AP21" s="11">
        <f t="shared" ca="1" si="67"/>
        <v>0.1244782998604602</v>
      </c>
      <c r="AQ21" s="11">
        <f t="shared" ca="1" si="67"/>
        <v>0.20831716079049883</v>
      </c>
      <c r="AR21" s="11">
        <f t="shared" ca="1" si="67"/>
        <v>0.13382966845020225</v>
      </c>
      <c r="AS21" s="11">
        <f t="shared" ca="1" si="67"/>
        <v>5.3506886013074115E-2</v>
      </c>
      <c r="AT21" s="11">
        <f t="shared" ca="1" si="67"/>
        <v>0.12897337992115795</v>
      </c>
      <c r="AU21" s="11">
        <f t="shared" ca="1" si="67"/>
        <v>0.12022701522891169</v>
      </c>
      <c r="AV21" s="11">
        <f t="shared" ca="1" si="67"/>
        <v>1.3766499119057987E-2</v>
      </c>
      <c r="AW21" s="11">
        <f t="shared" ca="1" si="67"/>
        <v>0.16509648783617556</v>
      </c>
      <c r="AX21" s="11">
        <f t="shared" ca="1" si="67"/>
        <v>0.16580421586574184</v>
      </c>
      <c r="AY21" s="11">
        <f t="shared" ca="1" si="67"/>
        <v>0.1744029799580436</v>
      </c>
      <c r="AZ21" s="11">
        <f t="shared" ca="1" si="67"/>
        <v>5.3344749919978951E-2</v>
      </c>
      <c r="BA21" s="11">
        <f t="shared" ca="1" si="67"/>
        <v>1.2575623925902892E-2</v>
      </c>
      <c r="BB21" s="11">
        <f t="shared" ca="1" si="67"/>
        <v>0.15081686488057891</v>
      </c>
      <c r="BC21" s="11">
        <f t="shared" ca="1" si="67"/>
        <v>8.4632416728961074E-2</v>
      </c>
      <c r="BD21" s="11">
        <f t="shared" ca="1" si="67"/>
        <v>2.4629307021678103E-2</v>
      </c>
      <c r="BE21" s="11">
        <f t="shared" ca="1" si="67"/>
        <v>5.0540542604705578E-2</v>
      </c>
      <c r="BF21" s="11">
        <f t="shared" ca="1" si="67"/>
        <v>0.17534243035212208</v>
      </c>
      <c r="BG21" s="11">
        <f t="shared" ca="1" si="67"/>
        <v>0.20227647239706253</v>
      </c>
      <c r="BH21" s="11">
        <f t="shared" ca="1" si="67"/>
        <v>0.20532472596701218</v>
      </c>
      <c r="BI21" s="11">
        <f t="shared" ca="1" si="67"/>
        <v>6.0107977481843926E-2</v>
      </c>
      <c r="BJ21" s="11">
        <f t="shared" ca="1" si="67"/>
        <v>0.19925086141768689</v>
      </c>
      <c r="BK21" s="11">
        <f t="shared" ca="1" si="67"/>
        <v>0.2097220867226523</v>
      </c>
      <c r="BL21" s="11">
        <f t="shared" ca="1" si="67"/>
        <v>5.5683172148047647E-2</v>
      </c>
      <c r="BM21" s="11">
        <f t="shared" ca="1" si="67"/>
        <v>5.4888170819395926E-2</v>
      </c>
      <c r="BN21" s="11">
        <f t="shared" ca="1" si="67"/>
        <v>8.6766797335119925E-2</v>
      </c>
      <c r="BO21" s="11">
        <f t="shared" ca="1" si="67"/>
        <v>2.6263614113007969E-2</v>
      </c>
      <c r="BP21" s="11">
        <f t="shared" ref="BP21:CU21" ca="1" si="68">RAND()*0.224</f>
        <v>3.6460621127467917E-2</v>
      </c>
      <c r="BQ21" s="11">
        <f t="shared" ca="1" si="68"/>
        <v>4.1314300068528174E-2</v>
      </c>
      <c r="BR21" s="11">
        <f t="shared" ca="1" si="68"/>
        <v>0.10616902067037345</v>
      </c>
      <c r="BS21" s="11">
        <f t="shared" ca="1" si="68"/>
        <v>0.21462883123306292</v>
      </c>
      <c r="BT21" s="11">
        <f t="shared" ca="1" si="68"/>
        <v>7.5812517006828811E-2</v>
      </c>
      <c r="BU21" s="11">
        <f t="shared" ca="1" si="68"/>
        <v>0.14997002238558577</v>
      </c>
      <c r="BV21" s="11">
        <f t="shared" ca="1" si="68"/>
        <v>0.11355515516638644</v>
      </c>
      <c r="BW21" s="11">
        <f t="shared" ca="1" si="68"/>
        <v>0.20103389216918047</v>
      </c>
      <c r="BX21" s="11">
        <f t="shared" ca="1" si="68"/>
        <v>4.694997585627627E-2</v>
      </c>
      <c r="BY21" s="11">
        <f t="shared" ca="1" si="68"/>
        <v>0.1794848993434133</v>
      </c>
      <c r="BZ21" s="11">
        <f t="shared" ca="1" si="68"/>
        <v>0.18488907277749234</v>
      </c>
      <c r="CA21" s="11">
        <f t="shared" ca="1" si="68"/>
        <v>8.7848064051815871E-3</v>
      </c>
      <c r="CB21" s="11">
        <f t="shared" ca="1" si="68"/>
        <v>8.0435608282355284E-2</v>
      </c>
      <c r="CC21" s="11">
        <f t="shared" ca="1" si="68"/>
        <v>7.3043903852849812E-2</v>
      </c>
      <c r="CD21" s="11">
        <f t="shared" ca="1" si="68"/>
        <v>6.0112001553795827E-2</v>
      </c>
      <c r="CE21" s="11">
        <f t="shared" ca="1" si="68"/>
        <v>6.8820736660990464E-2</v>
      </c>
      <c r="CF21" s="11">
        <f t="shared" ca="1" si="68"/>
        <v>9.033882545096468E-2</v>
      </c>
      <c r="CG21" s="11">
        <f t="shared" ca="1" si="68"/>
        <v>4.1062152237388148E-2</v>
      </c>
      <c r="CH21" s="11">
        <f t="shared" ca="1" si="68"/>
        <v>9.7217827519799696E-2</v>
      </c>
      <c r="CI21" s="11">
        <f t="shared" ca="1" si="68"/>
        <v>0.12183901312696054</v>
      </c>
      <c r="CJ21" s="11">
        <f t="shared" ca="1" si="68"/>
        <v>1.4752213710992791E-2</v>
      </c>
      <c r="CK21" s="11">
        <f t="shared" ca="1" si="68"/>
        <v>0.18953062015878766</v>
      </c>
      <c r="CL21" s="11">
        <f t="shared" ca="1" si="68"/>
        <v>0.12875781572112233</v>
      </c>
      <c r="CM21" s="11">
        <f t="shared" ca="1" si="68"/>
        <v>0.1218140315927673</v>
      </c>
      <c r="CN21" s="11">
        <f t="shared" ca="1" si="68"/>
        <v>3.4124250397129685E-2</v>
      </c>
      <c r="CO21" s="11">
        <f t="shared" ca="1" si="68"/>
        <v>0.19176761507282084</v>
      </c>
      <c r="CP21" s="11">
        <f t="shared" ca="1" si="68"/>
        <v>0.1246695771267827</v>
      </c>
      <c r="CQ21" s="11">
        <f t="shared" ca="1" si="68"/>
        <v>4.4474996731675764E-2</v>
      </c>
      <c r="CR21" s="11">
        <f t="shared" ca="1" si="68"/>
        <v>5.5726437645048116E-2</v>
      </c>
      <c r="CS21" s="11">
        <f t="shared" ca="1" si="68"/>
        <v>0.19572061698919882</v>
      </c>
      <c r="CT21" s="11">
        <f t="shared" ca="1" si="68"/>
        <v>0.18643721611552527</v>
      </c>
      <c r="CU21" s="11">
        <f t="shared" ca="1" si="68"/>
        <v>4.5715793070908291E-2</v>
      </c>
      <c r="CV21" s="11">
        <f t="shared" ref="CV21:EE21" ca="1" si="69">RAND()*0.224</f>
        <v>0.2013808243937357</v>
      </c>
      <c r="CW21" s="11">
        <f t="shared" ca="1" si="69"/>
        <v>0.17741826951750822</v>
      </c>
      <c r="CX21" s="11">
        <f t="shared" ca="1" si="69"/>
        <v>0.1585169228792695</v>
      </c>
      <c r="CY21" s="11">
        <f t="shared" ca="1" si="69"/>
        <v>6.1826368971309271E-4</v>
      </c>
      <c r="CZ21" s="11">
        <f t="shared" ca="1" si="69"/>
        <v>0.1277616827503191</v>
      </c>
      <c r="DA21" s="11">
        <f t="shared" ca="1" si="69"/>
        <v>3.5694411584979095E-2</v>
      </c>
      <c r="DB21" s="11">
        <f t="shared" ca="1" si="69"/>
        <v>0.18134111289638419</v>
      </c>
      <c r="DC21" s="11">
        <f t="shared" ca="1" si="69"/>
        <v>2.2683052085146833E-2</v>
      </c>
      <c r="DD21" s="11">
        <f t="shared" ca="1" si="69"/>
        <v>2.1642128724588615E-2</v>
      </c>
      <c r="DE21" s="11">
        <f t="shared" ca="1" si="69"/>
        <v>0.11602671924266082</v>
      </c>
      <c r="DF21" s="11">
        <f t="shared" ca="1" si="69"/>
        <v>8.3986357813021717E-2</v>
      </c>
      <c r="DG21" s="11">
        <f t="shared" ca="1" si="69"/>
        <v>8.9537387445886449E-2</v>
      </c>
      <c r="DH21" s="11">
        <f t="shared" ca="1" si="69"/>
        <v>0.16360805511345597</v>
      </c>
      <c r="DI21" s="11">
        <f t="shared" ca="1" si="69"/>
        <v>6.4478034461576427E-4</v>
      </c>
      <c r="DJ21" s="11">
        <f t="shared" ca="1" si="69"/>
        <v>0.17278299435050731</v>
      </c>
      <c r="DK21" s="11">
        <f t="shared" ca="1" si="69"/>
        <v>0.11590753797258585</v>
      </c>
      <c r="DL21" s="11">
        <f t="shared" ca="1" si="69"/>
        <v>6.6682737826578228E-2</v>
      </c>
      <c r="DM21" s="11">
        <f t="shared" ca="1" si="69"/>
        <v>3.9576718087150162E-3</v>
      </c>
      <c r="DN21" s="11">
        <f t="shared" ca="1" si="69"/>
        <v>9.8520965263322449E-2</v>
      </c>
      <c r="DO21" s="11">
        <f t="shared" ca="1" si="69"/>
        <v>2.1681274961456873E-2</v>
      </c>
      <c r="DP21" s="11">
        <f t="shared" ca="1" si="69"/>
        <v>0.21818887795466596</v>
      </c>
      <c r="DQ21" s="11">
        <f t="shared" ca="1" si="69"/>
        <v>0.17015297682611372</v>
      </c>
      <c r="DR21" s="11">
        <f t="shared" ca="1" si="69"/>
        <v>9.1177906572940629E-2</v>
      </c>
      <c r="DS21" s="11">
        <f t="shared" ca="1" si="69"/>
        <v>4.2743547415375435E-2</v>
      </c>
      <c r="DT21" s="11">
        <f t="shared" ca="1" si="69"/>
        <v>0.16271483677391849</v>
      </c>
      <c r="DU21" s="11">
        <f t="shared" ca="1" si="69"/>
        <v>0.20676357960045311</v>
      </c>
      <c r="DV21" s="11">
        <f t="shared" ca="1" si="69"/>
        <v>0.11385930820732131</v>
      </c>
      <c r="DW21" s="11">
        <f t="shared" ca="1" si="69"/>
        <v>9.8571719745018008E-2</v>
      </c>
      <c r="DX21" s="11">
        <f t="shared" ca="1" si="69"/>
        <v>0.2216151853439039</v>
      </c>
      <c r="DY21" s="11">
        <f t="shared" ca="1" si="69"/>
        <v>0.22042986353535921</v>
      </c>
      <c r="DZ21" s="11">
        <f t="shared" ca="1" si="69"/>
        <v>0.19425679137543889</v>
      </c>
      <c r="EA21" s="11">
        <f t="shared" ca="1" si="69"/>
        <v>0.17848331826885858</v>
      </c>
      <c r="EB21" s="11">
        <f t="shared" ca="1" si="69"/>
        <v>0.21084258945238035</v>
      </c>
      <c r="EC21" s="11">
        <f t="shared" ca="1" si="69"/>
        <v>0.11504188035456848</v>
      </c>
      <c r="ED21" s="11">
        <f t="shared" ca="1" si="69"/>
        <v>4.9722715633929784E-2</v>
      </c>
      <c r="EE21" s="11">
        <f t="shared" ca="1" si="69"/>
        <v>9.3585425065071844E-3</v>
      </c>
    </row>
    <row r="22" spans="3:135" x14ac:dyDescent="0.4">
      <c r="C22" s="7" t="s">
        <v>33</v>
      </c>
      <c r="D22" s="11">
        <f t="shared" ref="D22:AI22" ca="1" si="70">RAND()</f>
        <v>0.40773065090550153</v>
      </c>
      <c r="E22" s="11">
        <f t="shared" ca="1" si="70"/>
        <v>0.31573186114152274</v>
      </c>
      <c r="F22" s="11">
        <f t="shared" ca="1" si="70"/>
        <v>0.37967874865503959</v>
      </c>
      <c r="G22" s="11">
        <f t="shared" ca="1" si="70"/>
        <v>0.73025962068700023</v>
      </c>
      <c r="H22" s="11">
        <f t="shared" ca="1" si="70"/>
        <v>0.39623716844973467</v>
      </c>
      <c r="I22" s="11">
        <f t="shared" ca="1" si="70"/>
        <v>0.86594208347694834</v>
      </c>
      <c r="J22" s="11">
        <f t="shared" ca="1" si="70"/>
        <v>0.60664628330034809</v>
      </c>
      <c r="K22" s="11">
        <f t="shared" ca="1" si="70"/>
        <v>0.15712760787529156</v>
      </c>
      <c r="L22" s="11">
        <f t="shared" ca="1" si="70"/>
        <v>1.5616839176415542E-2</v>
      </c>
      <c r="M22" s="11">
        <f t="shared" ca="1" si="70"/>
        <v>0.30719840089506456</v>
      </c>
      <c r="N22" s="11">
        <f t="shared" ca="1" si="70"/>
        <v>0.97553637845529229</v>
      </c>
      <c r="O22" s="11">
        <f t="shared" ca="1" si="70"/>
        <v>7.8674496074795708E-2</v>
      </c>
      <c r="P22" s="11">
        <f t="shared" ca="1" si="70"/>
        <v>0.79661797497134035</v>
      </c>
      <c r="Q22" s="11">
        <f t="shared" ca="1" si="70"/>
        <v>0.15272384818130302</v>
      </c>
      <c r="R22" s="11">
        <f t="shared" ca="1" si="70"/>
        <v>0.90842357722917899</v>
      </c>
      <c r="S22" s="11">
        <f t="shared" ca="1" si="70"/>
        <v>0.35863823661091143</v>
      </c>
      <c r="T22" s="11">
        <f t="shared" ca="1" si="70"/>
        <v>0.61090446594212211</v>
      </c>
      <c r="U22" s="11">
        <f t="shared" ca="1" si="70"/>
        <v>4.834261591878386E-4</v>
      </c>
      <c r="V22" s="11">
        <f t="shared" ca="1" si="70"/>
        <v>0.75147441926064562</v>
      </c>
      <c r="W22" s="11">
        <f t="shared" ca="1" si="70"/>
        <v>0.94609637980894234</v>
      </c>
      <c r="X22" s="11">
        <f t="shared" ca="1" si="70"/>
        <v>0.54425554455687142</v>
      </c>
      <c r="Y22" s="11">
        <f t="shared" ca="1" si="70"/>
        <v>0.30316024846171463</v>
      </c>
      <c r="Z22" s="11">
        <f t="shared" ca="1" si="70"/>
        <v>0.46293424837637975</v>
      </c>
      <c r="AA22" s="11">
        <f t="shared" ca="1" si="70"/>
        <v>3.3795406553942087E-2</v>
      </c>
      <c r="AB22" s="11">
        <f t="shared" ca="1" si="70"/>
        <v>0.78227649288893086</v>
      </c>
      <c r="AC22" s="11">
        <f t="shared" ca="1" si="70"/>
        <v>0.59283971590472972</v>
      </c>
      <c r="AD22" s="11">
        <f t="shared" ca="1" si="70"/>
        <v>0.55992789720202119</v>
      </c>
      <c r="AE22" s="11">
        <f t="shared" ca="1" si="70"/>
        <v>0.30172215687420856</v>
      </c>
      <c r="AF22" s="11">
        <f t="shared" ca="1" si="70"/>
        <v>2.1428009661168534E-2</v>
      </c>
      <c r="AG22" s="11">
        <f t="shared" ca="1" si="70"/>
        <v>0.93533364519012863</v>
      </c>
      <c r="AH22" s="11">
        <f t="shared" ca="1" si="70"/>
        <v>0.85352193457995917</v>
      </c>
      <c r="AI22" s="11">
        <f t="shared" ca="1" si="70"/>
        <v>0.51134807666247117</v>
      </c>
      <c r="AJ22" s="11">
        <f t="shared" ref="AJ22:BO22" ca="1" si="71">RAND()</f>
        <v>6.1551957617383302E-2</v>
      </c>
      <c r="AK22" s="11">
        <f t="shared" ca="1" si="71"/>
        <v>0.17521182547183156</v>
      </c>
      <c r="AL22" s="11">
        <f t="shared" ca="1" si="71"/>
        <v>0.12602587855433722</v>
      </c>
      <c r="AM22" s="11">
        <f t="shared" ca="1" si="71"/>
        <v>0.12263817833834845</v>
      </c>
      <c r="AN22" s="11">
        <f t="shared" ca="1" si="71"/>
        <v>0.32956024520853877</v>
      </c>
      <c r="AO22" s="11">
        <f t="shared" ca="1" si="71"/>
        <v>0.54212653669549415</v>
      </c>
      <c r="AP22" s="11">
        <f t="shared" ca="1" si="71"/>
        <v>0.7927560970703238</v>
      </c>
      <c r="AQ22" s="11">
        <f t="shared" ca="1" si="71"/>
        <v>0.73930911064847837</v>
      </c>
      <c r="AR22" s="11">
        <f t="shared" ca="1" si="71"/>
        <v>0.11928629950998226</v>
      </c>
      <c r="AS22" s="11">
        <f t="shared" ca="1" si="71"/>
        <v>0.44663764167692477</v>
      </c>
      <c r="AT22" s="11">
        <f t="shared" ca="1" si="71"/>
        <v>0.44735339949576547</v>
      </c>
      <c r="AU22" s="11">
        <f t="shared" ca="1" si="71"/>
        <v>0.55830240326679315</v>
      </c>
      <c r="AV22" s="11">
        <f t="shared" ca="1" si="71"/>
        <v>0.44967399825547583</v>
      </c>
      <c r="AW22" s="11">
        <f t="shared" ca="1" si="71"/>
        <v>1.0754044757164682E-2</v>
      </c>
      <c r="AX22" s="11">
        <f t="shared" ca="1" si="71"/>
        <v>0.85526921801525035</v>
      </c>
      <c r="AY22" s="11">
        <f t="shared" ca="1" si="71"/>
        <v>8.1075411518477969E-2</v>
      </c>
      <c r="AZ22" s="11">
        <f t="shared" ca="1" si="71"/>
        <v>0.26711321978106783</v>
      </c>
      <c r="BA22" s="11">
        <f t="shared" ca="1" si="71"/>
        <v>0.82276844538427218</v>
      </c>
      <c r="BB22" s="11">
        <f t="shared" ca="1" si="71"/>
        <v>0.75891457427993581</v>
      </c>
      <c r="BC22" s="11">
        <f t="shared" ca="1" si="71"/>
        <v>0.59079400909149438</v>
      </c>
      <c r="BD22" s="11">
        <f t="shared" ca="1" si="71"/>
        <v>0.76149207539773756</v>
      </c>
      <c r="BE22" s="11">
        <f t="shared" ca="1" si="71"/>
        <v>0.99718905076931708</v>
      </c>
      <c r="BF22" s="11">
        <f t="shared" ca="1" si="71"/>
        <v>0.63476714329062622</v>
      </c>
      <c r="BG22" s="11">
        <f t="shared" ca="1" si="71"/>
        <v>0.88400496726054267</v>
      </c>
      <c r="BH22" s="11">
        <f t="shared" ca="1" si="71"/>
        <v>0.45582658858448366</v>
      </c>
      <c r="BI22" s="11">
        <f t="shared" ca="1" si="71"/>
        <v>0.99505347121615728</v>
      </c>
      <c r="BJ22" s="11">
        <f t="shared" ca="1" si="71"/>
        <v>0.70592263441209591</v>
      </c>
      <c r="BK22" s="11">
        <f t="shared" ca="1" si="71"/>
        <v>6.0949085396971636E-2</v>
      </c>
      <c r="BL22" s="11">
        <f t="shared" ca="1" si="71"/>
        <v>0.1014432236379178</v>
      </c>
      <c r="BM22" s="11">
        <f t="shared" ca="1" si="71"/>
        <v>0.40647969716873755</v>
      </c>
      <c r="BN22" s="11">
        <f t="shared" ca="1" si="71"/>
        <v>0.30875014339356743</v>
      </c>
      <c r="BO22" s="11">
        <f t="shared" ca="1" si="71"/>
        <v>0.81081989016740408</v>
      </c>
      <c r="BP22" s="11">
        <f t="shared" ref="BP22:CU22" ca="1" si="72">RAND()</f>
        <v>0.13211653355389941</v>
      </c>
      <c r="BQ22" s="11">
        <f t="shared" ca="1" si="72"/>
        <v>0.48544289700007881</v>
      </c>
      <c r="BR22" s="11">
        <f t="shared" ca="1" si="72"/>
        <v>0.48981079752698387</v>
      </c>
      <c r="BS22" s="11">
        <f t="shared" ca="1" si="72"/>
        <v>0.51528420043240697</v>
      </c>
      <c r="BT22" s="11">
        <f t="shared" ca="1" si="72"/>
        <v>0.45680094147843764</v>
      </c>
      <c r="BU22" s="11">
        <f t="shared" ca="1" si="72"/>
        <v>0.62576488618185411</v>
      </c>
      <c r="BV22" s="11">
        <f t="shared" ca="1" si="72"/>
        <v>0.94014565149249918</v>
      </c>
      <c r="BW22" s="11">
        <f t="shared" ca="1" si="72"/>
        <v>0.24892894846667279</v>
      </c>
      <c r="BX22" s="11">
        <f t="shared" ca="1" si="72"/>
        <v>0.23033085622059324</v>
      </c>
      <c r="BY22" s="11">
        <f t="shared" ca="1" si="72"/>
        <v>0.37778630792291079</v>
      </c>
      <c r="BZ22" s="11">
        <f t="shared" ca="1" si="72"/>
        <v>0.48821194979398352</v>
      </c>
      <c r="CA22" s="11">
        <f t="shared" ca="1" si="72"/>
        <v>0.4435626800309278</v>
      </c>
      <c r="CB22" s="11">
        <f t="shared" ca="1" si="72"/>
        <v>0.39384653850724272</v>
      </c>
      <c r="CC22" s="11">
        <f t="shared" ca="1" si="72"/>
        <v>0.90909003431980873</v>
      </c>
      <c r="CD22" s="11">
        <f t="shared" ca="1" si="72"/>
        <v>0.89686256684844301</v>
      </c>
      <c r="CE22" s="11">
        <f t="shared" ca="1" si="72"/>
        <v>0.13464532971994159</v>
      </c>
      <c r="CF22" s="11">
        <f t="shared" ca="1" si="72"/>
        <v>0.93409527667188685</v>
      </c>
      <c r="CG22" s="11">
        <f t="shared" ca="1" si="72"/>
        <v>5.9542455702726205E-2</v>
      </c>
      <c r="CH22" s="11">
        <f t="shared" ca="1" si="72"/>
        <v>0.99916986637286176</v>
      </c>
      <c r="CI22" s="11">
        <f t="shared" ca="1" si="72"/>
        <v>0.63202327213562959</v>
      </c>
      <c r="CJ22" s="11">
        <f t="shared" ca="1" si="72"/>
        <v>0.14906717462169516</v>
      </c>
      <c r="CK22" s="11">
        <f t="shared" ca="1" si="72"/>
        <v>0.51470220926040422</v>
      </c>
      <c r="CL22" s="11">
        <f t="shared" ca="1" si="72"/>
        <v>0.59629943600287771</v>
      </c>
      <c r="CM22" s="11">
        <f t="shared" ca="1" si="72"/>
        <v>2.0547080096566028E-2</v>
      </c>
      <c r="CN22" s="11">
        <f t="shared" ca="1" si="72"/>
        <v>0.79442660537557175</v>
      </c>
      <c r="CO22" s="11">
        <f t="shared" ca="1" si="72"/>
        <v>0.28670594672602778</v>
      </c>
      <c r="CP22" s="11">
        <f t="shared" ca="1" si="72"/>
        <v>0.32966792762717989</v>
      </c>
      <c r="CQ22" s="11">
        <f t="shared" ca="1" si="72"/>
        <v>6.9483187213169262E-2</v>
      </c>
      <c r="CR22" s="11">
        <f t="shared" ca="1" si="72"/>
        <v>0.19207499359250502</v>
      </c>
      <c r="CS22" s="11">
        <f t="shared" ca="1" si="72"/>
        <v>0.19061171146635458</v>
      </c>
      <c r="CT22" s="11">
        <f t="shared" ca="1" si="72"/>
        <v>0.13461595162510487</v>
      </c>
      <c r="CU22" s="11">
        <f t="shared" ca="1" si="72"/>
        <v>0.34516753112175258</v>
      </c>
      <c r="CV22" s="11">
        <f t="shared" ref="CV22:EE22" ca="1" si="73">RAND()</f>
        <v>0.72138491455928488</v>
      </c>
      <c r="CW22" s="11">
        <f t="shared" ca="1" si="73"/>
        <v>0.85604778128430692</v>
      </c>
      <c r="CX22" s="11">
        <f t="shared" ca="1" si="73"/>
        <v>0.79052789567027471</v>
      </c>
      <c r="CY22" s="11">
        <f t="shared" ca="1" si="73"/>
        <v>0.7925110263624443</v>
      </c>
      <c r="CZ22" s="11">
        <f t="shared" ca="1" si="73"/>
        <v>0.47469392013999856</v>
      </c>
      <c r="DA22" s="11">
        <f t="shared" ca="1" si="73"/>
        <v>0.77774250254984656</v>
      </c>
      <c r="DB22" s="11">
        <f t="shared" ca="1" si="73"/>
        <v>0.72516491946712947</v>
      </c>
      <c r="DC22" s="11">
        <f t="shared" ca="1" si="73"/>
        <v>6.0104244179305377E-2</v>
      </c>
      <c r="DD22" s="11">
        <f t="shared" ca="1" si="73"/>
        <v>0.9320121855347816</v>
      </c>
      <c r="DE22" s="11">
        <f t="shared" ca="1" si="73"/>
        <v>0.7001636306935799</v>
      </c>
      <c r="DF22" s="11">
        <f t="shared" ca="1" si="73"/>
        <v>0.49930765314325576</v>
      </c>
      <c r="DG22" s="11">
        <f t="shared" ca="1" si="73"/>
        <v>0.71349696565020415</v>
      </c>
      <c r="DH22" s="11">
        <f t="shared" ca="1" si="73"/>
        <v>0.95389403580364385</v>
      </c>
      <c r="DI22" s="11">
        <f t="shared" ca="1" si="73"/>
        <v>0.28659208257211066</v>
      </c>
      <c r="DJ22" s="11">
        <f t="shared" ca="1" si="73"/>
        <v>0.2162596377850533</v>
      </c>
      <c r="DK22" s="11">
        <f t="shared" ca="1" si="73"/>
        <v>0.91599530901784654</v>
      </c>
      <c r="DL22" s="11">
        <f t="shared" ca="1" si="73"/>
        <v>0.39304076333898208</v>
      </c>
      <c r="DM22" s="11">
        <f t="shared" ca="1" si="73"/>
        <v>0.62033414194498693</v>
      </c>
      <c r="DN22" s="11">
        <f t="shared" ca="1" si="73"/>
        <v>6.5086694762677144E-2</v>
      </c>
      <c r="DO22" s="11">
        <f t="shared" ca="1" si="73"/>
        <v>7.1448850420512411E-3</v>
      </c>
      <c r="DP22" s="11">
        <f t="shared" ca="1" si="73"/>
        <v>0.61068300046547486</v>
      </c>
      <c r="DQ22" s="11">
        <f t="shared" ca="1" si="73"/>
        <v>0.74263659434332985</v>
      </c>
      <c r="DR22" s="11">
        <f t="shared" ca="1" si="73"/>
        <v>0.64875918168409685</v>
      </c>
      <c r="DS22" s="11">
        <f t="shared" ca="1" si="73"/>
        <v>0.18965408989313137</v>
      </c>
      <c r="DT22" s="11">
        <f t="shared" ca="1" si="73"/>
        <v>0.11830424727356881</v>
      </c>
      <c r="DU22" s="11">
        <f t="shared" ca="1" si="73"/>
        <v>0.3864283786156365</v>
      </c>
      <c r="DV22" s="11">
        <f t="shared" ca="1" si="73"/>
        <v>0.27845891379152965</v>
      </c>
      <c r="DW22" s="11">
        <f t="shared" ca="1" si="73"/>
        <v>0.97414067215129674</v>
      </c>
      <c r="DX22" s="11">
        <f t="shared" ca="1" si="73"/>
        <v>0.73684438560517806</v>
      </c>
      <c r="DY22" s="11">
        <f t="shared" ca="1" si="73"/>
        <v>0.93264616984292059</v>
      </c>
      <c r="DZ22" s="11">
        <f t="shared" ca="1" si="73"/>
        <v>3.1611501958601629E-2</v>
      </c>
      <c r="EA22" s="11">
        <f t="shared" ca="1" si="73"/>
        <v>0.64667794393439126</v>
      </c>
      <c r="EB22" s="11">
        <f t="shared" ca="1" si="73"/>
        <v>0.38811141127046245</v>
      </c>
      <c r="EC22" s="11">
        <f t="shared" ca="1" si="73"/>
        <v>0.60338792862246482</v>
      </c>
      <c r="ED22" s="11">
        <f t="shared" ca="1" si="73"/>
        <v>0.48147126155671605</v>
      </c>
      <c r="EE22" s="11">
        <f t="shared" ca="1" si="73"/>
        <v>0.71738418321023167</v>
      </c>
    </row>
    <row r="23" spans="3:135" x14ac:dyDescent="0.4">
      <c r="C23" s="7" t="s">
        <v>20</v>
      </c>
      <c r="D23" s="11">
        <f t="shared" ref="D23:AI23" ca="1" si="74">RAND()+1</f>
        <v>1.5588196673595276</v>
      </c>
      <c r="E23" s="11">
        <f t="shared" ca="1" si="74"/>
        <v>1.2649519137080243</v>
      </c>
      <c r="F23" s="11">
        <f t="shared" ca="1" si="74"/>
        <v>1.3275393361132706</v>
      </c>
      <c r="G23" s="11">
        <f t="shared" ca="1" si="74"/>
        <v>1.1713968548288958</v>
      </c>
      <c r="H23" s="11">
        <f t="shared" ca="1" si="74"/>
        <v>1.5681413728187361</v>
      </c>
      <c r="I23" s="11">
        <f t="shared" ca="1" si="74"/>
        <v>1.7173386973203675</v>
      </c>
      <c r="J23" s="11">
        <f t="shared" ca="1" si="74"/>
        <v>1.4094806792253656</v>
      </c>
      <c r="K23" s="11">
        <f t="shared" ca="1" si="74"/>
        <v>1.8802506745399148</v>
      </c>
      <c r="L23" s="11">
        <f t="shared" ca="1" si="74"/>
        <v>1.6746896911578049</v>
      </c>
      <c r="M23" s="11">
        <f t="shared" ca="1" si="74"/>
        <v>1.0324279121243274</v>
      </c>
      <c r="N23" s="11">
        <f t="shared" ca="1" si="74"/>
        <v>1.9819147969818749</v>
      </c>
      <c r="O23" s="11">
        <f t="shared" ca="1" si="74"/>
        <v>1.7402075646140425</v>
      </c>
      <c r="P23" s="11">
        <f t="shared" ca="1" si="74"/>
        <v>1.9242901713588245</v>
      </c>
      <c r="Q23" s="11">
        <f t="shared" ca="1" si="74"/>
        <v>1.0875998756169567</v>
      </c>
      <c r="R23" s="11">
        <f t="shared" ca="1" si="74"/>
        <v>1.3186829727415892</v>
      </c>
      <c r="S23" s="11">
        <f t="shared" ca="1" si="74"/>
        <v>1.0590502157582833</v>
      </c>
      <c r="T23" s="11">
        <f t="shared" ca="1" si="74"/>
        <v>1.0729637495417812</v>
      </c>
      <c r="U23" s="11">
        <f t="shared" ca="1" si="74"/>
        <v>1.6313174785761277</v>
      </c>
      <c r="V23" s="11">
        <f t="shared" ca="1" si="74"/>
        <v>1.6039369388511797</v>
      </c>
      <c r="W23" s="11">
        <f t="shared" ca="1" si="74"/>
        <v>1.9229880348009862</v>
      </c>
      <c r="X23" s="11">
        <f t="shared" ca="1" si="74"/>
        <v>1.2913689512602069</v>
      </c>
      <c r="Y23" s="11">
        <f t="shared" ca="1" si="74"/>
        <v>1.5793203614100966</v>
      </c>
      <c r="Z23" s="11">
        <f t="shared" ca="1" si="74"/>
        <v>1.5155402356407044</v>
      </c>
      <c r="AA23" s="11">
        <f t="shared" ca="1" si="74"/>
        <v>1.3569543129188315</v>
      </c>
      <c r="AB23" s="11">
        <f t="shared" ca="1" si="74"/>
        <v>1.8842794037555162</v>
      </c>
      <c r="AC23" s="11">
        <f t="shared" ca="1" si="74"/>
        <v>1.0950368351899162</v>
      </c>
      <c r="AD23" s="11">
        <f t="shared" ca="1" si="74"/>
        <v>1.8696215906014526</v>
      </c>
      <c r="AE23" s="11">
        <f t="shared" ca="1" si="74"/>
        <v>1.2574786106045577</v>
      </c>
      <c r="AF23" s="11">
        <f t="shared" ca="1" si="74"/>
        <v>1.8093921490214862</v>
      </c>
      <c r="AG23" s="11">
        <f t="shared" ca="1" si="74"/>
        <v>1.5557144277906394</v>
      </c>
      <c r="AH23" s="11">
        <f t="shared" ca="1" si="74"/>
        <v>1.1269452156767086</v>
      </c>
      <c r="AI23" s="11">
        <f t="shared" ca="1" si="74"/>
        <v>1.2697950318352622</v>
      </c>
      <c r="AJ23" s="11">
        <f t="shared" ref="AJ23:BO23" ca="1" si="75">RAND()+1</f>
        <v>1.9459783672334945</v>
      </c>
      <c r="AK23" s="11">
        <f t="shared" ca="1" si="75"/>
        <v>1.001805522437877</v>
      </c>
      <c r="AL23" s="11">
        <f t="shared" ca="1" si="75"/>
        <v>1.5822234049974511</v>
      </c>
      <c r="AM23" s="11">
        <f t="shared" ca="1" si="75"/>
        <v>1.5562436745709753</v>
      </c>
      <c r="AN23" s="11">
        <f t="shared" ca="1" si="75"/>
        <v>1.1874665780046993</v>
      </c>
      <c r="AO23" s="11">
        <f t="shared" ca="1" si="75"/>
        <v>1.0161077163072272</v>
      </c>
      <c r="AP23" s="11">
        <f t="shared" ca="1" si="75"/>
        <v>1.4783667062150543</v>
      </c>
      <c r="AQ23" s="11">
        <f t="shared" ca="1" si="75"/>
        <v>1.4103813643044789</v>
      </c>
      <c r="AR23" s="11">
        <f t="shared" ca="1" si="75"/>
        <v>1.4695373470087745</v>
      </c>
      <c r="AS23" s="11">
        <f t="shared" ca="1" si="75"/>
        <v>1.5231787000848511</v>
      </c>
      <c r="AT23" s="11">
        <f t="shared" ca="1" si="75"/>
        <v>1.3356796820326204</v>
      </c>
      <c r="AU23" s="11">
        <f t="shared" ca="1" si="75"/>
        <v>1.1962456505371488</v>
      </c>
      <c r="AV23" s="11">
        <f t="shared" ca="1" si="75"/>
        <v>1.1307715604923421</v>
      </c>
      <c r="AW23" s="11">
        <f t="shared" ca="1" si="75"/>
        <v>1.0435572728790201</v>
      </c>
      <c r="AX23" s="11">
        <f t="shared" ca="1" si="75"/>
        <v>1.5107465136171605</v>
      </c>
      <c r="AY23" s="11">
        <f t="shared" ca="1" si="75"/>
        <v>1.7546460724795172</v>
      </c>
      <c r="AZ23" s="11">
        <f t="shared" ca="1" si="75"/>
        <v>1.8145571907159557</v>
      </c>
      <c r="BA23" s="11">
        <f t="shared" ca="1" si="75"/>
        <v>1.8288119704855972</v>
      </c>
      <c r="BB23" s="11">
        <f t="shared" ca="1" si="75"/>
        <v>1.9852102617365144</v>
      </c>
      <c r="BC23" s="11">
        <f t="shared" ca="1" si="75"/>
        <v>1.7113696436626213</v>
      </c>
      <c r="BD23" s="11">
        <f t="shared" ca="1" si="75"/>
        <v>1.3352271366495798</v>
      </c>
      <c r="BE23" s="11">
        <f t="shared" ca="1" si="75"/>
        <v>1.7765304923886154</v>
      </c>
      <c r="BF23" s="11">
        <f t="shared" ca="1" si="75"/>
        <v>1.4522639349800279</v>
      </c>
      <c r="BG23" s="11">
        <f t="shared" ca="1" si="75"/>
        <v>1.3194106471599951</v>
      </c>
      <c r="BH23" s="11">
        <f t="shared" ca="1" si="75"/>
        <v>1.7852307923813335</v>
      </c>
      <c r="BI23" s="11">
        <f t="shared" ca="1" si="75"/>
        <v>1.8564440734392746</v>
      </c>
      <c r="BJ23" s="11">
        <f t="shared" ca="1" si="75"/>
        <v>1.4896324709596502</v>
      </c>
      <c r="BK23" s="11">
        <f t="shared" ca="1" si="75"/>
        <v>1.7531553328229545</v>
      </c>
      <c r="BL23" s="11">
        <f t="shared" ca="1" si="75"/>
        <v>1.0575854132419593</v>
      </c>
      <c r="BM23" s="11">
        <f t="shared" ca="1" si="75"/>
        <v>1.0753144173622862</v>
      </c>
      <c r="BN23" s="11">
        <f t="shared" ca="1" si="75"/>
        <v>1.2710835878970035</v>
      </c>
      <c r="BO23" s="11">
        <f t="shared" ca="1" si="75"/>
        <v>1.3557538883322566</v>
      </c>
      <c r="BP23" s="11">
        <f t="shared" ref="BP23:CU23" ca="1" si="76">RAND()+1</f>
        <v>1.8904258675812953</v>
      </c>
      <c r="BQ23" s="11">
        <f t="shared" ca="1" si="76"/>
        <v>1.5380133439795438</v>
      </c>
      <c r="BR23" s="11">
        <f t="shared" ca="1" si="76"/>
        <v>1.9029985035930084</v>
      </c>
      <c r="BS23" s="11">
        <f t="shared" ca="1" si="76"/>
        <v>1.961198467965269</v>
      </c>
      <c r="BT23" s="11">
        <f t="shared" ca="1" si="76"/>
        <v>1.6355264034094636</v>
      </c>
      <c r="BU23" s="11">
        <f t="shared" ca="1" si="76"/>
        <v>1.5913757117411604</v>
      </c>
      <c r="BV23" s="11">
        <f t="shared" ca="1" si="76"/>
        <v>1.6247868885539392</v>
      </c>
      <c r="BW23" s="11">
        <f t="shared" ca="1" si="76"/>
        <v>1.4177573539350137</v>
      </c>
      <c r="BX23" s="11">
        <f t="shared" ca="1" si="76"/>
        <v>1.7542110520525815</v>
      </c>
      <c r="BY23" s="11">
        <f t="shared" ca="1" si="76"/>
        <v>1.1913187652198705</v>
      </c>
      <c r="BZ23" s="11">
        <f t="shared" ca="1" si="76"/>
        <v>1.3440199890546449</v>
      </c>
      <c r="CA23" s="11">
        <f t="shared" ca="1" si="76"/>
        <v>1.3954377031494587</v>
      </c>
      <c r="CB23" s="11">
        <f t="shared" ca="1" si="76"/>
        <v>1.2252980896369854</v>
      </c>
      <c r="CC23" s="11">
        <f t="shared" ca="1" si="76"/>
        <v>1.7352241548863172</v>
      </c>
      <c r="CD23" s="11">
        <f t="shared" ca="1" si="76"/>
        <v>1.9418351621908605</v>
      </c>
      <c r="CE23" s="11">
        <f t="shared" ca="1" si="76"/>
        <v>1.9540879890257261</v>
      </c>
      <c r="CF23" s="11">
        <f t="shared" ca="1" si="76"/>
        <v>1.4667461280747158</v>
      </c>
      <c r="CG23" s="11">
        <f t="shared" ca="1" si="76"/>
        <v>1.8508105225953533</v>
      </c>
      <c r="CH23" s="11">
        <f t="shared" ca="1" si="76"/>
        <v>1.3544925092892841</v>
      </c>
      <c r="CI23" s="11">
        <f t="shared" ca="1" si="76"/>
        <v>1.7453205716006828</v>
      </c>
      <c r="CJ23" s="11">
        <f t="shared" ca="1" si="76"/>
        <v>1.7001518252050811</v>
      </c>
      <c r="CK23" s="11">
        <f t="shared" ca="1" si="76"/>
        <v>1.1824117300704038</v>
      </c>
      <c r="CL23" s="11">
        <f t="shared" ca="1" si="76"/>
        <v>1.8285915758134039</v>
      </c>
      <c r="CM23" s="11">
        <f t="shared" ca="1" si="76"/>
        <v>1.835664940996959</v>
      </c>
      <c r="CN23" s="11">
        <f t="shared" ca="1" si="76"/>
        <v>1.0835194913599673</v>
      </c>
      <c r="CO23" s="11">
        <f t="shared" ca="1" si="76"/>
        <v>1.7144128950741</v>
      </c>
      <c r="CP23" s="11">
        <f t="shared" ca="1" si="76"/>
        <v>1.2057462003919746</v>
      </c>
      <c r="CQ23" s="11">
        <f t="shared" ca="1" si="76"/>
        <v>1.1830801240744862</v>
      </c>
      <c r="CR23" s="11">
        <f t="shared" ca="1" si="76"/>
        <v>1.6569898272141508</v>
      </c>
      <c r="CS23" s="11">
        <f t="shared" ca="1" si="76"/>
        <v>1.0956770739791049</v>
      </c>
      <c r="CT23" s="11">
        <f t="shared" ca="1" si="76"/>
        <v>1.8465770542655273</v>
      </c>
      <c r="CU23" s="11">
        <f t="shared" ca="1" si="76"/>
        <v>1.9724852061859388</v>
      </c>
      <c r="CV23" s="11">
        <f t="shared" ref="CV23:DP23" ca="1" si="77">RAND()+1</f>
        <v>1.6455606433472223</v>
      </c>
      <c r="CW23" s="11">
        <f t="shared" ca="1" si="77"/>
        <v>1.8489294125411853</v>
      </c>
      <c r="CX23" s="11">
        <f t="shared" ca="1" si="77"/>
        <v>1.9609854019892474</v>
      </c>
      <c r="CY23" s="11">
        <f t="shared" ca="1" si="77"/>
        <v>1.1127533090257657</v>
      </c>
      <c r="CZ23" s="11">
        <f t="shared" ca="1" si="77"/>
        <v>1.3988422981385922</v>
      </c>
      <c r="DA23" s="11">
        <f t="shared" ca="1" si="77"/>
        <v>1.4369622350180093</v>
      </c>
      <c r="DB23" s="11">
        <f t="shared" ca="1" si="77"/>
        <v>1.5803548661702775</v>
      </c>
      <c r="DC23" s="11">
        <f t="shared" ca="1" si="77"/>
        <v>1.5844899738755978</v>
      </c>
      <c r="DD23" s="11">
        <f t="shared" ca="1" si="77"/>
        <v>1.2334034054893215</v>
      </c>
      <c r="DE23" s="11">
        <f t="shared" ca="1" si="77"/>
        <v>1.7012716126479033</v>
      </c>
      <c r="DF23" s="11">
        <f t="shared" ca="1" si="77"/>
        <v>1.1873915332171792</v>
      </c>
      <c r="DG23" s="11">
        <f t="shared" ca="1" si="77"/>
        <v>1.3577194478947976</v>
      </c>
      <c r="DH23" s="11">
        <f t="shared" ca="1" si="77"/>
        <v>1.4428306995515867</v>
      </c>
      <c r="DI23" s="11">
        <f t="shared" ca="1" si="77"/>
        <v>1.5357220078614089</v>
      </c>
      <c r="DJ23" s="11">
        <f t="shared" ca="1" si="77"/>
        <v>1.466083694958092</v>
      </c>
      <c r="DK23" s="11">
        <f t="shared" ca="1" si="77"/>
        <v>1.3054725103872895</v>
      </c>
      <c r="DL23" s="11">
        <f t="shared" ca="1" si="77"/>
        <v>1.2617107643022332</v>
      </c>
      <c r="DM23" s="11">
        <f t="shared" ca="1" si="77"/>
        <v>1.8980229846819836</v>
      </c>
      <c r="DN23" s="11">
        <f t="shared" ca="1" si="77"/>
        <v>1.5554845574791503</v>
      </c>
      <c r="DO23" s="11">
        <f t="shared" ca="1" si="77"/>
        <v>1.1697909583681445</v>
      </c>
      <c r="DP23" s="11">
        <f t="shared" ca="1" si="77"/>
        <v>1.3017812482996378</v>
      </c>
      <c r="DQ23" s="11">
        <f ca="1">RANDBETWEEN(20, 45)</f>
        <v>20</v>
      </c>
      <c r="DR23" s="11">
        <f t="shared" ref="DR23:EE23" ca="1" si="78">RAND()+1</f>
        <v>1.3498591714732207</v>
      </c>
      <c r="DS23" s="11">
        <f t="shared" ca="1" si="78"/>
        <v>1.3958779608136624</v>
      </c>
      <c r="DT23" s="11">
        <f t="shared" ca="1" si="78"/>
        <v>1.6270497003026723</v>
      </c>
      <c r="DU23" s="11">
        <f t="shared" ca="1" si="78"/>
        <v>1.7329028694484463</v>
      </c>
      <c r="DV23" s="11">
        <f t="shared" ca="1" si="78"/>
        <v>1.2755012532791179</v>
      </c>
      <c r="DW23" s="11">
        <f t="shared" ca="1" si="78"/>
        <v>1.7009973072419191</v>
      </c>
      <c r="DX23" s="11">
        <f t="shared" ca="1" si="78"/>
        <v>1.0511966413752847</v>
      </c>
      <c r="DY23" s="11">
        <f t="shared" ca="1" si="78"/>
        <v>1.8355155264399299</v>
      </c>
      <c r="DZ23" s="11">
        <f t="shared" ca="1" si="78"/>
        <v>1.4302032821330939</v>
      </c>
      <c r="EA23" s="11">
        <f t="shared" ca="1" si="78"/>
        <v>1.9264960609397623</v>
      </c>
      <c r="EB23" s="11">
        <f t="shared" ca="1" si="78"/>
        <v>1.6976143061439157</v>
      </c>
      <c r="EC23" s="11">
        <f t="shared" ca="1" si="78"/>
        <v>1.9870326898881361</v>
      </c>
      <c r="ED23" s="11">
        <f t="shared" ca="1" si="78"/>
        <v>1.8717015338982441</v>
      </c>
      <c r="EE23" s="11">
        <f t="shared" ca="1" si="78"/>
        <v>1.0270265604671094</v>
      </c>
    </row>
    <row r="24" spans="3:135" x14ac:dyDescent="0.4">
      <c r="C24" s="7" t="s">
        <v>37</v>
      </c>
      <c r="D24" s="11">
        <f t="shared" ref="D24:AI24" ca="1" si="79">RANDBETWEEN(1, 200)</f>
        <v>38</v>
      </c>
      <c r="E24" s="11">
        <f t="shared" ca="1" si="79"/>
        <v>163</v>
      </c>
      <c r="F24" s="11">
        <f t="shared" ca="1" si="79"/>
        <v>60</v>
      </c>
      <c r="G24" s="11">
        <f t="shared" ca="1" si="79"/>
        <v>105</v>
      </c>
      <c r="H24" s="11">
        <f t="shared" ca="1" si="79"/>
        <v>34</v>
      </c>
      <c r="I24" s="11">
        <f t="shared" ca="1" si="79"/>
        <v>8</v>
      </c>
      <c r="J24" s="11">
        <f t="shared" ca="1" si="79"/>
        <v>10</v>
      </c>
      <c r="K24" s="11">
        <f t="shared" ca="1" si="79"/>
        <v>104</v>
      </c>
      <c r="L24" s="11">
        <f t="shared" ca="1" si="79"/>
        <v>60</v>
      </c>
      <c r="M24" s="11">
        <f t="shared" ca="1" si="79"/>
        <v>93</v>
      </c>
      <c r="N24" s="11">
        <f t="shared" ca="1" si="79"/>
        <v>83</v>
      </c>
      <c r="O24" s="11">
        <f t="shared" ca="1" si="79"/>
        <v>120</v>
      </c>
      <c r="P24" s="11">
        <f t="shared" ca="1" si="79"/>
        <v>81</v>
      </c>
      <c r="Q24" s="11">
        <f t="shared" ca="1" si="79"/>
        <v>8</v>
      </c>
      <c r="R24" s="11">
        <f t="shared" ca="1" si="79"/>
        <v>176</v>
      </c>
      <c r="S24" s="11">
        <f t="shared" ca="1" si="79"/>
        <v>148</v>
      </c>
      <c r="T24" s="11">
        <f t="shared" ca="1" si="79"/>
        <v>9</v>
      </c>
      <c r="U24" s="11">
        <f t="shared" ca="1" si="79"/>
        <v>22</v>
      </c>
      <c r="V24" s="11">
        <f t="shared" ca="1" si="79"/>
        <v>69</v>
      </c>
      <c r="W24" s="11">
        <f t="shared" ca="1" si="79"/>
        <v>77</v>
      </c>
      <c r="X24" s="11">
        <f t="shared" ca="1" si="79"/>
        <v>158</v>
      </c>
      <c r="Y24" s="11">
        <f t="shared" ca="1" si="79"/>
        <v>164</v>
      </c>
      <c r="Z24" s="11">
        <f t="shared" ca="1" si="79"/>
        <v>172</v>
      </c>
      <c r="AA24" s="11">
        <f t="shared" ca="1" si="79"/>
        <v>146</v>
      </c>
      <c r="AB24" s="11">
        <f t="shared" ca="1" si="79"/>
        <v>13</v>
      </c>
      <c r="AC24" s="11">
        <f t="shared" ca="1" si="79"/>
        <v>125</v>
      </c>
      <c r="AD24" s="11">
        <f t="shared" ca="1" si="79"/>
        <v>163</v>
      </c>
      <c r="AE24" s="11">
        <f t="shared" ca="1" si="79"/>
        <v>67</v>
      </c>
      <c r="AF24" s="11">
        <f t="shared" ca="1" si="79"/>
        <v>77</v>
      </c>
      <c r="AG24" s="11">
        <f t="shared" ca="1" si="79"/>
        <v>115</v>
      </c>
      <c r="AH24" s="11">
        <f t="shared" ca="1" si="79"/>
        <v>157</v>
      </c>
      <c r="AI24" s="11">
        <f t="shared" ca="1" si="79"/>
        <v>112</v>
      </c>
      <c r="AJ24" s="11">
        <f t="shared" ref="AJ24:BO24" ca="1" si="80">RANDBETWEEN(1, 200)</f>
        <v>184</v>
      </c>
      <c r="AK24" s="11">
        <f t="shared" ca="1" si="80"/>
        <v>182</v>
      </c>
      <c r="AL24" s="11">
        <f t="shared" ca="1" si="80"/>
        <v>101</v>
      </c>
      <c r="AM24" s="11">
        <f t="shared" ca="1" si="80"/>
        <v>85</v>
      </c>
      <c r="AN24" s="11">
        <f t="shared" ca="1" si="80"/>
        <v>143</v>
      </c>
      <c r="AO24" s="11">
        <f t="shared" ca="1" si="80"/>
        <v>58</v>
      </c>
      <c r="AP24" s="11">
        <f t="shared" ca="1" si="80"/>
        <v>199</v>
      </c>
      <c r="AQ24" s="11">
        <f t="shared" ca="1" si="80"/>
        <v>127</v>
      </c>
      <c r="AR24" s="11">
        <f t="shared" ca="1" si="80"/>
        <v>109</v>
      </c>
      <c r="AS24" s="11">
        <f t="shared" ca="1" si="80"/>
        <v>29</v>
      </c>
      <c r="AT24" s="11">
        <f t="shared" ca="1" si="80"/>
        <v>123</v>
      </c>
      <c r="AU24" s="11">
        <f t="shared" ca="1" si="80"/>
        <v>186</v>
      </c>
      <c r="AV24" s="11">
        <f t="shared" ca="1" si="80"/>
        <v>30</v>
      </c>
      <c r="AW24" s="11">
        <f t="shared" ca="1" si="80"/>
        <v>67</v>
      </c>
      <c r="AX24" s="11">
        <f t="shared" ca="1" si="80"/>
        <v>61</v>
      </c>
      <c r="AY24" s="11">
        <f t="shared" ca="1" si="80"/>
        <v>124</v>
      </c>
      <c r="AZ24" s="11">
        <f t="shared" ca="1" si="80"/>
        <v>13</v>
      </c>
      <c r="BA24" s="11">
        <f t="shared" ca="1" si="80"/>
        <v>113</v>
      </c>
      <c r="BB24" s="11">
        <f t="shared" ca="1" si="80"/>
        <v>67</v>
      </c>
      <c r="BC24" s="11">
        <f t="shared" ca="1" si="80"/>
        <v>78</v>
      </c>
      <c r="BD24" s="11">
        <f t="shared" ca="1" si="80"/>
        <v>58</v>
      </c>
      <c r="BE24" s="11">
        <f t="shared" ca="1" si="80"/>
        <v>74</v>
      </c>
      <c r="BF24" s="11">
        <f t="shared" ca="1" si="80"/>
        <v>179</v>
      </c>
      <c r="BG24" s="11">
        <f t="shared" ca="1" si="80"/>
        <v>172</v>
      </c>
      <c r="BH24" s="11">
        <f t="shared" ca="1" si="80"/>
        <v>38</v>
      </c>
      <c r="BI24" s="11">
        <f t="shared" ca="1" si="80"/>
        <v>35</v>
      </c>
      <c r="BJ24" s="11">
        <f t="shared" ca="1" si="80"/>
        <v>56</v>
      </c>
      <c r="BK24" s="11">
        <f t="shared" ca="1" si="80"/>
        <v>131</v>
      </c>
      <c r="BL24" s="11">
        <f t="shared" ca="1" si="80"/>
        <v>135</v>
      </c>
      <c r="BM24" s="11">
        <f t="shared" ca="1" si="80"/>
        <v>68</v>
      </c>
      <c r="BN24" s="11">
        <f t="shared" ca="1" si="80"/>
        <v>128</v>
      </c>
      <c r="BO24" s="11">
        <f t="shared" ca="1" si="80"/>
        <v>62</v>
      </c>
      <c r="BP24" s="11">
        <f t="shared" ref="BP24:CU24" ca="1" si="81">RANDBETWEEN(1, 200)</f>
        <v>84</v>
      </c>
      <c r="BQ24" s="11">
        <f t="shared" ca="1" si="81"/>
        <v>137</v>
      </c>
      <c r="BR24" s="11">
        <f t="shared" ca="1" si="81"/>
        <v>129</v>
      </c>
      <c r="BS24" s="11">
        <f t="shared" ca="1" si="81"/>
        <v>147</v>
      </c>
      <c r="BT24" s="11">
        <f t="shared" ca="1" si="81"/>
        <v>197</v>
      </c>
      <c r="BU24" s="11">
        <f t="shared" ca="1" si="81"/>
        <v>108</v>
      </c>
      <c r="BV24" s="11">
        <f t="shared" ca="1" si="81"/>
        <v>119</v>
      </c>
      <c r="BW24" s="11">
        <f t="shared" ca="1" si="81"/>
        <v>188</v>
      </c>
      <c r="BX24" s="11">
        <f t="shared" ca="1" si="81"/>
        <v>151</v>
      </c>
      <c r="BY24" s="11">
        <f t="shared" ca="1" si="81"/>
        <v>72</v>
      </c>
      <c r="BZ24" s="11">
        <f t="shared" ca="1" si="81"/>
        <v>90</v>
      </c>
      <c r="CA24" s="11">
        <f t="shared" ca="1" si="81"/>
        <v>59</v>
      </c>
      <c r="CB24" s="11">
        <f t="shared" ca="1" si="81"/>
        <v>20</v>
      </c>
      <c r="CC24" s="11">
        <f t="shared" ca="1" si="81"/>
        <v>1</v>
      </c>
      <c r="CD24" s="11">
        <f t="shared" ca="1" si="81"/>
        <v>142</v>
      </c>
      <c r="CE24" s="11">
        <f t="shared" ca="1" si="81"/>
        <v>170</v>
      </c>
      <c r="CF24" s="11">
        <f t="shared" ca="1" si="81"/>
        <v>7</v>
      </c>
      <c r="CG24" s="11">
        <f t="shared" ca="1" si="81"/>
        <v>167</v>
      </c>
      <c r="CH24" s="11">
        <f t="shared" ca="1" si="81"/>
        <v>52</v>
      </c>
      <c r="CI24" s="11">
        <f t="shared" ca="1" si="81"/>
        <v>179</v>
      </c>
      <c r="CJ24" s="11">
        <f t="shared" ca="1" si="81"/>
        <v>89</v>
      </c>
      <c r="CK24" s="11">
        <f t="shared" ca="1" si="81"/>
        <v>10</v>
      </c>
      <c r="CL24" s="11">
        <f t="shared" ca="1" si="81"/>
        <v>90</v>
      </c>
      <c r="CM24" s="11">
        <f t="shared" ca="1" si="81"/>
        <v>1</v>
      </c>
      <c r="CN24" s="11">
        <f t="shared" ca="1" si="81"/>
        <v>146</v>
      </c>
      <c r="CO24" s="11">
        <f t="shared" ca="1" si="81"/>
        <v>68</v>
      </c>
      <c r="CP24" s="11">
        <f t="shared" ca="1" si="81"/>
        <v>88</v>
      </c>
      <c r="CQ24" s="11">
        <f t="shared" ca="1" si="81"/>
        <v>122</v>
      </c>
      <c r="CR24" s="11">
        <f t="shared" ca="1" si="81"/>
        <v>195</v>
      </c>
      <c r="CS24" s="11">
        <f t="shared" ca="1" si="81"/>
        <v>23</v>
      </c>
      <c r="CT24" s="11">
        <f t="shared" ca="1" si="81"/>
        <v>136</v>
      </c>
      <c r="CU24" s="11">
        <f t="shared" ca="1" si="81"/>
        <v>130</v>
      </c>
      <c r="CV24" s="11">
        <f t="shared" ref="CV24:EE24" ca="1" si="82">RANDBETWEEN(1, 200)</f>
        <v>125</v>
      </c>
      <c r="CW24" s="11">
        <f t="shared" ca="1" si="82"/>
        <v>3</v>
      </c>
      <c r="CX24" s="11">
        <f t="shared" ca="1" si="82"/>
        <v>195</v>
      </c>
      <c r="CY24" s="11">
        <f t="shared" ca="1" si="82"/>
        <v>165</v>
      </c>
      <c r="CZ24" s="11">
        <f t="shared" ca="1" si="82"/>
        <v>197</v>
      </c>
      <c r="DA24" s="11">
        <f t="shared" ca="1" si="82"/>
        <v>170</v>
      </c>
      <c r="DB24" s="11">
        <f t="shared" ca="1" si="82"/>
        <v>89</v>
      </c>
      <c r="DC24" s="11">
        <f t="shared" ca="1" si="82"/>
        <v>137</v>
      </c>
      <c r="DD24" s="11">
        <f t="shared" ca="1" si="82"/>
        <v>189</v>
      </c>
      <c r="DE24" s="11">
        <f t="shared" ca="1" si="82"/>
        <v>38</v>
      </c>
      <c r="DF24" s="11">
        <f t="shared" ca="1" si="82"/>
        <v>161</v>
      </c>
      <c r="DG24" s="11">
        <f t="shared" ca="1" si="82"/>
        <v>78</v>
      </c>
      <c r="DH24" s="11">
        <f t="shared" ca="1" si="82"/>
        <v>194</v>
      </c>
      <c r="DI24" s="11">
        <f t="shared" ca="1" si="82"/>
        <v>183</v>
      </c>
      <c r="DJ24" s="11">
        <f t="shared" ca="1" si="82"/>
        <v>122</v>
      </c>
      <c r="DK24" s="11">
        <f t="shared" ca="1" si="82"/>
        <v>105</v>
      </c>
      <c r="DL24" s="11">
        <f t="shared" ca="1" si="82"/>
        <v>140</v>
      </c>
      <c r="DM24" s="11">
        <f t="shared" ca="1" si="82"/>
        <v>10</v>
      </c>
      <c r="DN24" s="11">
        <f t="shared" ca="1" si="82"/>
        <v>91</v>
      </c>
      <c r="DO24" s="11">
        <f t="shared" ca="1" si="82"/>
        <v>169</v>
      </c>
      <c r="DP24" s="11">
        <f t="shared" ca="1" si="82"/>
        <v>117</v>
      </c>
      <c r="DQ24" s="11">
        <f t="shared" ca="1" si="82"/>
        <v>180</v>
      </c>
      <c r="DR24" s="11">
        <f t="shared" ca="1" si="82"/>
        <v>135</v>
      </c>
      <c r="DS24" s="11">
        <f t="shared" ca="1" si="82"/>
        <v>49</v>
      </c>
      <c r="DT24" s="11">
        <f t="shared" ca="1" si="82"/>
        <v>38</v>
      </c>
      <c r="DU24" s="11">
        <f t="shared" ca="1" si="82"/>
        <v>136</v>
      </c>
      <c r="DV24" s="11">
        <f t="shared" ca="1" si="82"/>
        <v>11</v>
      </c>
      <c r="DW24" s="11">
        <f t="shared" ca="1" si="82"/>
        <v>90</v>
      </c>
      <c r="DX24" s="11">
        <f t="shared" ca="1" si="82"/>
        <v>119</v>
      </c>
      <c r="DY24" s="11">
        <f t="shared" ca="1" si="82"/>
        <v>109</v>
      </c>
      <c r="DZ24" s="11">
        <f t="shared" ca="1" si="82"/>
        <v>61</v>
      </c>
      <c r="EA24" s="11">
        <f t="shared" ca="1" si="82"/>
        <v>124</v>
      </c>
      <c r="EB24" s="11">
        <f t="shared" ca="1" si="82"/>
        <v>136</v>
      </c>
      <c r="EC24" s="11">
        <f t="shared" ca="1" si="82"/>
        <v>32</v>
      </c>
      <c r="ED24" s="11">
        <f t="shared" ca="1" si="82"/>
        <v>146</v>
      </c>
      <c r="EE24" s="11">
        <f t="shared" ca="1" si="82"/>
        <v>11</v>
      </c>
    </row>
    <row r="25" spans="3:135" x14ac:dyDescent="0.4">
      <c r="C25" s="7" t="s">
        <v>21</v>
      </c>
      <c r="D25" s="11">
        <f t="shared" ref="D25:AI25" ca="1" si="83">RANDBETWEEN(20, 45)</f>
        <v>35</v>
      </c>
      <c r="E25" s="11">
        <f t="shared" ca="1" si="83"/>
        <v>26</v>
      </c>
      <c r="F25" s="11">
        <f t="shared" ca="1" si="83"/>
        <v>36</v>
      </c>
      <c r="G25" s="11">
        <f t="shared" ca="1" si="83"/>
        <v>27</v>
      </c>
      <c r="H25" s="11">
        <f t="shared" ca="1" si="83"/>
        <v>22</v>
      </c>
      <c r="I25" s="11">
        <f t="shared" ca="1" si="83"/>
        <v>33</v>
      </c>
      <c r="J25" s="11">
        <f t="shared" ca="1" si="83"/>
        <v>26</v>
      </c>
      <c r="K25" s="11">
        <f t="shared" ca="1" si="83"/>
        <v>40</v>
      </c>
      <c r="L25" s="11">
        <f t="shared" ca="1" si="83"/>
        <v>35</v>
      </c>
      <c r="M25" s="11">
        <f t="shared" ca="1" si="83"/>
        <v>44</v>
      </c>
      <c r="N25" s="11">
        <f t="shared" ca="1" si="83"/>
        <v>35</v>
      </c>
      <c r="O25" s="11">
        <f t="shared" ca="1" si="83"/>
        <v>37</v>
      </c>
      <c r="P25" s="11">
        <f t="shared" ca="1" si="83"/>
        <v>39</v>
      </c>
      <c r="Q25" s="11">
        <f t="shared" ca="1" si="83"/>
        <v>40</v>
      </c>
      <c r="R25" s="11">
        <f t="shared" ca="1" si="83"/>
        <v>43</v>
      </c>
      <c r="S25" s="11">
        <f t="shared" ca="1" si="83"/>
        <v>36</v>
      </c>
      <c r="T25" s="11">
        <f t="shared" ca="1" si="83"/>
        <v>31</v>
      </c>
      <c r="U25" s="11">
        <f t="shared" ca="1" si="83"/>
        <v>35</v>
      </c>
      <c r="V25" s="11">
        <f t="shared" ca="1" si="83"/>
        <v>42</v>
      </c>
      <c r="W25" s="11">
        <f t="shared" ca="1" si="83"/>
        <v>41</v>
      </c>
      <c r="X25" s="11">
        <f t="shared" ca="1" si="83"/>
        <v>25</v>
      </c>
      <c r="Y25" s="11">
        <f t="shared" ca="1" si="83"/>
        <v>21</v>
      </c>
      <c r="Z25" s="11">
        <f t="shared" ca="1" si="83"/>
        <v>25</v>
      </c>
      <c r="AA25" s="11">
        <f t="shared" ca="1" si="83"/>
        <v>24</v>
      </c>
      <c r="AB25" s="11">
        <f t="shared" ca="1" si="83"/>
        <v>22</v>
      </c>
      <c r="AC25" s="11">
        <f t="shared" ca="1" si="83"/>
        <v>31</v>
      </c>
      <c r="AD25" s="11">
        <f t="shared" ca="1" si="83"/>
        <v>37</v>
      </c>
      <c r="AE25" s="11">
        <f t="shared" ca="1" si="83"/>
        <v>42</v>
      </c>
      <c r="AF25" s="11">
        <f t="shared" ca="1" si="83"/>
        <v>37</v>
      </c>
      <c r="AG25" s="11">
        <f t="shared" ca="1" si="83"/>
        <v>41</v>
      </c>
      <c r="AH25" s="11">
        <f t="shared" ca="1" si="83"/>
        <v>20</v>
      </c>
      <c r="AI25" s="11">
        <f t="shared" ca="1" si="83"/>
        <v>29</v>
      </c>
      <c r="AJ25" s="11">
        <f t="shared" ref="AJ25:BO25" ca="1" si="84">RANDBETWEEN(20, 45)</f>
        <v>36</v>
      </c>
      <c r="AK25" s="11">
        <f t="shared" ca="1" si="84"/>
        <v>30</v>
      </c>
      <c r="AL25" s="11">
        <f t="shared" ca="1" si="84"/>
        <v>31</v>
      </c>
      <c r="AM25" s="11">
        <f t="shared" ca="1" si="84"/>
        <v>39</v>
      </c>
      <c r="AN25" s="11">
        <f t="shared" ca="1" si="84"/>
        <v>39</v>
      </c>
      <c r="AO25" s="11">
        <f t="shared" ca="1" si="84"/>
        <v>45</v>
      </c>
      <c r="AP25" s="11">
        <f t="shared" ca="1" si="84"/>
        <v>35</v>
      </c>
      <c r="AQ25" s="11">
        <f t="shared" ca="1" si="84"/>
        <v>41</v>
      </c>
      <c r="AR25" s="11">
        <f t="shared" ca="1" si="84"/>
        <v>36</v>
      </c>
      <c r="AS25" s="11">
        <f t="shared" ca="1" si="84"/>
        <v>23</v>
      </c>
      <c r="AT25" s="11">
        <f t="shared" ca="1" si="84"/>
        <v>42</v>
      </c>
      <c r="AU25" s="11">
        <f t="shared" ca="1" si="84"/>
        <v>22</v>
      </c>
      <c r="AV25" s="11">
        <f t="shared" ca="1" si="84"/>
        <v>35</v>
      </c>
      <c r="AW25" s="11">
        <f t="shared" ca="1" si="84"/>
        <v>30</v>
      </c>
      <c r="AX25" s="11">
        <f t="shared" ca="1" si="84"/>
        <v>23</v>
      </c>
      <c r="AY25" s="11">
        <f t="shared" ca="1" si="84"/>
        <v>39</v>
      </c>
      <c r="AZ25" s="11">
        <f t="shared" ca="1" si="84"/>
        <v>27</v>
      </c>
      <c r="BA25" s="11">
        <f t="shared" ca="1" si="84"/>
        <v>24</v>
      </c>
      <c r="BB25" s="11">
        <f t="shared" ca="1" si="84"/>
        <v>20</v>
      </c>
      <c r="BC25" s="11">
        <f t="shared" ca="1" si="84"/>
        <v>31</v>
      </c>
      <c r="BD25" s="11">
        <f t="shared" ca="1" si="84"/>
        <v>40</v>
      </c>
      <c r="BE25" s="11">
        <f t="shared" ca="1" si="84"/>
        <v>30</v>
      </c>
      <c r="BF25" s="11">
        <f t="shared" ca="1" si="84"/>
        <v>24</v>
      </c>
      <c r="BG25" s="11">
        <f t="shared" ca="1" si="84"/>
        <v>41</v>
      </c>
      <c r="BH25" s="11">
        <f t="shared" ca="1" si="84"/>
        <v>37</v>
      </c>
      <c r="BI25" s="11">
        <f t="shared" ca="1" si="84"/>
        <v>35</v>
      </c>
      <c r="BJ25" s="11">
        <f t="shared" ca="1" si="84"/>
        <v>32</v>
      </c>
      <c r="BK25" s="11">
        <f t="shared" ca="1" si="84"/>
        <v>27</v>
      </c>
      <c r="BL25" s="11">
        <f t="shared" ca="1" si="84"/>
        <v>30</v>
      </c>
      <c r="BM25" s="11">
        <f t="shared" ca="1" si="84"/>
        <v>38</v>
      </c>
      <c r="BN25" s="11">
        <f t="shared" ca="1" si="84"/>
        <v>33</v>
      </c>
      <c r="BO25" s="11">
        <f t="shared" ca="1" si="84"/>
        <v>24</v>
      </c>
      <c r="BP25" s="11">
        <f t="shared" ref="BP25:CU25" ca="1" si="85">RANDBETWEEN(20, 45)</f>
        <v>31</v>
      </c>
      <c r="BQ25" s="11">
        <f t="shared" ca="1" si="85"/>
        <v>27</v>
      </c>
      <c r="BR25" s="11">
        <f t="shared" ca="1" si="85"/>
        <v>43</v>
      </c>
      <c r="BS25" s="11">
        <f t="shared" ca="1" si="85"/>
        <v>22</v>
      </c>
      <c r="BT25" s="11">
        <f t="shared" ca="1" si="85"/>
        <v>20</v>
      </c>
      <c r="BU25" s="11">
        <f t="shared" ca="1" si="85"/>
        <v>42</v>
      </c>
      <c r="BV25" s="11">
        <f t="shared" ca="1" si="85"/>
        <v>36</v>
      </c>
      <c r="BW25" s="11">
        <f t="shared" ca="1" si="85"/>
        <v>25</v>
      </c>
      <c r="BX25" s="11">
        <f t="shared" ca="1" si="85"/>
        <v>42</v>
      </c>
      <c r="BY25" s="11">
        <f t="shared" ca="1" si="85"/>
        <v>23</v>
      </c>
      <c r="BZ25" s="11">
        <f t="shared" ca="1" si="85"/>
        <v>27</v>
      </c>
      <c r="CA25" s="11">
        <f t="shared" ca="1" si="85"/>
        <v>43</v>
      </c>
      <c r="CB25" s="11">
        <f t="shared" ca="1" si="85"/>
        <v>40</v>
      </c>
      <c r="CC25" s="11">
        <f t="shared" ca="1" si="85"/>
        <v>31</v>
      </c>
      <c r="CD25" s="11">
        <f t="shared" ca="1" si="85"/>
        <v>25</v>
      </c>
      <c r="CE25" s="11">
        <f t="shared" ca="1" si="85"/>
        <v>23</v>
      </c>
      <c r="CF25" s="11">
        <f t="shared" ca="1" si="85"/>
        <v>34</v>
      </c>
      <c r="CG25" s="11">
        <f t="shared" ca="1" si="85"/>
        <v>41</v>
      </c>
      <c r="CH25" s="11">
        <f t="shared" ca="1" si="85"/>
        <v>23</v>
      </c>
      <c r="CI25" s="11">
        <f t="shared" ca="1" si="85"/>
        <v>40</v>
      </c>
      <c r="CJ25" s="11">
        <f t="shared" ca="1" si="85"/>
        <v>39</v>
      </c>
      <c r="CK25" s="11">
        <f t="shared" ca="1" si="85"/>
        <v>27</v>
      </c>
      <c r="CL25" s="11">
        <f t="shared" ca="1" si="85"/>
        <v>30</v>
      </c>
      <c r="CM25" s="11">
        <f t="shared" ca="1" si="85"/>
        <v>26</v>
      </c>
      <c r="CN25" s="11">
        <f t="shared" ca="1" si="85"/>
        <v>31</v>
      </c>
      <c r="CO25" s="11">
        <f t="shared" ca="1" si="85"/>
        <v>26</v>
      </c>
      <c r="CP25" s="11">
        <f t="shared" ca="1" si="85"/>
        <v>38</v>
      </c>
      <c r="CQ25" s="11">
        <f t="shared" ca="1" si="85"/>
        <v>29</v>
      </c>
      <c r="CR25" s="11">
        <f t="shared" ca="1" si="85"/>
        <v>24</v>
      </c>
      <c r="CS25" s="11">
        <f t="shared" ca="1" si="85"/>
        <v>20</v>
      </c>
      <c r="CT25" s="11">
        <f t="shared" ca="1" si="85"/>
        <v>20</v>
      </c>
      <c r="CU25" s="11">
        <f t="shared" ca="1" si="85"/>
        <v>30</v>
      </c>
      <c r="CV25" s="11">
        <f t="shared" ref="CV25:DM25" ca="1" si="86">RANDBETWEEN(20, 45)</f>
        <v>43</v>
      </c>
      <c r="CW25" s="11">
        <f t="shared" ca="1" si="86"/>
        <v>24</v>
      </c>
      <c r="CX25" s="11">
        <f t="shared" ca="1" si="86"/>
        <v>21</v>
      </c>
      <c r="CY25" s="11">
        <f t="shared" ca="1" si="86"/>
        <v>34</v>
      </c>
      <c r="CZ25" s="11">
        <f t="shared" ca="1" si="86"/>
        <v>29</v>
      </c>
      <c r="DA25" s="11">
        <f t="shared" ca="1" si="86"/>
        <v>41</v>
      </c>
      <c r="DB25" s="11">
        <f t="shared" ca="1" si="86"/>
        <v>23</v>
      </c>
      <c r="DC25" s="11">
        <f t="shared" ca="1" si="86"/>
        <v>26</v>
      </c>
      <c r="DD25" s="11">
        <f t="shared" ca="1" si="86"/>
        <v>39</v>
      </c>
      <c r="DE25" s="11">
        <f t="shared" ca="1" si="86"/>
        <v>33</v>
      </c>
      <c r="DF25" s="11">
        <f t="shared" ca="1" si="86"/>
        <v>33</v>
      </c>
      <c r="DG25" s="11">
        <f t="shared" ca="1" si="86"/>
        <v>29</v>
      </c>
      <c r="DH25" s="11">
        <f t="shared" ca="1" si="86"/>
        <v>21</v>
      </c>
      <c r="DI25" s="11">
        <f t="shared" ca="1" si="86"/>
        <v>40</v>
      </c>
      <c r="DJ25" s="11">
        <f t="shared" ca="1" si="86"/>
        <v>33</v>
      </c>
      <c r="DK25" s="11">
        <f t="shared" ca="1" si="86"/>
        <v>31</v>
      </c>
      <c r="DL25" s="11">
        <f t="shared" ca="1" si="86"/>
        <v>36</v>
      </c>
      <c r="DM25" s="11">
        <f t="shared" ca="1" si="86"/>
        <v>21</v>
      </c>
      <c r="DN25" s="11">
        <f ca="1">RAND()+1</f>
        <v>1.7775657936853542</v>
      </c>
      <c r="DO25" s="11">
        <f t="shared" ref="DO25:ED25" ca="1" si="87">RANDBETWEEN(20, 45)</f>
        <v>42</v>
      </c>
      <c r="DP25" s="11">
        <f t="shared" ca="1" si="87"/>
        <v>24</v>
      </c>
      <c r="DQ25" s="11">
        <f t="shared" ca="1" si="87"/>
        <v>27</v>
      </c>
      <c r="DR25" s="11">
        <f t="shared" ca="1" si="87"/>
        <v>45</v>
      </c>
      <c r="DS25" s="11">
        <f t="shared" ca="1" si="87"/>
        <v>27</v>
      </c>
      <c r="DT25" s="11">
        <f t="shared" ca="1" si="87"/>
        <v>27</v>
      </c>
      <c r="DU25" s="11">
        <f t="shared" ca="1" si="87"/>
        <v>41</v>
      </c>
      <c r="DV25" s="11">
        <f t="shared" ca="1" si="87"/>
        <v>30</v>
      </c>
      <c r="DW25" s="11">
        <f t="shared" ca="1" si="87"/>
        <v>41</v>
      </c>
      <c r="DX25" s="11">
        <f t="shared" ca="1" si="87"/>
        <v>42</v>
      </c>
      <c r="DY25" s="11">
        <f t="shared" ca="1" si="87"/>
        <v>40</v>
      </c>
      <c r="DZ25" s="11">
        <f t="shared" ca="1" si="87"/>
        <v>37</v>
      </c>
      <c r="EA25" s="11">
        <f t="shared" ca="1" si="87"/>
        <v>26</v>
      </c>
      <c r="EB25" s="11">
        <f t="shared" ca="1" si="87"/>
        <v>20</v>
      </c>
      <c r="EC25" s="11">
        <f t="shared" ca="1" si="87"/>
        <v>35</v>
      </c>
      <c r="ED25" s="11">
        <f t="shared" ca="1" si="87"/>
        <v>45</v>
      </c>
      <c r="EE25" s="11">
        <f ca="1">RAND()</f>
        <v>0.62572021059525584</v>
      </c>
    </row>
    <row r="26" spans="3:135" x14ac:dyDescent="0.4">
      <c r="C26" s="7" t="s">
        <v>38</v>
      </c>
      <c r="D26" s="11">
        <f t="shared" ref="D26:AI26" ca="1" si="88">RANDBETWEEN(1, 33)</f>
        <v>2</v>
      </c>
      <c r="E26" s="11">
        <f t="shared" ca="1" si="88"/>
        <v>1</v>
      </c>
      <c r="F26" s="11">
        <f t="shared" ca="1" si="88"/>
        <v>12</v>
      </c>
      <c r="G26" s="11">
        <f t="shared" ca="1" si="88"/>
        <v>32</v>
      </c>
      <c r="H26" s="11">
        <f t="shared" ca="1" si="88"/>
        <v>8</v>
      </c>
      <c r="I26" s="11">
        <f t="shared" ca="1" si="88"/>
        <v>20</v>
      </c>
      <c r="J26" s="11">
        <f t="shared" ca="1" si="88"/>
        <v>10</v>
      </c>
      <c r="K26" s="11">
        <f t="shared" ca="1" si="88"/>
        <v>31</v>
      </c>
      <c r="L26" s="11">
        <f t="shared" ca="1" si="88"/>
        <v>21</v>
      </c>
      <c r="M26" s="11">
        <f t="shared" ca="1" si="88"/>
        <v>30</v>
      </c>
      <c r="N26" s="11">
        <f t="shared" ca="1" si="88"/>
        <v>14</v>
      </c>
      <c r="O26" s="11">
        <f t="shared" ca="1" si="88"/>
        <v>23</v>
      </c>
      <c r="P26" s="11">
        <f t="shared" ca="1" si="88"/>
        <v>26</v>
      </c>
      <c r="Q26" s="11">
        <f t="shared" ca="1" si="88"/>
        <v>5</v>
      </c>
      <c r="R26" s="11">
        <f t="shared" ca="1" si="88"/>
        <v>9</v>
      </c>
      <c r="S26" s="11">
        <f t="shared" ca="1" si="88"/>
        <v>33</v>
      </c>
      <c r="T26" s="11">
        <f t="shared" ca="1" si="88"/>
        <v>7</v>
      </c>
      <c r="U26" s="11">
        <f t="shared" ca="1" si="88"/>
        <v>29</v>
      </c>
      <c r="V26" s="11">
        <f t="shared" ca="1" si="88"/>
        <v>5</v>
      </c>
      <c r="W26" s="11">
        <f t="shared" ca="1" si="88"/>
        <v>12</v>
      </c>
      <c r="X26" s="11">
        <f t="shared" ca="1" si="88"/>
        <v>28</v>
      </c>
      <c r="Y26" s="11">
        <f t="shared" ca="1" si="88"/>
        <v>19</v>
      </c>
      <c r="Z26" s="11">
        <f t="shared" ca="1" si="88"/>
        <v>23</v>
      </c>
      <c r="AA26" s="11">
        <f t="shared" ca="1" si="88"/>
        <v>1</v>
      </c>
      <c r="AB26" s="11">
        <f t="shared" ca="1" si="88"/>
        <v>14</v>
      </c>
      <c r="AC26" s="11">
        <f t="shared" ca="1" si="88"/>
        <v>17</v>
      </c>
      <c r="AD26" s="11">
        <f t="shared" ca="1" si="88"/>
        <v>21</v>
      </c>
      <c r="AE26" s="11">
        <f t="shared" ca="1" si="88"/>
        <v>12</v>
      </c>
      <c r="AF26" s="11">
        <f t="shared" ca="1" si="88"/>
        <v>4</v>
      </c>
      <c r="AG26" s="11">
        <f t="shared" ca="1" si="88"/>
        <v>21</v>
      </c>
      <c r="AH26" s="11">
        <f t="shared" ca="1" si="88"/>
        <v>32</v>
      </c>
      <c r="AI26" s="11">
        <f t="shared" ca="1" si="88"/>
        <v>16</v>
      </c>
      <c r="AJ26" s="11">
        <f t="shared" ref="AJ26:BO26" ca="1" si="89">RANDBETWEEN(1, 33)</f>
        <v>24</v>
      </c>
      <c r="AK26" s="11">
        <f t="shared" ca="1" si="89"/>
        <v>9</v>
      </c>
      <c r="AL26" s="11">
        <f t="shared" ca="1" si="89"/>
        <v>12</v>
      </c>
      <c r="AM26" s="11">
        <f t="shared" ca="1" si="89"/>
        <v>25</v>
      </c>
      <c r="AN26" s="11">
        <f t="shared" ca="1" si="89"/>
        <v>16</v>
      </c>
      <c r="AO26" s="11">
        <f t="shared" ca="1" si="89"/>
        <v>4</v>
      </c>
      <c r="AP26" s="11">
        <f t="shared" ca="1" si="89"/>
        <v>26</v>
      </c>
      <c r="AQ26" s="11">
        <f t="shared" ca="1" si="89"/>
        <v>3</v>
      </c>
      <c r="AR26" s="11">
        <f t="shared" ca="1" si="89"/>
        <v>17</v>
      </c>
      <c r="AS26" s="11">
        <f t="shared" ca="1" si="89"/>
        <v>2</v>
      </c>
      <c r="AT26" s="11">
        <f t="shared" ca="1" si="89"/>
        <v>19</v>
      </c>
      <c r="AU26" s="11">
        <f t="shared" ca="1" si="89"/>
        <v>5</v>
      </c>
      <c r="AV26" s="11">
        <f t="shared" ca="1" si="89"/>
        <v>7</v>
      </c>
      <c r="AW26" s="11">
        <f t="shared" ca="1" si="89"/>
        <v>10</v>
      </c>
      <c r="AX26" s="11">
        <f t="shared" ca="1" si="89"/>
        <v>13</v>
      </c>
      <c r="AY26" s="11">
        <f t="shared" ca="1" si="89"/>
        <v>4</v>
      </c>
      <c r="AZ26" s="11">
        <f t="shared" ca="1" si="89"/>
        <v>19</v>
      </c>
      <c r="BA26" s="11">
        <f t="shared" ca="1" si="89"/>
        <v>30</v>
      </c>
      <c r="BB26" s="11">
        <f t="shared" ca="1" si="89"/>
        <v>10</v>
      </c>
      <c r="BC26" s="11">
        <f t="shared" ca="1" si="89"/>
        <v>21</v>
      </c>
      <c r="BD26" s="11">
        <f t="shared" ca="1" si="89"/>
        <v>18</v>
      </c>
      <c r="BE26" s="11">
        <f t="shared" ca="1" si="89"/>
        <v>21</v>
      </c>
      <c r="BF26" s="11">
        <f t="shared" ca="1" si="89"/>
        <v>22</v>
      </c>
      <c r="BG26" s="11">
        <f t="shared" ca="1" si="89"/>
        <v>3</v>
      </c>
      <c r="BH26" s="11">
        <f t="shared" ca="1" si="89"/>
        <v>3</v>
      </c>
      <c r="BI26" s="11">
        <f t="shared" ca="1" si="89"/>
        <v>5</v>
      </c>
      <c r="BJ26" s="11">
        <f t="shared" ca="1" si="89"/>
        <v>20</v>
      </c>
      <c r="BK26" s="11">
        <f t="shared" ca="1" si="89"/>
        <v>23</v>
      </c>
      <c r="BL26" s="11">
        <f t="shared" ca="1" si="89"/>
        <v>2</v>
      </c>
      <c r="BM26" s="11">
        <f t="shared" ca="1" si="89"/>
        <v>33</v>
      </c>
      <c r="BN26" s="11">
        <f t="shared" ca="1" si="89"/>
        <v>19</v>
      </c>
      <c r="BO26" s="11">
        <f t="shared" ca="1" si="89"/>
        <v>6</v>
      </c>
      <c r="BP26" s="11">
        <f t="shared" ref="BP26:CU26" ca="1" si="90">RANDBETWEEN(1, 33)</f>
        <v>24</v>
      </c>
      <c r="BQ26" s="11">
        <f t="shared" ca="1" si="90"/>
        <v>16</v>
      </c>
      <c r="BR26" s="11">
        <f t="shared" ca="1" si="90"/>
        <v>1</v>
      </c>
      <c r="BS26" s="11">
        <f t="shared" ca="1" si="90"/>
        <v>14</v>
      </c>
      <c r="BT26" s="11">
        <f t="shared" ca="1" si="90"/>
        <v>2</v>
      </c>
      <c r="BU26" s="11">
        <f t="shared" ca="1" si="90"/>
        <v>22</v>
      </c>
      <c r="BV26" s="11">
        <f t="shared" ca="1" si="90"/>
        <v>12</v>
      </c>
      <c r="BW26" s="11">
        <f t="shared" ca="1" si="90"/>
        <v>24</v>
      </c>
      <c r="BX26" s="11">
        <f t="shared" ca="1" si="90"/>
        <v>30</v>
      </c>
      <c r="BY26" s="11">
        <f t="shared" ca="1" si="90"/>
        <v>11</v>
      </c>
      <c r="BZ26" s="11">
        <f t="shared" ca="1" si="90"/>
        <v>5</v>
      </c>
      <c r="CA26" s="11">
        <f t="shared" ca="1" si="90"/>
        <v>22</v>
      </c>
      <c r="CB26" s="11">
        <f t="shared" ca="1" si="90"/>
        <v>30</v>
      </c>
      <c r="CC26" s="11">
        <f t="shared" ca="1" si="90"/>
        <v>10</v>
      </c>
      <c r="CD26" s="11">
        <f t="shared" ca="1" si="90"/>
        <v>17</v>
      </c>
      <c r="CE26" s="11">
        <f t="shared" ca="1" si="90"/>
        <v>8</v>
      </c>
      <c r="CF26" s="11">
        <f t="shared" ca="1" si="90"/>
        <v>29</v>
      </c>
      <c r="CG26" s="11">
        <f t="shared" ca="1" si="90"/>
        <v>19</v>
      </c>
      <c r="CH26" s="11">
        <f t="shared" ca="1" si="90"/>
        <v>12</v>
      </c>
      <c r="CI26" s="11">
        <f t="shared" ca="1" si="90"/>
        <v>6</v>
      </c>
      <c r="CJ26" s="11">
        <f t="shared" ca="1" si="90"/>
        <v>2</v>
      </c>
      <c r="CK26" s="11">
        <f t="shared" ca="1" si="90"/>
        <v>8</v>
      </c>
      <c r="CL26" s="11">
        <f t="shared" ca="1" si="90"/>
        <v>8</v>
      </c>
      <c r="CM26" s="11">
        <f t="shared" ca="1" si="90"/>
        <v>27</v>
      </c>
      <c r="CN26" s="11">
        <f t="shared" ca="1" si="90"/>
        <v>31</v>
      </c>
      <c r="CO26" s="11">
        <f t="shared" ca="1" si="90"/>
        <v>19</v>
      </c>
      <c r="CP26" s="11">
        <f t="shared" ca="1" si="90"/>
        <v>16</v>
      </c>
      <c r="CQ26" s="11">
        <f t="shared" ca="1" si="90"/>
        <v>27</v>
      </c>
      <c r="CR26" s="11">
        <f t="shared" ca="1" si="90"/>
        <v>20</v>
      </c>
      <c r="CS26" s="11">
        <f t="shared" ca="1" si="90"/>
        <v>14</v>
      </c>
      <c r="CT26" s="11">
        <f t="shared" ca="1" si="90"/>
        <v>6</v>
      </c>
      <c r="CU26" s="11">
        <f t="shared" ca="1" si="90"/>
        <v>5</v>
      </c>
      <c r="CV26" s="11">
        <f t="shared" ref="CV26:EE26" ca="1" si="91">RANDBETWEEN(1, 33)</f>
        <v>5</v>
      </c>
      <c r="CW26" s="11">
        <f t="shared" ca="1" si="91"/>
        <v>29</v>
      </c>
      <c r="CX26" s="11">
        <f t="shared" ca="1" si="91"/>
        <v>33</v>
      </c>
      <c r="CY26" s="11">
        <f t="shared" ca="1" si="91"/>
        <v>25</v>
      </c>
      <c r="CZ26" s="11">
        <f t="shared" ca="1" si="91"/>
        <v>23</v>
      </c>
      <c r="DA26" s="11">
        <f t="shared" ca="1" si="91"/>
        <v>21</v>
      </c>
      <c r="DB26" s="11">
        <f t="shared" ca="1" si="91"/>
        <v>14</v>
      </c>
      <c r="DC26" s="11">
        <f t="shared" ca="1" si="91"/>
        <v>32</v>
      </c>
      <c r="DD26" s="11">
        <f t="shared" ca="1" si="91"/>
        <v>18</v>
      </c>
      <c r="DE26" s="11">
        <f t="shared" ca="1" si="91"/>
        <v>13</v>
      </c>
      <c r="DF26" s="11">
        <f t="shared" ca="1" si="91"/>
        <v>15</v>
      </c>
      <c r="DG26" s="11">
        <f t="shared" ca="1" si="91"/>
        <v>8</v>
      </c>
      <c r="DH26" s="11">
        <f t="shared" ca="1" si="91"/>
        <v>18</v>
      </c>
      <c r="DI26" s="11">
        <f t="shared" ca="1" si="91"/>
        <v>21</v>
      </c>
      <c r="DJ26" s="11">
        <f t="shared" ca="1" si="91"/>
        <v>27</v>
      </c>
      <c r="DK26" s="11">
        <f t="shared" ca="1" si="91"/>
        <v>19</v>
      </c>
      <c r="DL26" s="11">
        <f t="shared" ca="1" si="91"/>
        <v>29</v>
      </c>
      <c r="DM26" s="11">
        <f t="shared" ca="1" si="91"/>
        <v>12</v>
      </c>
      <c r="DN26" s="11">
        <f t="shared" ca="1" si="91"/>
        <v>27</v>
      </c>
      <c r="DO26" s="11">
        <f t="shared" ca="1" si="91"/>
        <v>26</v>
      </c>
      <c r="DP26" s="11">
        <f t="shared" ca="1" si="91"/>
        <v>22</v>
      </c>
      <c r="DQ26" s="11">
        <f t="shared" ca="1" si="91"/>
        <v>12</v>
      </c>
      <c r="DR26" s="11">
        <f t="shared" ca="1" si="91"/>
        <v>1</v>
      </c>
      <c r="DS26" s="11">
        <f t="shared" ca="1" si="91"/>
        <v>5</v>
      </c>
      <c r="DT26" s="11">
        <f t="shared" ca="1" si="91"/>
        <v>14</v>
      </c>
      <c r="DU26" s="11">
        <f t="shared" ca="1" si="91"/>
        <v>2</v>
      </c>
      <c r="DV26" s="11">
        <f t="shared" ca="1" si="91"/>
        <v>20</v>
      </c>
      <c r="DW26" s="11">
        <f t="shared" ca="1" si="91"/>
        <v>11</v>
      </c>
      <c r="DX26" s="11">
        <f t="shared" ca="1" si="91"/>
        <v>13</v>
      </c>
      <c r="DY26" s="11">
        <f t="shared" ca="1" si="91"/>
        <v>5</v>
      </c>
      <c r="DZ26" s="11">
        <f t="shared" ca="1" si="91"/>
        <v>23</v>
      </c>
      <c r="EA26" s="11">
        <f t="shared" ca="1" si="91"/>
        <v>30</v>
      </c>
      <c r="EB26" s="11">
        <f t="shared" ca="1" si="91"/>
        <v>20</v>
      </c>
      <c r="EC26" s="11">
        <f t="shared" ca="1" si="91"/>
        <v>2</v>
      </c>
      <c r="ED26" s="11">
        <f t="shared" ca="1" si="91"/>
        <v>26</v>
      </c>
      <c r="EE26" s="11">
        <f t="shared" ca="1" si="91"/>
        <v>16</v>
      </c>
    </row>
    <row r="27" spans="3:135" x14ac:dyDescent="0.4">
      <c r="C27" s="7" t="s">
        <v>22</v>
      </c>
      <c r="D27" s="11">
        <f t="shared" ref="D27:AI27" ca="1" si="92">RANDBETWEEN(0, 45)</f>
        <v>20</v>
      </c>
      <c r="E27" s="11">
        <f t="shared" ca="1" si="92"/>
        <v>38</v>
      </c>
      <c r="F27" s="11">
        <f t="shared" ca="1" si="92"/>
        <v>12</v>
      </c>
      <c r="G27" s="11">
        <f t="shared" ca="1" si="92"/>
        <v>3</v>
      </c>
      <c r="H27" s="11">
        <f t="shared" ca="1" si="92"/>
        <v>20</v>
      </c>
      <c r="I27" s="11">
        <f t="shared" ca="1" si="92"/>
        <v>10</v>
      </c>
      <c r="J27" s="11">
        <f t="shared" ca="1" si="92"/>
        <v>10</v>
      </c>
      <c r="K27" s="11">
        <f t="shared" ca="1" si="92"/>
        <v>24</v>
      </c>
      <c r="L27" s="11">
        <f t="shared" ca="1" si="92"/>
        <v>21</v>
      </c>
      <c r="M27" s="11">
        <f t="shared" ca="1" si="92"/>
        <v>35</v>
      </c>
      <c r="N27" s="11">
        <f t="shared" ca="1" si="92"/>
        <v>44</v>
      </c>
      <c r="O27" s="11">
        <f t="shared" ca="1" si="92"/>
        <v>6</v>
      </c>
      <c r="P27" s="11">
        <f t="shared" ca="1" si="92"/>
        <v>10</v>
      </c>
      <c r="Q27" s="11">
        <f t="shared" ca="1" si="92"/>
        <v>2</v>
      </c>
      <c r="R27" s="11">
        <f t="shared" ca="1" si="92"/>
        <v>39</v>
      </c>
      <c r="S27" s="11">
        <f t="shared" ca="1" si="92"/>
        <v>28</v>
      </c>
      <c r="T27" s="11">
        <f t="shared" ca="1" si="92"/>
        <v>37</v>
      </c>
      <c r="U27" s="11">
        <f t="shared" ca="1" si="92"/>
        <v>33</v>
      </c>
      <c r="V27" s="11">
        <f t="shared" ca="1" si="92"/>
        <v>10</v>
      </c>
      <c r="W27" s="11">
        <f t="shared" ca="1" si="92"/>
        <v>40</v>
      </c>
      <c r="X27" s="11">
        <f t="shared" ca="1" si="92"/>
        <v>15</v>
      </c>
      <c r="Y27" s="11">
        <f t="shared" ca="1" si="92"/>
        <v>13</v>
      </c>
      <c r="Z27" s="11">
        <f t="shared" ca="1" si="92"/>
        <v>19</v>
      </c>
      <c r="AA27" s="11">
        <f t="shared" ca="1" si="92"/>
        <v>43</v>
      </c>
      <c r="AB27" s="11">
        <f t="shared" ca="1" si="92"/>
        <v>16</v>
      </c>
      <c r="AC27" s="11">
        <f t="shared" ca="1" si="92"/>
        <v>12</v>
      </c>
      <c r="AD27" s="11">
        <f t="shared" ca="1" si="92"/>
        <v>5</v>
      </c>
      <c r="AE27" s="11">
        <f t="shared" ca="1" si="92"/>
        <v>1</v>
      </c>
      <c r="AF27" s="11">
        <f t="shared" ca="1" si="92"/>
        <v>17</v>
      </c>
      <c r="AG27" s="11">
        <f t="shared" ca="1" si="92"/>
        <v>42</v>
      </c>
      <c r="AH27" s="11">
        <f t="shared" ca="1" si="92"/>
        <v>11</v>
      </c>
      <c r="AI27" s="11">
        <f t="shared" ca="1" si="92"/>
        <v>28</v>
      </c>
      <c r="AJ27" s="11">
        <f t="shared" ref="AJ27:BO27" ca="1" si="93">RANDBETWEEN(0, 45)</f>
        <v>4</v>
      </c>
      <c r="AK27" s="11">
        <f t="shared" ca="1" si="93"/>
        <v>43</v>
      </c>
      <c r="AL27" s="11">
        <f t="shared" ca="1" si="93"/>
        <v>12</v>
      </c>
      <c r="AM27" s="11">
        <f t="shared" ca="1" si="93"/>
        <v>40</v>
      </c>
      <c r="AN27" s="11">
        <f t="shared" ca="1" si="93"/>
        <v>43</v>
      </c>
      <c r="AO27" s="11">
        <f t="shared" ca="1" si="93"/>
        <v>20</v>
      </c>
      <c r="AP27" s="11">
        <f t="shared" ca="1" si="93"/>
        <v>23</v>
      </c>
      <c r="AQ27" s="11">
        <f t="shared" ca="1" si="93"/>
        <v>9</v>
      </c>
      <c r="AR27" s="11">
        <f t="shared" ca="1" si="93"/>
        <v>4</v>
      </c>
      <c r="AS27" s="11">
        <f t="shared" ca="1" si="93"/>
        <v>14</v>
      </c>
      <c r="AT27" s="11">
        <f t="shared" ca="1" si="93"/>
        <v>25</v>
      </c>
      <c r="AU27" s="11">
        <f t="shared" ca="1" si="93"/>
        <v>22</v>
      </c>
      <c r="AV27" s="11">
        <f t="shared" ca="1" si="93"/>
        <v>12</v>
      </c>
      <c r="AW27" s="11">
        <f t="shared" ca="1" si="93"/>
        <v>23</v>
      </c>
      <c r="AX27" s="11">
        <f t="shared" ca="1" si="93"/>
        <v>19</v>
      </c>
      <c r="AY27" s="11">
        <f t="shared" ca="1" si="93"/>
        <v>2</v>
      </c>
      <c r="AZ27" s="11">
        <f t="shared" ca="1" si="93"/>
        <v>21</v>
      </c>
      <c r="BA27" s="11">
        <f t="shared" ca="1" si="93"/>
        <v>28</v>
      </c>
      <c r="BB27" s="11">
        <f t="shared" ca="1" si="93"/>
        <v>17</v>
      </c>
      <c r="BC27" s="11">
        <f t="shared" ca="1" si="93"/>
        <v>26</v>
      </c>
      <c r="BD27" s="11">
        <f t="shared" ca="1" si="93"/>
        <v>31</v>
      </c>
      <c r="BE27" s="11">
        <f t="shared" ca="1" si="93"/>
        <v>40</v>
      </c>
      <c r="BF27" s="11">
        <f t="shared" ca="1" si="93"/>
        <v>43</v>
      </c>
      <c r="BG27" s="11">
        <f t="shared" ca="1" si="93"/>
        <v>29</v>
      </c>
      <c r="BH27" s="11">
        <f t="shared" ca="1" si="93"/>
        <v>43</v>
      </c>
      <c r="BI27" s="11">
        <f t="shared" ca="1" si="93"/>
        <v>36</v>
      </c>
      <c r="BJ27" s="11">
        <f t="shared" ca="1" si="93"/>
        <v>24</v>
      </c>
      <c r="BK27" s="11">
        <f t="shared" ca="1" si="93"/>
        <v>18</v>
      </c>
      <c r="BL27" s="11">
        <f t="shared" ca="1" si="93"/>
        <v>6</v>
      </c>
      <c r="BM27" s="11">
        <f t="shared" ca="1" si="93"/>
        <v>25</v>
      </c>
      <c r="BN27" s="11">
        <f t="shared" ca="1" si="93"/>
        <v>13</v>
      </c>
      <c r="BO27" s="11">
        <f t="shared" ca="1" si="93"/>
        <v>35</v>
      </c>
      <c r="BP27" s="11">
        <f t="shared" ref="BP27:CU27" ca="1" si="94">RANDBETWEEN(0, 45)</f>
        <v>13</v>
      </c>
      <c r="BQ27" s="11">
        <f t="shared" ca="1" si="94"/>
        <v>7</v>
      </c>
      <c r="BR27" s="11">
        <f t="shared" ca="1" si="94"/>
        <v>36</v>
      </c>
      <c r="BS27" s="11">
        <f t="shared" ca="1" si="94"/>
        <v>0</v>
      </c>
      <c r="BT27" s="11">
        <f t="shared" ca="1" si="94"/>
        <v>25</v>
      </c>
      <c r="BU27" s="11">
        <f t="shared" ca="1" si="94"/>
        <v>35</v>
      </c>
      <c r="BV27" s="11">
        <f t="shared" ca="1" si="94"/>
        <v>16</v>
      </c>
      <c r="BW27" s="11">
        <f t="shared" ca="1" si="94"/>
        <v>25</v>
      </c>
      <c r="BX27" s="11">
        <f t="shared" ca="1" si="94"/>
        <v>3</v>
      </c>
      <c r="BY27" s="11">
        <f t="shared" ca="1" si="94"/>
        <v>17</v>
      </c>
      <c r="BZ27" s="11">
        <f t="shared" ca="1" si="94"/>
        <v>45</v>
      </c>
      <c r="CA27" s="11">
        <f t="shared" ca="1" si="94"/>
        <v>4</v>
      </c>
      <c r="CB27" s="11">
        <f t="shared" ca="1" si="94"/>
        <v>33</v>
      </c>
      <c r="CC27" s="11">
        <f t="shared" ca="1" si="94"/>
        <v>34</v>
      </c>
      <c r="CD27" s="11">
        <f t="shared" ca="1" si="94"/>
        <v>17</v>
      </c>
      <c r="CE27" s="11">
        <f t="shared" ca="1" si="94"/>
        <v>5</v>
      </c>
      <c r="CF27" s="11">
        <f t="shared" ca="1" si="94"/>
        <v>8</v>
      </c>
      <c r="CG27" s="11">
        <f t="shared" ca="1" si="94"/>
        <v>10</v>
      </c>
      <c r="CH27" s="11">
        <f t="shared" ca="1" si="94"/>
        <v>20</v>
      </c>
      <c r="CI27" s="11">
        <f t="shared" ca="1" si="94"/>
        <v>10</v>
      </c>
      <c r="CJ27" s="11">
        <f t="shared" ca="1" si="94"/>
        <v>14</v>
      </c>
      <c r="CK27" s="11">
        <f t="shared" ca="1" si="94"/>
        <v>40</v>
      </c>
      <c r="CL27" s="11">
        <f t="shared" ca="1" si="94"/>
        <v>29</v>
      </c>
      <c r="CM27" s="11">
        <f t="shared" ca="1" si="94"/>
        <v>36</v>
      </c>
      <c r="CN27" s="11">
        <f t="shared" ca="1" si="94"/>
        <v>14</v>
      </c>
      <c r="CO27" s="11">
        <f t="shared" ca="1" si="94"/>
        <v>32</v>
      </c>
      <c r="CP27" s="11">
        <f t="shared" ca="1" si="94"/>
        <v>15</v>
      </c>
      <c r="CQ27" s="11">
        <f t="shared" ca="1" si="94"/>
        <v>21</v>
      </c>
      <c r="CR27" s="11">
        <f t="shared" ca="1" si="94"/>
        <v>13</v>
      </c>
      <c r="CS27" s="11">
        <f t="shared" ca="1" si="94"/>
        <v>23</v>
      </c>
      <c r="CT27" s="11">
        <f t="shared" ca="1" si="94"/>
        <v>27</v>
      </c>
      <c r="CU27" s="11">
        <f t="shared" ca="1" si="94"/>
        <v>4</v>
      </c>
      <c r="CV27" s="11">
        <f t="shared" ref="CV27:EE27" ca="1" si="95">RANDBETWEEN(0, 45)</f>
        <v>2</v>
      </c>
      <c r="CW27" s="11">
        <f t="shared" ca="1" si="95"/>
        <v>10</v>
      </c>
      <c r="CX27" s="11">
        <f t="shared" ca="1" si="95"/>
        <v>39</v>
      </c>
      <c r="CY27" s="11">
        <f t="shared" ca="1" si="95"/>
        <v>14</v>
      </c>
      <c r="CZ27" s="11">
        <f t="shared" ca="1" si="95"/>
        <v>5</v>
      </c>
      <c r="DA27" s="11">
        <f t="shared" ca="1" si="95"/>
        <v>26</v>
      </c>
      <c r="DB27" s="11">
        <f t="shared" ca="1" si="95"/>
        <v>44</v>
      </c>
      <c r="DC27" s="11">
        <f t="shared" ca="1" si="95"/>
        <v>43</v>
      </c>
      <c r="DD27" s="11">
        <f t="shared" ca="1" si="95"/>
        <v>18</v>
      </c>
      <c r="DE27" s="11">
        <f t="shared" ca="1" si="95"/>
        <v>29</v>
      </c>
      <c r="DF27" s="11">
        <f t="shared" ca="1" si="95"/>
        <v>13</v>
      </c>
      <c r="DG27" s="11">
        <f t="shared" ca="1" si="95"/>
        <v>33</v>
      </c>
      <c r="DH27" s="11">
        <f t="shared" ca="1" si="95"/>
        <v>31</v>
      </c>
      <c r="DI27" s="11">
        <f t="shared" ca="1" si="95"/>
        <v>33</v>
      </c>
      <c r="DJ27" s="11">
        <f t="shared" ca="1" si="95"/>
        <v>38</v>
      </c>
      <c r="DK27" s="11">
        <f t="shared" ca="1" si="95"/>
        <v>34</v>
      </c>
      <c r="DL27" s="11">
        <f t="shared" ca="1" si="95"/>
        <v>24</v>
      </c>
      <c r="DM27" s="11">
        <f t="shared" ca="1" si="95"/>
        <v>12</v>
      </c>
      <c r="DN27" s="11">
        <f t="shared" ca="1" si="95"/>
        <v>35</v>
      </c>
      <c r="DO27" s="11">
        <f t="shared" ca="1" si="95"/>
        <v>21</v>
      </c>
      <c r="DP27" s="11">
        <f t="shared" ca="1" si="95"/>
        <v>26</v>
      </c>
      <c r="DQ27" s="11">
        <f t="shared" ca="1" si="95"/>
        <v>25</v>
      </c>
      <c r="DR27" s="11">
        <f t="shared" ca="1" si="95"/>
        <v>11</v>
      </c>
      <c r="DS27" s="11">
        <f t="shared" ca="1" si="95"/>
        <v>21</v>
      </c>
      <c r="DT27" s="11">
        <f t="shared" ca="1" si="95"/>
        <v>16</v>
      </c>
      <c r="DU27" s="11">
        <f t="shared" ca="1" si="95"/>
        <v>15</v>
      </c>
      <c r="DV27" s="11">
        <f t="shared" ca="1" si="95"/>
        <v>29</v>
      </c>
      <c r="DW27" s="11">
        <f t="shared" ca="1" si="95"/>
        <v>23</v>
      </c>
      <c r="DX27" s="11">
        <f t="shared" ca="1" si="95"/>
        <v>3</v>
      </c>
      <c r="DY27" s="11">
        <f t="shared" ca="1" si="95"/>
        <v>6</v>
      </c>
      <c r="DZ27" s="11">
        <f t="shared" ca="1" si="95"/>
        <v>2</v>
      </c>
      <c r="EA27" s="11">
        <f t="shared" ca="1" si="95"/>
        <v>14</v>
      </c>
      <c r="EB27" s="11">
        <f t="shared" ca="1" si="95"/>
        <v>15</v>
      </c>
      <c r="EC27" s="11">
        <f t="shared" ca="1" si="95"/>
        <v>3</v>
      </c>
      <c r="ED27" s="11">
        <f t="shared" ca="1" si="95"/>
        <v>34</v>
      </c>
      <c r="EE27" s="11">
        <f t="shared" ca="1" si="95"/>
        <v>32</v>
      </c>
    </row>
    <row r="28" spans="3:135" x14ac:dyDescent="0.4">
      <c r="C28" s="7" t="s">
        <v>23</v>
      </c>
      <c r="D28" s="11">
        <f t="shared" ref="D28:AI28" ca="1" si="96">RAND()</f>
        <v>0.71227514636302924</v>
      </c>
      <c r="E28" s="11">
        <f t="shared" ca="1" si="96"/>
        <v>0.67718149713880083</v>
      </c>
      <c r="F28" s="11">
        <f t="shared" ca="1" si="96"/>
        <v>0.36902393919295262</v>
      </c>
      <c r="G28" s="11">
        <f t="shared" ca="1" si="96"/>
        <v>8.3717515487871097E-2</v>
      </c>
      <c r="H28" s="11">
        <f t="shared" ca="1" si="96"/>
        <v>2.7646832405844646E-2</v>
      </c>
      <c r="I28" s="11">
        <f t="shared" ca="1" si="96"/>
        <v>0.20480999073138439</v>
      </c>
      <c r="J28" s="11">
        <f t="shared" ca="1" si="96"/>
        <v>0.15161895317211982</v>
      </c>
      <c r="K28" s="11">
        <f t="shared" ca="1" si="96"/>
        <v>0.48193926859539882</v>
      </c>
      <c r="L28" s="11">
        <f t="shared" ca="1" si="96"/>
        <v>0.63195927795772544</v>
      </c>
      <c r="M28" s="11">
        <f t="shared" ca="1" si="96"/>
        <v>6.1384181038238728E-2</v>
      </c>
      <c r="N28" s="11">
        <f t="shared" ca="1" si="96"/>
        <v>0.42218627777134943</v>
      </c>
      <c r="O28" s="11">
        <f t="shared" ca="1" si="96"/>
        <v>0.92995284860892402</v>
      </c>
      <c r="P28" s="11">
        <f t="shared" ca="1" si="96"/>
        <v>0.93222686271669908</v>
      </c>
      <c r="Q28" s="11">
        <f t="shared" ca="1" si="96"/>
        <v>0.97206890472016794</v>
      </c>
      <c r="R28" s="11">
        <f t="shared" ca="1" si="96"/>
        <v>0.25082798492982883</v>
      </c>
      <c r="S28" s="11">
        <f t="shared" ca="1" si="96"/>
        <v>0.86997376397942894</v>
      </c>
      <c r="T28" s="11">
        <f t="shared" ca="1" si="96"/>
        <v>0.83776047398786935</v>
      </c>
      <c r="U28" s="11">
        <f t="shared" ca="1" si="96"/>
        <v>0.89334478747265234</v>
      </c>
      <c r="V28" s="11">
        <f t="shared" ca="1" si="96"/>
        <v>0.54539977940505513</v>
      </c>
      <c r="W28" s="11">
        <f t="shared" ca="1" si="96"/>
        <v>0.48218653927735344</v>
      </c>
      <c r="X28" s="11">
        <f t="shared" ca="1" si="96"/>
        <v>0.2379422871793303</v>
      </c>
      <c r="Y28" s="11">
        <f t="shared" ca="1" si="96"/>
        <v>0.21098242559599123</v>
      </c>
      <c r="Z28" s="11">
        <f t="shared" ca="1" si="96"/>
        <v>0.84362006088232955</v>
      </c>
      <c r="AA28" s="11">
        <f t="shared" ca="1" si="96"/>
        <v>0.71021920364626867</v>
      </c>
      <c r="AB28" s="11">
        <f t="shared" ca="1" si="96"/>
        <v>0.12082941424964266</v>
      </c>
      <c r="AC28" s="11">
        <f t="shared" ca="1" si="96"/>
        <v>0.46977965783411502</v>
      </c>
      <c r="AD28" s="11">
        <f t="shared" ca="1" si="96"/>
        <v>0.10002076193408538</v>
      </c>
      <c r="AE28" s="11">
        <f t="shared" ca="1" si="96"/>
        <v>0.29627853408390348</v>
      </c>
      <c r="AF28" s="11">
        <f t="shared" ca="1" si="96"/>
        <v>0.74959113502543662</v>
      </c>
      <c r="AG28" s="11">
        <f t="shared" ca="1" si="96"/>
        <v>0.22759537101891236</v>
      </c>
      <c r="AH28" s="11">
        <f t="shared" ca="1" si="96"/>
        <v>0.90145265281073594</v>
      </c>
      <c r="AI28" s="11">
        <f t="shared" ca="1" si="96"/>
        <v>0.48021412660904705</v>
      </c>
      <c r="AJ28" s="11">
        <f t="shared" ref="AJ28:BO28" ca="1" si="97">RAND()</f>
        <v>0.45029005374201903</v>
      </c>
      <c r="AK28" s="11">
        <f t="shared" ca="1" si="97"/>
        <v>0.88433965960885663</v>
      </c>
      <c r="AL28" s="11">
        <f t="shared" ca="1" si="97"/>
        <v>0.7774026656962012</v>
      </c>
      <c r="AM28" s="11">
        <f t="shared" ca="1" si="97"/>
        <v>0.57547571990213353</v>
      </c>
      <c r="AN28" s="11">
        <f t="shared" ca="1" si="97"/>
        <v>0.37978345820476977</v>
      </c>
      <c r="AO28" s="11">
        <f t="shared" ca="1" si="97"/>
        <v>0.49449384810446673</v>
      </c>
      <c r="AP28" s="11">
        <f t="shared" ca="1" si="97"/>
        <v>0.50677619604228552</v>
      </c>
      <c r="AQ28" s="11">
        <f t="shared" ca="1" si="97"/>
        <v>0.55050211142688377</v>
      </c>
      <c r="AR28" s="11">
        <f t="shared" ca="1" si="97"/>
        <v>0.44326553923265766</v>
      </c>
      <c r="AS28" s="11">
        <f t="shared" ca="1" si="97"/>
        <v>0.74296902247383911</v>
      </c>
      <c r="AT28" s="11">
        <f t="shared" ca="1" si="97"/>
        <v>0.79075458431750678</v>
      </c>
      <c r="AU28" s="11">
        <f t="shared" ca="1" si="97"/>
        <v>0.10629710747809351</v>
      </c>
      <c r="AV28" s="11">
        <f t="shared" ca="1" si="97"/>
        <v>0.55939252085748081</v>
      </c>
      <c r="AW28" s="11">
        <f t="shared" ca="1" si="97"/>
        <v>0.31516412652008297</v>
      </c>
      <c r="AX28" s="11">
        <f t="shared" ca="1" si="97"/>
        <v>0.14915128833774227</v>
      </c>
      <c r="AY28" s="11">
        <f t="shared" ca="1" si="97"/>
        <v>0.4098344817472358</v>
      </c>
      <c r="AZ28" s="11">
        <f t="shared" ca="1" si="97"/>
        <v>0.29960992785151086</v>
      </c>
      <c r="BA28" s="11">
        <f t="shared" ca="1" si="97"/>
        <v>0.66180242259826094</v>
      </c>
      <c r="BB28" s="11">
        <f t="shared" ca="1" si="97"/>
        <v>0.34918893670111351</v>
      </c>
      <c r="BC28" s="11">
        <f t="shared" ca="1" si="97"/>
        <v>0.92760473602561455</v>
      </c>
      <c r="BD28" s="11">
        <f t="shared" ca="1" si="97"/>
        <v>0.62097343667828275</v>
      </c>
      <c r="BE28" s="11">
        <f t="shared" ca="1" si="97"/>
        <v>0.88127257587947438</v>
      </c>
      <c r="BF28" s="11">
        <f t="shared" ca="1" si="97"/>
        <v>5.8045803776707317E-3</v>
      </c>
      <c r="BG28" s="11">
        <f t="shared" ca="1" si="97"/>
        <v>0.60492325614490161</v>
      </c>
      <c r="BH28" s="11">
        <f t="shared" ca="1" si="97"/>
        <v>0.87184911648475028</v>
      </c>
      <c r="BI28" s="11">
        <f t="shared" ca="1" si="97"/>
        <v>0.92682319841399774</v>
      </c>
      <c r="BJ28" s="11">
        <f t="shared" ca="1" si="97"/>
        <v>1.1744055429071532E-2</v>
      </c>
      <c r="BK28" s="11">
        <f t="shared" ca="1" si="97"/>
        <v>1.4977773119172477E-2</v>
      </c>
      <c r="BL28" s="11">
        <f t="shared" ca="1" si="97"/>
        <v>0.68965975699471249</v>
      </c>
      <c r="BM28" s="11">
        <f t="shared" ca="1" si="97"/>
        <v>0.53478871123046634</v>
      </c>
      <c r="BN28" s="11">
        <f t="shared" ca="1" si="97"/>
        <v>0.48612892388240603</v>
      </c>
      <c r="BO28" s="11">
        <f t="shared" ca="1" si="97"/>
        <v>0.11947665340486913</v>
      </c>
      <c r="BP28" s="11">
        <f t="shared" ref="BP28:CU28" ca="1" si="98">RAND()</f>
        <v>0.49215209804969418</v>
      </c>
      <c r="BQ28" s="11">
        <f t="shared" ca="1" si="98"/>
        <v>0.92130082048377004</v>
      </c>
      <c r="BR28" s="11">
        <f t="shared" ca="1" si="98"/>
        <v>0.14862084831891664</v>
      </c>
      <c r="BS28" s="11">
        <f t="shared" ca="1" si="98"/>
        <v>0.96902234873431059</v>
      </c>
      <c r="BT28" s="11">
        <f t="shared" ca="1" si="98"/>
        <v>0.26605505847397537</v>
      </c>
      <c r="BU28" s="11">
        <f t="shared" ca="1" si="98"/>
        <v>0.15786104289831526</v>
      </c>
      <c r="BV28" s="11">
        <f t="shared" ca="1" si="98"/>
        <v>6.3910979596380924E-2</v>
      </c>
      <c r="BW28" s="11">
        <f t="shared" ca="1" si="98"/>
        <v>0.34696094023925705</v>
      </c>
      <c r="BX28" s="11">
        <f t="shared" ca="1" si="98"/>
        <v>0.88831097513563684</v>
      </c>
      <c r="BY28" s="11">
        <f t="shared" ca="1" si="98"/>
        <v>0.55747646210876867</v>
      </c>
      <c r="BZ28" s="11">
        <f t="shared" ca="1" si="98"/>
        <v>0.24084212444282693</v>
      </c>
      <c r="CA28" s="11">
        <f t="shared" ca="1" si="98"/>
        <v>0.96929468074147895</v>
      </c>
      <c r="CB28" s="11">
        <f t="shared" ca="1" si="98"/>
        <v>0.46032850195101138</v>
      </c>
      <c r="CC28" s="11">
        <f t="shared" ca="1" si="98"/>
        <v>0.39126192129722892</v>
      </c>
      <c r="CD28" s="11">
        <f t="shared" ca="1" si="98"/>
        <v>0.60285040070059392</v>
      </c>
      <c r="CE28" s="11">
        <f t="shared" ca="1" si="98"/>
        <v>0.32123325245154555</v>
      </c>
      <c r="CF28" s="11">
        <f t="shared" ca="1" si="98"/>
        <v>0.29411253258712655</v>
      </c>
      <c r="CG28" s="11">
        <f t="shared" ca="1" si="98"/>
        <v>0.78078464276697579</v>
      </c>
      <c r="CH28" s="11">
        <f t="shared" ca="1" si="98"/>
        <v>0.49118497795248994</v>
      </c>
      <c r="CI28" s="11">
        <f t="shared" ca="1" si="98"/>
        <v>7.1538617864008835E-2</v>
      </c>
      <c r="CJ28" s="11">
        <f t="shared" ca="1" si="98"/>
        <v>0.12151943552166444</v>
      </c>
      <c r="CK28" s="11">
        <f t="shared" ca="1" si="98"/>
        <v>0.64414391800217097</v>
      </c>
      <c r="CL28" s="11">
        <f t="shared" ca="1" si="98"/>
        <v>0.39632118182357712</v>
      </c>
      <c r="CM28" s="11">
        <f t="shared" ca="1" si="98"/>
        <v>0.18073207021701443</v>
      </c>
      <c r="CN28" s="11">
        <f t="shared" ca="1" si="98"/>
        <v>0.160725888446409</v>
      </c>
      <c r="CO28" s="11">
        <f t="shared" ca="1" si="98"/>
        <v>0.33970274775287312</v>
      </c>
      <c r="CP28" s="11">
        <f t="shared" ca="1" si="98"/>
        <v>0.90935224781092638</v>
      </c>
      <c r="CQ28" s="11">
        <f t="shared" ca="1" si="98"/>
        <v>0.11364915909246387</v>
      </c>
      <c r="CR28" s="11">
        <f t="shared" ca="1" si="98"/>
        <v>0.96609879054490555</v>
      </c>
      <c r="CS28" s="11">
        <f t="shared" ca="1" si="98"/>
        <v>0.25566814937047311</v>
      </c>
      <c r="CT28" s="11">
        <f t="shared" ca="1" si="98"/>
        <v>0.3482984361862006</v>
      </c>
      <c r="CU28" s="11">
        <f t="shared" ca="1" si="98"/>
        <v>0.68456090144309834</v>
      </c>
      <c r="CV28" s="11">
        <f t="shared" ref="CV28:EE28" ca="1" si="99">RAND()</f>
        <v>0.25357473507797401</v>
      </c>
      <c r="CW28" s="11">
        <f t="shared" ca="1" si="99"/>
        <v>0.98709919660140844</v>
      </c>
      <c r="CX28" s="11">
        <f t="shared" ca="1" si="99"/>
        <v>0.77318462003862298</v>
      </c>
      <c r="CY28" s="11">
        <f t="shared" ca="1" si="99"/>
        <v>0.49518096629864616</v>
      </c>
      <c r="CZ28" s="11">
        <f t="shared" ca="1" si="99"/>
        <v>0.93607017443033991</v>
      </c>
      <c r="DA28" s="11">
        <f t="shared" ca="1" si="99"/>
        <v>0.49369318636013404</v>
      </c>
      <c r="DB28" s="11">
        <f t="shared" ca="1" si="99"/>
        <v>0.31019350630995646</v>
      </c>
      <c r="DC28" s="11">
        <f t="shared" ca="1" si="99"/>
        <v>0.65735860569804361</v>
      </c>
      <c r="DD28" s="11">
        <f t="shared" ca="1" si="99"/>
        <v>0.66442983426358715</v>
      </c>
      <c r="DE28" s="11">
        <f t="shared" ca="1" si="99"/>
        <v>2.0401926931978509E-2</v>
      </c>
      <c r="DF28" s="11">
        <f t="shared" ca="1" si="99"/>
        <v>0.89071115847533333</v>
      </c>
      <c r="DG28" s="11">
        <f t="shared" ca="1" si="99"/>
        <v>0.90868720159686922</v>
      </c>
      <c r="DH28" s="11">
        <f t="shared" ca="1" si="99"/>
        <v>0.40962555525342847</v>
      </c>
      <c r="DI28" s="11">
        <f t="shared" ca="1" si="99"/>
        <v>0.31714073359521644</v>
      </c>
      <c r="DJ28" s="11">
        <f t="shared" ca="1" si="99"/>
        <v>0.72564357324977347</v>
      </c>
      <c r="DK28" s="11">
        <f t="shared" ca="1" si="99"/>
        <v>0.99899892393255507</v>
      </c>
      <c r="DL28" s="11">
        <f t="shared" ca="1" si="99"/>
        <v>1.9395095755569636E-2</v>
      </c>
      <c r="DM28" s="11">
        <f t="shared" ca="1" si="99"/>
        <v>0.58726576166708711</v>
      </c>
      <c r="DN28" s="11">
        <f t="shared" ca="1" si="99"/>
        <v>0.203289805568587</v>
      </c>
      <c r="DO28" s="11">
        <f t="shared" ca="1" si="99"/>
        <v>0.75119400742308096</v>
      </c>
      <c r="DP28" s="11">
        <f t="shared" ca="1" si="99"/>
        <v>0.62071969806022875</v>
      </c>
      <c r="DQ28" s="11">
        <f t="shared" ca="1" si="99"/>
        <v>0.34422876105606581</v>
      </c>
      <c r="DR28" s="11">
        <f t="shared" ca="1" si="99"/>
        <v>3.284064521687069E-2</v>
      </c>
      <c r="DS28" s="11">
        <f t="shared" ca="1" si="99"/>
        <v>2.1131879861929659E-2</v>
      </c>
      <c r="DT28" s="11">
        <f t="shared" ca="1" si="99"/>
        <v>0.64689239831407486</v>
      </c>
      <c r="DU28" s="11">
        <f t="shared" ca="1" si="99"/>
        <v>0.63944391431282532</v>
      </c>
      <c r="DV28" s="11">
        <f t="shared" ca="1" si="99"/>
        <v>0.49297466545658208</v>
      </c>
      <c r="DW28" s="11">
        <f t="shared" ca="1" si="99"/>
        <v>0.15874950382491237</v>
      </c>
      <c r="DX28" s="11">
        <f t="shared" ca="1" si="99"/>
        <v>0.65615011812351476</v>
      </c>
      <c r="DY28" s="11">
        <f t="shared" ca="1" si="99"/>
        <v>0.40145672285670808</v>
      </c>
      <c r="DZ28" s="11">
        <f t="shared" ca="1" si="99"/>
        <v>0.17586544753799016</v>
      </c>
      <c r="EA28" s="11">
        <f t="shared" ca="1" si="99"/>
        <v>0.12260929627298001</v>
      </c>
      <c r="EB28" s="11">
        <f t="shared" ca="1" si="99"/>
        <v>0.63396284827708305</v>
      </c>
      <c r="EC28" s="11">
        <f t="shared" ca="1" si="99"/>
        <v>0.20231443254190395</v>
      </c>
      <c r="ED28" s="11">
        <f t="shared" ca="1" si="99"/>
        <v>0.997486623340057</v>
      </c>
      <c r="EE28" s="11">
        <f t="shared" ca="1" si="99"/>
        <v>0.15147206260260726</v>
      </c>
    </row>
    <row r="29" spans="3:135" x14ac:dyDescent="0.4">
      <c r="C29" s="7" t="s">
        <v>34</v>
      </c>
      <c r="D29" s="11">
        <f t="shared" ref="D29:AI29" ca="1" si="100">RAND()+1</f>
        <v>1.9084432722574856</v>
      </c>
      <c r="E29" s="11">
        <f t="shared" ca="1" si="100"/>
        <v>1.8350192825886409</v>
      </c>
      <c r="F29" s="11">
        <f t="shared" ca="1" si="100"/>
        <v>1.4723757242278466</v>
      </c>
      <c r="G29" s="11">
        <f t="shared" ca="1" si="100"/>
        <v>1.3158845069767007</v>
      </c>
      <c r="H29" s="11">
        <f t="shared" ca="1" si="100"/>
        <v>1.1592443172813169</v>
      </c>
      <c r="I29" s="11">
        <f t="shared" ca="1" si="100"/>
        <v>1.9346177950342749</v>
      </c>
      <c r="J29" s="11">
        <f t="shared" ca="1" si="100"/>
        <v>1.8644845077238914</v>
      </c>
      <c r="K29" s="11">
        <f t="shared" ca="1" si="100"/>
        <v>1.1295518818741686</v>
      </c>
      <c r="L29" s="11">
        <f t="shared" ca="1" si="100"/>
        <v>1.4135429487321607</v>
      </c>
      <c r="M29" s="11">
        <f t="shared" ca="1" si="100"/>
        <v>1.9747407597954474</v>
      </c>
      <c r="N29" s="11">
        <f t="shared" ca="1" si="100"/>
        <v>1.5680656758847606</v>
      </c>
      <c r="O29" s="11">
        <f t="shared" ca="1" si="100"/>
        <v>1.2027149788030571</v>
      </c>
      <c r="P29" s="11">
        <f t="shared" ca="1" si="100"/>
        <v>1.4960856180894484</v>
      </c>
      <c r="Q29" s="11">
        <f t="shared" ca="1" si="100"/>
        <v>1.6997927248462734</v>
      </c>
      <c r="R29" s="11">
        <f t="shared" ca="1" si="100"/>
        <v>1.7050556732015227</v>
      </c>
      <c r="S29" s="11">
        <f t="shared" ca="1" si="100"/>
        <v>1.3827014730400928</v>
      </c>
      <c r="T29" s="11">
        <f t="shared" ca="1" si="100"/>
        <v>1.0490916032333719</v>
      </c>
      <c r="U29" s="11">
        <f t="shared" ca="1" si="100"/>
        <v>1.5585235098582726</v>
      </c>
      <c r="V29" s="11">
        <f t="shared" ca="1" si="100"/>
        <v>1.6963754358436938</v>
      </c>
      <c r="W29" s="11">
        <f t="shared" ca="1" si="100"/>
        <v>1.0837351519443483</v>
      </c>
      <c r="X29" s="11">
        <f t="shared" ca="1" si="100"/>
        <v>1.2262565675917121</v>
      </c>
      <c r="Y29" s="11">
        <f t="shared" ca="1" si="100"/>
        <v>1.8880349215240015</v>
      </c>
      <c r="Z29" s="11">
        <f t="shared" ca="1" si="100"/>
        <v>1.7946116004135666</v>
      </c>
      <c r="AA29" s="11">
        <f t="shared" ca="1" si="100"/>
        <v>1.0061501213116024</v>
      </c>
      <c r="AB29" s="11">
        <f t="shared" ca="1" si="100"/>
        <v>1.9716469943759325</v>
      </c>
      <c r="AC29" s="11">
        <f t="shared" ca="1" si="100"/>
        <v>1.9012179250305705</v>
      </c>
      <c r="AD29" s="11">
        <f t="shared" ca="1" si="100"/>
        <v>1.5299092467953859</v>
      </c>
      <c r="AE29" s="11">
        <f t="shared" ca="1" si="100"/>
        <v>1.3662058195150428</v>
      </c>
      <c r="AF29" s="11">
        <f t="shared" ca="1" si="100"/>
        <v>1.6359572571399132</v>
      </c>
      <c r="AG29" s="11">
        <f t="shared" ca="1" si="100"/>
        <v>1.9166661038249624</v>
      </c>
      <c r="AH29" s="11">
        <f t="shared" ca="1" si="100"/>
        <v>1.7522926516505257</v>
      </c>
      <c r="AI29" s="11">
        <f t="shared" ca="1" si="100"/>
        <v>1.496801780651319</v>
      </c>
      <c r="AJ29" s="11">
        <f t="shared" ref="AJ29:BO29" ca="1" si="101">RAND()+1</f>
        <v>1.5397278119141329</v>
      </c>
      <c r="AK29" s="11">
        <f t="shared" ca="1" si="101"/>
        <v>1.7152838531853329</v>
      </c>
      <c r="AL29" s="11">
        <f t="shared" ca="1" si="101"/>
        <v>1.4424518721251627</v>
      </c>
      <c r="AM29" s="11">
        <f t="shared" ca="1" si="101"/>
        <v>1.2742772026996929</v>
      </c>
      <c r="AN29" s="11">
        <f t="shared" ca="1" si="101"/>
        <v>1.2238763387239531</v>
      </c>
      <c r="AO29" s="11">
        <f t="shared" ca="1" si="101"/>
        <v>1.5194386661654082</v>
      </c>
      <c r="AP29" s="11">
        <f t="shared" ca="1" si="101"/>
        <v>1.1809204747701445</v>
      </c>
      <c r="AQ29" s="11">
        <f t="shared" ca="1" si="101"/>
        <v>1.25465422955481</v>
      </c>
      <c r="AR29" s="11">
        <f t="shared" ca="1" si="101"/>
        <v>1.7663355559598028</v>
      </c>
      <c r="AS29" s="11">
        <f t="shared" ca="1" si="101"/>
        <v>1.6765713006985119</v>
      </c>
      <c r="AT29" s="11">
        <f t="shared" ca="1" si="101"/>
        <v>1.3061751890194473</v>
      </c>
      <c r="AU29" s="11">
        <f t="shared" ca="1" si="101"/>
        <v>1.8023962735346646</v>
      </c>
      <c r="AV29" s="11">
        <f t="shared" ca="1" si="101"/>
        <v>1.0675255182405716</v>
      </c>
      <c r="AW29" s="11">
        <f t="shared" ca="1" si="101"/>
        <v>1.2735235355691636</v>
      </c>
      <c r="AX29" s="11">
        <f t="shared" ca="1" si="101"/>
        <v>1.0170133679860336</v>
      </c>
      <c r="AY29" s="11">
        <f t="shared" ca="1" si="101"/>
        <v>1.6669986118187579</v>
      </c>
      <c r="AZ29" s="11">
        <f t="shared" ca="1" si="101"/>
        <v>1.6784288108472909</v>
      </c>
      <c r="BA29" s="11">
        <f t="shared" ca="1" si="101"/>
        <v>1.7166284441235118</v>
      </c>
      <c r="BB29" s="11">
        <f t="shared" ca="1" si="101"/>
        <v>1.641741464349612</v>
      </c>
      <c r="BC29" s="11">
        <f t="shared" ca="1" si="101"/>
        <v>1.7742833962429496</v>
      </c>
      <c r="BD29" s="11">
        <f t="shared" ca="1" si="101"/>
        <v>1.7408172379301097</v>
      </c>
      <c r="BE29" s="11">
        <f t="shared" ca="1" si="101"/>
        <v>1.881100569606962</v>
      </c>
      <c r="BF29" s="11">
        <f t="shared" ca="1" si="101"/>
        <v>1.4237530892543235</v>
      </c>
      <c r="BG29" s="11">
        <f t="shared" ca="1" si="101"/>
        <v>1.1021254360803523</v>
      </c>
      <c r="BH29" s="11">
        <f t="shared" ca="1" si="101"/>
        <v>1.4816275126422438</v>
      </c>
      <c r="BI29" s="11">
        <f t="shared" ca="1" si="101"/>
        <v>1.8536547655575282</v>
      </c>
      <c r="BJ29" s="11">
        <f t="shared" ca="1" si="101"/>
        <v>1.738378465264643</v>
      </c>
      <c r="BK29" s="11">
        <f t="shared" ca="1" si="101"/>
        <v>1.9372689245384491</v>
      </c>
      <c r="BL29" s="11">
        <f t="shared" ca="1" si="101"/>
        <v>1.9906614151262829</v>
      </c>
      <c r="BM29" s="11">
        <f t="shared" ca="1" si="101"/>
        <v>1.4825801308557682</v>
      </c>
      <c r="BN29" s="11">
        <f t="shared" ca="1" si="101"/>
        <v>1.1029104960990148</v>
      </c>
      <c r="BO29" s="11">
        <f t="shared" ca="1" si="101"/>
        <v>1.6685650287953031</v>
      </c>
      <c r="BP29" s="11">
        <f t="shared" ref="BP29:CU29" ca="1" si="102">RAND()+1</f>
        <v>1.1379321278630243</v>
      </c>
      <c r="BQ29" s="11">
        <f t="shared" ca="1" si="102"/>
        <v>1.4105228892541195</v>
      </c>
      <c r="BR29" s="11">
        <f t="shared" ca="1" si="102"/>
        <v>1.8070483125018346</v>
      </c>
      <c r="BS29" s="11">
        <f t="shared" ca="1" si="102"/>
        <v>1.5364421765468945</v>
      </c>
      <c r="BT29" s="11">
        <f t="shared" ca="1" si="102"/>
        <v>1.5081178130111288</v>
      </c>
      <c r="BU29" s="11">
        <f t="shared" ca="1" si="102"/>
        <v>1.4519459783448432</v>
      </c>
      <c r="BV29" s="11">
        <f t="shared" ca="1" si="102"/>
        <v>1.2447513272494548</v>
      </c>
      <c r="BW29" s="11">
        <f t="shared" ca="1" si="102"/>
        <v>1.662947344846847</v>
      </c>
      <c r="BX29" s="11">
        <f t="shared" ca="1" si="102"/>
        <v>1.3438893855203016</v>
      </c>
      <c r="BY29" s="11">
        <f t="shared" ca="1" si="102"/>
        <v>1.0289232853088515</v>
      </c>
      <c r="BZ29" s="11">
        <f t="shared" ca="1" si="102"/>
        <v>1.9964096041213706</v>
      </c>
      <c r="CA29" s="11">
        <f t="shared" ca="1" si="102"/>
        <v>1.6546447378685361</v>
      </c>
      <c r="CB29" s="11">
        <f t="shared" ca="1" si="102"/>
        <v>1.8012388828651265</v>
      </c>
      <c r="CC29" s="11">
        <f t="shared" ca="1" si="102"/>
        <v>1.1444436086076055</v>
      </c>
      <c r="CD29" s="11">
        <f t="shared" ca="1" si="102"/>
        <v>1.3411720613092983</v>
      </c>
      <c r="CE29" s="11">
        <f t="shared" ca="1" si="102"/>
        <v>1.6951925935728904</v>
      </c>
      <c r="CF29" s="11">
        <f t="shared" ca="1" si="102"/>
        <v>1.5943114903421602</v>
      </c>
      <c r="CG29" s="11">
        <f t="shared" ca="1" si="102"/>
        <v>1.1152210951752428</v>
      </c>
      <c r="CH29" s="11">
        <f t="shared" ca="1" si="102"/>
        <v>1.3425369170528003</v>
      </c>
      <c r="CI29" s="11">
        <f t="shared" ca="1" si="102"/>
        <v>1.6888838299653022</v>
      </c>
      <c r="CJ29" s="11">
        <f t="shared" ca="1" si="102"/>
        <v>1.1102391626987269</v>
      </c>
      <c r="CK29" s="11">
        <f t="shared" ca="1" si="102"/>
        <v>1.8737161529184712</v>
      </c>
      <c r="CL29" s="11">
        <f t="shared" ca="1" si="102"/>
        <v>1.3641698906790691</v>
      </c>
      <c r="CM29" s="11">
        <f t="shared" ca="1" si="102"/>
        <v>1.4373096111242045</v>
      </c>
      <c r="CN29" s="11">
        <f t="shared" ca="1" si="102"/>
        <v>1.9091692606071495</v>
      </c>
      <c r="CO29" s="11">
        <f t="shared" ca="1" si="102"/>
        <v>1.994435370077597</v>
      </c>
      <c r="CP29" s="11">
        <f t="shared" ca="1" si="102"/>
        <v>1.8062766874679879</v>
      </c>
      <c r="CQ29" s="11">
        <f t="shared" ca="1" si="102"/>
        <v>1.6796842621106745</v>
      </c>
      <c r="CR29" s="11">
        <f t="shared" ca="1" si="102"/>
        <v>1.3359087852205926</v>
      </c>
      <c r="CS29" s="11">
        <f t="shared" ca="1" si="102"/>
        <v>1.859929676567216</v>
      </c>
      <c r="CT29" s="11">
        <f t="shared" ca="1" si="102"/>
        <v>1.3284660955999401</v>
      </c>
      <c r="CU29" s="11">
        <f t="shared" ca="1" si="102"/>
        <v>1.1895335179330746</v>
      </c>
      <c r="CV29" s="11">
        <f t="shared" ref="CV29:EE29" ca="1" si="103">RAND()+1</f>
        <v>1.6392797699471702</v>
      </c>
      <c r="CW29" s="11">
        <f t="shared" ca="1" si="103"/>
        <v>1.726317906546861</v>
      </c>
      <c r="CX29" s="11">
        <f t="shared" ca="1" si="103"/>
        <v>1.9566558202493345</v>
      </c>
      <c r="CY29" s="11">
        <f t="shared" ca="1" si="103"/>
        <v>1.6994022960609247</v>
      </c>
      <c r="CZ29" s="11">
        <f t="shared" ca="1" si="103"/>
        <v>1.8326822670214824</v>
      </c>
      <c r="DA29" s="11">
        <f t="shared" ca="1" si="103"/>
        <v>1.3985166567727068</v>
      </c>
      <c r="DB29" s="11">
        <f t="shared" ca="1" si="103"/>
        <v>1.1156182533170909</v>
      </c>
      <c r="DC29" s="11">
        <f t="shared" ca="1" si="103"/>
        <v>1.1054610620205447</v>
      </c>
      <c r="DD29" s="11">
        <f t="shared" ca="1" si="103"/>
        <v>1.837970616287115</v>
      </c>
      <c r="DE29" s="11">
        <f t="shared" ca="1" si="103"/>
        <v>1.2021779064399079</v>
      </c>
      <c r="DF29" s="11">
        <f t="shared" ca="1" si="103"/>
        <v>1.3764895022216113</v>
      </c>
      <c r="DG29" s="11">
        <f t="shared" ca="1" si="103"/>
        <v>1.5709477858465584</v>
      </c>
      <c r="DH29" s="11">
        <f t="shared" ca="1" si="103"/>
        <v>1.4151174427293456</v>
      </c>
      <c r="DI29" s="11">
        <f t="shared" ca="1" si="103"/>
        <v>1.4578920358258616</v>
      </c>
      <c r="DJ29" s="11">
        <f t="shared" ca="1" si="103"/>
        <v>1.9543676044434011</v>
      </c>
      <c r="DK29" s="11">
        <f t="shared" ca="1" si="103"/>
        <v>1.5050124635151103</v>
      </c>
      <c r="DL29" s="11">
        <f t="shared" ca="1" si="103"/>
        <v>1.7693430420851559</v>
      </c>
      <c r="DM29" s="11">
        <f t="shared" ca="1" si="103"/>
        <v>1.4065060496578461</v>
      </c>
      <c r="DN29" s="11">
        <f t="shared" ca="1" si="103"/>
        <v>1.8082647742641964</v>
      </c>
      <c r="DO29" s="11">
        <f t="shared" ca="1" si="103"/>
        <v>1.4776911673311961</v>
      </c>
      <c r="DP29" s="11">
        <f t="shared" ca="1" si="103"/>
        <v>1.6467341421030506</v>
      </c>
      <c r="DQ29" s="11">
        <f t="shared" ca="1" si="103"/>
        <v>1.4839378698892494</v>
      </c>
      <c r="DR29" s="11">
        <f t="shared" ca="1" si="103"/>
        <v>1.0802832618855034</v>
      </c>
      <c r="DS29" s="11">
        <f t="shared" ca="1" si="103"/>
        <v>1.3165776231860811</v>
      </c>
      <c r="DT29" s="11">
        <f t="shared" ca="1" si="103"/>
        <v>1.8272567875640213</v>
      </c>
      <c r="DU29" s="11">
        <f t="shared" ca="1" si="103"/>
        <v>1.2694803459301662</v>
      </c>
      <c r="DV29" s="11">
        <f t="shared" ca="1" si="103"/>
        <v>1.0413031717282886</v>
      </c>
      <c r="DW29" s="11">
        <f t="shared" ca="1" si="103"/>
        <v>1.6097489948727195</v>
      </c>
      <c r="DX29" s="11">
        <f t="shared" ca="1" si="103"/>
        <v>1.2434370307107696</v>
      </c>
      <c r="DY29" s="11">
        <f t="shared" ca="1" si="103"/>
        <v>1.6967066288557409</v>
      </c>
      <c r="DZ29" s="11">
        <f t="shared" ca="1" si="103"/>
        <v>1.7056195271044374</v>
      </c>
      <c r="EA29" s="11">
        <f t="shared" ca="1" si="103"/>
        <v>1.0491516591229373</v>
      </c>
      <c r="EB29" s="11">
        <f t="shared" ca="1" si="103"/>
        <v>1.8279303559148565</v>
      </c>
      <c r="EC29" s="11">
        <f t="shared" ca="1" si="103"/>
        <v>1.2144453283234578</v>
      </c>
      <c r="ED29" s="11">
        <f t="shared" ca="1" si="103"/>
        <v>1.696867376990431</v>
      </c>
      <c r="EE29" s="11">
        <f t="shared" ca="1" si="103"/>
        <v>1.8029089450846882</v>
      </c>
    </row>
    <row r="30" spans="3:135" x14ac:dyDescent="0.4">
      <c r="C30" s="7" t="s">
        <v>35</v>
      </c>
      <c r="D30" s="11">
        <f t="shared" ref="D30:AI30" ca="1" si="104">RANDBETWEEN(20, 45)</f>
        <v>28</v>
      </c>
      <c r="E30" s="11">
        <f t="shared" ca="1" si="104"/>
        <v>24</v>
      </c>
      <c r="F30" s="11">
        <f t="shared" ca="1" si="104"/>
        <v>31</v>
      </c>
      <c r="G30" s="11">
        <f t="shared" ca="1" si="104"/>
        <v>45</v>
      </c>
      <c r="H30" s="11">
        <f t="shared" ca="1" si="104"/>
        <v>25</v>
      </c>
      <c r="I30" s="11">
        <f t="shared" ca="1" si="104"/>
        <v>42</v>
      </c>
      <c r="J30" s="11">
        <f t="shared" ca="1" si="104"/>
        <v>43</v>
      </c>
      <c r="K30" s="11">
        <f t="shared" ca="1" si="104"/>
        <v>23</v>
      </c>
      <c r="L30" s="11">
        <f t="shared" ca="1" si="104"/>
        <v>43</v>
      </c>
      <c r="M30" s="11">
        <f t="shared" ca="1" si="104"/>
        <v>36</v>
      </c>
      <c r="N30" s="11">
        <f t="shared" ca="1" si="104"/>
        <v>40</v>
      </c>
      <c r="O30" s="11">
        <f t="shared" ca="1" si="104"/>
        <v>24</v>
      </c>
      <c r="P30" s="11">
        <f t="shared" ca="1" si="104"/>
        <v>39</v>
      </c>
      <c r="Q30" s="11">
        <f t="shared" ca="1" si="104"/>
        <v>32</v>
      </c>
      <c r="R30" s="11">
        <f t="shared" ca="1" si="104"/>
        <v>41</v>
      </c>
      <c r="S30" s="11">
        <f t="shared" ca="1" si="104"/>
        <v>35</v>
      </c>
      <c r="T30" s="11">
        <f t="shared" ca="1" si="104"/>
        <v>34</v>
      </c>
      <c r="U30" s="11">
        <f t="shared" ca="1" si="104"/>
        <v>33</v>
      </c>
      <c r="V30" s="11">
        <f t="shared" ca="1" si="104"/>
        <v>31</v>
      </c>
      <c r="W30" s="11">
        <f t="shared" ca="1" si="104"/>
        <v>41</v>
      </c>
      <c r="X30" s="11">
        <f t="shared" ca="1" si="104"/>
        <v>38</v>
      </c>
      <c r="Y30" s="11">
        <f t="shared" ca="1" si="104"/>
        <v>36</v>
      </c>
      <c r="Z30" s="11">
        <f t="shared" ca="1" si="104"/>
        <v>24</v>
      </c>
      <c r="AA30" s="11">
        <f t="shared" ca="1" si="104"/>
        <v>20</v>
      </c>
      <c r="AB30" s="11">
        <f t="shared" ca="1" si="104"/>
        <v>25</v>
      </c>
      <c r="AC30" s="11">
        <f t="shared" ca="1" si="104"/>
        <v>21</v>
      </c>
      <c r="AD30" s="11">
        <f t="shared" ca="1" si="104"/>
        <v>44</v>
      </c>
      <c r="AE30" s="11">
        <f t="shared" ca="1" si="104"/>
        <v>41</v>
      </c>
      <c r="AF30" s="11">
        <f t="shared" ca="1" si="104"/>
        <v>23</v>
      </c>
      <c r="AG30" s="11">
        <f t="shared" ca="1" si="104"/>
        <v>25</v>
      </c>
      <c r="AH30" s="11">
        <f t="shared" ca="1" si="104"/>
        <v>38</v>
      </c>
      <c r="AI30" s="11">
        <f t="shared" ca="1" si="104"/>
        <v>36</v>
      </c>
      <c r="AJ30" s="11">
        <f t="shared" ref="AJ30:BO30" ca="1" si="105">RANDBETWEEN(20, 45)</f>
        <v>38</v>
      </c>
      <c r="AK30" s="11">
        <f t="shared" ca="1" si="105"/>
        <v>40</v>
      </c>
      <c r="AL30" s="11">
        <f t="shared" ca="1" si="105"/>
        <v>45</v>
      </c>
      <c r="AM30" s="11">
        <f t="shared" ca="1" si="105"/>
        <v>26</v>
      </c>
      <c r="AN30" s="11">
        <f t="shared" ca="1" si="105"/>
        <v>37</v>
      </c>
      <c r="AO30" s="11">
        <f t="shared" ca="1" si="105"/>
        <v>28</v>
      </c>
      <c r="AP30" s="11">
        <f t="shared" ca="1" si="105"/>
        <v>24</v>
      </c>
      <c r="AQ30" s="11">
        <f t="shared" ca="1" si="105"/>
        <v>28</v>
      </c>
      <c r="AR30" s="11">
        <f t="shared" ca="1" si="105"/>
        <v>32</v>
      </c>
      <c r="AS30" s="11">
        <f t="shared" ca="1" si="105"/>
        <v>24</v>
      </c>
      <c r="AT30" s="11">
        <f t="shared" ca="1" si="105"/>
        <v>32</v>
      </c>
      <c r="AU30" s="11">
        <f t="shared" ca="1" si="105"/>
        <v>27</v>
      </c>
      <c r="AV30" s="11">
        <f t="shared" ca="1" si="105"/>
        <v>22</v>
      </c>
      <c r="AW30" s="11">
        <f t="shared" ca="1" si="105"/>
        <v>34</v>
      </c>
      <c r="AX30" s="11">
        <f t="shared" ca="1" si="105"/>
        <v>32</v>
      </c>
      <c r="AY30" s="11">
        <f t="shared" ca="1" si="105"/>
        <v>21</v>
      </c>
      <c r="AZ30" s="11">
        <f t="shared" ca="1" si="105"/>
        <v>44</v>
      </c>
      <c r="BA30" s="11">
        <f t="shared" ca="1" si="105"/>
        <v>43</v>
      </c>
      <c r="BB30" s="11">
        <f t="shared" ca="1" si="105"/>
        <v>45</v>
      </c>
      <c r="BC30" s="11">
        <f t="shared" ca="1" si="105"/>
        <v>28</v>
      </c>
      <c r="BD30" s="11">
        <f t="shared" ca="1" si="105"/>
        <v>32</v>
      </c>
      <c r="BE30" s="11">
        <f t="shared" ca="1" si="105"/>
        <v>32</v>
      </c>
      <c r="BF30" s="11">
        <f t="shared" ca="1" si="105"/>
        <v>40</v>
      </c>
      <c r="BG30" s="11">
        <f t="shared" ca="1" si="105"/>
        <v>31</v>
      </c>
      <c r="BH30" s="11">
        <f t="shared" ca="1" si="105"/>
        <v>25</v>
      </c>
      <c r="BI30" s="11">
        <f t="shared" ca="1" si="105"/>
        <v>44</v>
      </c>
      <c r="BJ30" s="11">
        <f t="shared" ca="1" si="105"/>
        <v>34</v>
      </c>
      <c r="BK30" s="11">
        <f t="shared" ca="1" si="105"/>
        <v>28</v>
      </c>
      <c r="BL30" s="11">
        <f t="shared" ca="1" si="105"/>
        <v>25</v>
      </c>
      <c r="BM30" s="11">
        <f t="shared" ca="1" si="105"/>
        <v>38</v>
      </c>
      <c r="BN30" s="11">
        <f t="shared" ca="1" si="105"/>
        <v>37</v>
      </c>
      <c r="BO30" s="11">
        <f t="shared" ca="1" si="105"/>
        <v>40</v>
      </c>
      <c r="BP30" s="11">
        <f t="shared" ref="BP30:CU30" ca="1" si="106">RANDBETWEEN(20, 45)</f>
        <v>45</v>
      </c>
      <c r="BQ30" s="11">
        <f t="shared" ca="1" si="106"/>
        <v>44</v>
      </c>
      <c r="BR30" s="11">
        <f t="shared" ca="1" si="106"/>
        <v>40</v>
      </c>
      <c r="BS30" s="11">
        <f t="shared" ca="1" si="106"/>
        <v>37</v>
      </c>
      <c r="BT30" s="11">
        <f t="shared" ca="1" si="106"/>
        <v>32</v>
      </c>
      <c r="BU30" s="11">
        <f t="shared" ca="1" si="106"/>
        <v>41</v>
      </c>
      <c r="BV30" s="11">
        <f t="shared" ca="1" si="106"/>
        <v>24</v>
      </c>
      <c r="BW30" s="11">
        <f t="shared" ca="1" si="106"/>
        <v>41</v>
      </c>
      <c r="BX30" s="11">
        <f t="shared" ca="1" si="106"/>
        <v>25</v>
      </c>
      <c r="BY30" s="11">
        <f t="shared" ca="1" si="106"/>
        <v>31</v>
      </c>
      <c r="BZ30" s="11">
        <f t="shared" ca="1" si="106"/>
        <v>26</v>
      </c>
      <c r="CA30" s="11">
        <f t="shared" ca="1" si="106"/>
        <v>42</v>
      </c>
      <c r="CB30" s="11">
        <f t="shared" ca="1" si="106"/>
        <v>44</v>
      </c>
      <c r="CC30" s="11">
        <f t="shared" ca="1" si="106"/>
        <v>26</v>
      </c>
      <c r="CD30" s="11">
        <f t="shared" ca="1" si="106"/>
        <v>22</v>
      </c>
      <c r="CE30" s="11">
        <f t="shared" ca="1" si="106"/>
        <v>23</v>
      </c>
      <c r="CF30" s="11">
        <f t="shared" ca="1" si="106"/>
        <v>37</v>
      </c>
      <c r="CG30" s="11">
        <f t="shared" ca="1" si="106"/>
        <v>29</v>
      </c>
      <c r="CH30" s="11">
        <f t="shared" ca="1" si="106"/>
        <v>42</v>
      </c>
      <c r="CI30" s="11">
        <f t="shared" ca="1" si="106"/>
        <v>33</v>
      </c>
      <c r="CJ30" s="11">
        <f t="shared" ca="1" si="106"/>
        <v>22</v>
      </c>
      <c r="CK30" s="11">
        <f t="shared" ca="1" si="106"/>
        <v>20</v>
      </c>
      <c r="CL30" s="11">
        <f t="shared" ca="1" si="106"/>
        <v>33</v>
      </c>
      <c r="CM30" s="11">
        <f t="shared" ca="1" si="106"/>
        <v>45</v>
      </c>
      <c r="CN30" s="11">
        <f t="shared" ca="1" si="106"/>
        <v>31</v>
      </c>
      <c r="CO30" s="11">
        <f t="shared" ca="1" si="106"/>
        <v>21</v>
      </c>
      <c r="CP30" s="11">
        <f t="shared" ca="1" si="106"/>
        <v>24</v>
      </c>
      <c r="CQ30" s="11">
        <f t="shared" ca="1" si="106"/>
        <v>21</v>
      </c>
      <c r="CR30" s="11">
        <f t="shared" ca="1" si="106"/>
        <v>40</v>
      </c>
      <c r="CS30" s="11">
        <f t="shared" ca="1" si="106"/>
        <v>26</v>
      </c>
      <c r="CT30" s="11">
        <f t="shared" ca="1" si="106"/>
        <v>43</v>
      </c>
      <c r="CU30" s="11">
        <f t="shared" ca="1" si="106"/>
        <v>45</v>
      </c>
      <c r="CV30" s="11">
        <f t="shared" ref="CV30:EE30" ca="1" si="107">RANDBETWEEN(20, 45)</f>
        <v>31</v>
      </c>
      <c r="CW30" s="11">
        <f t="shared" ca="1" si="107"/>
        <v>27</v>
      </c>
      <c r="CX30" s="11">
        <f t="shared" ca="1" si="107"/>
        <v>44</v>
      </c>
      <c r="CY30" s="11">
        <f t="shared" ca="1" si="107"/>
        <v>26</v>
      </c>
      <c r="CZ30" s="11">
        <f t="shared" ca="1" si="107"/>
        <v>29</v>
      </c>
      <c r="DA30" s="11">
        <f t="shared" ca="1" si="107"/>
        <v>31</v>
      </c>
      <c r="DB30" s="11">
        <f t="shared" ca="1" si="107"/>
        <v>37</v>
      </c>
      <c r="DC30" s="11">
        <f t="shared" ca="1" si="107"/>
        <v>35</v>
      </c>
      <c r="DD30" s="11">
        <f t="shared" ca="1" si="107"/>
        <v>29</v>
      </c>
      <c r="DE30" s="11">
        <f t="shared" ca="1" si="107"/>
        <v>20</v>
      </c>
      <c r="DF30" s="11">
        <f t="shared" ca="1" si="107"/>
        <v>29</v>
      </c>
      <c r="DG30" s="11">
        <f t="shared" ca="1" si="107"/>
        <v>45</v>
      </c>
      <c r="DH30" s="11">
        <f t="shared" ca="1" si="107"/>
        <v>39</v>
      </c>
      <c r="DI30" s="11">
        <f t="shared" ca="1" si="107"/>
        <v>38</v>
      </c>
      <c r="DJ30" s="11">
        <f t="shared" ca="1" si="107"/>
        <v>38</v>
      </c>
      <c r="DK30" s="11">
        <f t="shared" ca="1" si="107"/>
        <v>27</v>
      </c>
      <c r="DL30" s="11">
        <f t="shared" ca="1" si="107"/>
        <v>26</v>
      </c>
      <c r="DM30" s="11">
        <f t="shared" ca="1" si="107"/>
        <v>27</v>
      </c>
      <c r="DN30" s="11">
        <f t="shared" ca="1" si="107"/>
        <v>40</v>
      </c>
      <c r="DO30" s="11">
        <f t="shared" ca="1" si="107"/>
        <v>27</v>
      </c>
      <c r="DP30" s="11">
        <f t="shared" ca="1" si="107"/>
        <v>41</v>
      </c>
      <c r="DQ30" s="11">
        <f t="shared" ca="1" si="107"/>
        <v>24</v>
      </c>
      <c r="DR30" s="11">
        <f t="shared" ca="1" si="107"/>
        <v>22</v>
      </c>
      <c r="DS30" s="11">
        <f t="shared" ca="1" si="107"/>
        <v>26</v>
      </c>
      <c r="DT30" s="11">
        <f t="shared" ca="1" si="107"/>
        <v>37</v>
      </c>
      <c r="DU30" s="11">
        <f t="shared" ca="1" si="107"/>
        <v>35</v>
      </c>
      <c r="DV30" s="11">
        <f t="shared" ca="1" si="107"/>
        <v>34</v>
      </c>
      <c r="DW30" s="11">
        <f t="shared" ca="1" si="107"/>
        <v>38</v>
      </c>
      <c r="DX30" s="11">
        <f t="shared" ca="1" si="107"/>
        <v>44</v>
      </c>
      <c r="DY30" s="11">
        <f t="shared" ca="1" si="107"/>
        <v>21</v>
      </c>
      <c r="DZ30" s="11">
        <f t="shared" ca="1" si="107"/>
        <v>21</v>
      </c>
      <c r="EA30" s="11">
        <f t="shared" ca="1" si="107"/>
        <v>38</v>
      </c>
      <c r="EB30" s="11">
        <f t="shared" ca="1" si="107"/>
        <v>45</v>
      </c>
      <c r="EC30" s="11">
        <f t="shared" ca="1" si="107"/>
        <v>32</v>
      </c>
      <c r="ED30" s="11">
        <f t="shared" ca="1" si="107"/>
        <v>29</v>
      </c>
      <c r="EE30" s="11">
        <f t="shared" ca="1" si="107"/>
        <v>45</v>
      </c>
    </row>
    <row r="31" spans="3:135" x14ac:dyDescent="0.4">
      <c r="C31" s="7" t="s">
        <v>24</v>
      </c>
      <c r="D31" s="11">
        <f t="shared" ref="D31:M32" ca="1" si="108">RANDBETWEEN(20, 45)</f>
        <v>24</v>
      </c>
      <c r="E31" s="11">
        <f t="shared" ca="1" si="108"/>
        <v>29</v>
      </c>
      <c r="F31" s="11">
        <f t="shared" ca="1" si="108"/>
        <v>40</v>
      </c>
      <c r="G31" s="11">
        <f t="shared" ca="1" si="108"/>
        <v>40</v>
      </c>
      <c r="H31" s="11">
        <f t="shared" ca="1" si="108"/>
        <v>28</v>
      </c>
      <c r="I31" s="11">
        <f t="shared" ca="1" si="108"/>
        <v>37</v>
      </c>
      <c r="J31" s="11">
        <f t="shared" ca="1" si="108"/>
        <v>35</v>
      </c>
      <c r="K31" s="11">
        <f t="shared" ca="1" si="108"/>
        <v>32</v>
      </c>
      <c r="L31" s="11">
        <f t="shared" ca="1" si="108"/>
        <v>33</v>
      </c>
      <c r="M31" s="11">
        <f t="shared" ca="1" si="108"/>
        <v>29</v>
      </c>
      <c r="N31" s="11">
        <f t="shared" ref="N31:W32" ca="1" si="109">RANDBETWEEN(20, 45)</f>
        <v>32</v>
      </c>
      <c r="O31" s="11">
        <f t="shared" ca="1" si="109"/>
        <v>27</v>
      </c>
      <c r="P31" s="11">
        <f t="shared" ca="1" si="109"/>
        <v>22</v>
      </c>
      <c r="Q31" s="11">
        <f t="shared" ca="1" si="109"/>
        <v>30</v>
      </c>
      <c r="R31" s="11">
        <f t="shared" ca="1" si="109"/>
        <v>40</v>
      </c>
      <c r="S31" s="11">
        <f t="shared" ca="1" si="109"/>
        <v>37</v>
      </c>
      <c r="T31" s="11">
        <f t="shared" ca="1" si="109"/>
        <v>42</v>
      </c>
      <c r="U31" s="11">
        <f t="shared" ca="1" si="109"/>
        <v>41</v>
      </c>
      <c r="V31" s="11">
        <f t="shared" ca="1" si="109"/>
        <v>43</v>
      </c>
      <c r="W31" s="11">
        <f t="shared" ca="1" si="109"/>
        <v>38</v>
      </c>
      <c r="X31" s="11">
        <f t="shared" ref="X31:AG32" ca="1" si="110">RANDBETWEEN(20, 45)</f>
        <v>30</v>
      </c>
      <c r="Y31" s="11">
        <f t="shared" ca="1" si="110"/>
        <v>20</v>
      </c>
      <c r="Z31" s="11">
        <f t="shared" ca="1" si="110"/>
        <v>42</v>
      </c>
      <c r="AA31" s="11">
        <f t="shared" ca="1" si="110"/>
        <v>45</v>
      </c>
      <c r="AB31" s="11">
        <f t="shared" ca="1" si="110"/>
        <v>20</v>
      </c>
      <c r="AC31" s="11">
        <f t="shared" ca="1" si="110"/>
        <v>32</v>
      </c>
      <c r="AD31" s="11">
        <f t="shared" ca="1" si="110"/>
        <v>37</v>
      </c>
      <c r="AE31" s="11">
        <f t="shared" ca="1" si="110"/>
        <v>30</v>
      </c>
      <c r="AF31" s="11">
        <f t="shared" ca="1" si="110"/>
        <v>39</v>
      </c>
      <c r="AG31" s="11">
        <f t="shared" ca="1" si="110"/>
        <v>31</v>
      </c>
      <c r="AH31" s="11">
        <f t="shared" ref="AH31:AQ32" ca="1" si="111">RANDBETWEEN(20, 45)</f>
        <v>40</v>
      </c>
      <c r="AI31" s="11">
        <f t="shared" ca="1" si="111"/>
        <v>22</v>
      </c>
      <c r="AJ31" s="11">
        <f t="shared" ca="1" si="111"/>
        <v>31</v>
      </c>
      <c r="AK31" s="11">
        <f t="shared" ca="1" si="111"/>
        <v>27</v>
      </c>
      <c r="AL31" s="11">
        <f t="shared" ca="1" si="111"/>
        <v>44</v>
      </c>
      <c r="AM31" s="11">
        <f t="shared" ca="1" si="111"/>
        <v>41</v>
      </c>
      <c r="AN31" s="11">
        <f t="shared" ca="1" si="111"/>
        <v>37</v>
      </c>
      <c r="AO31" s="11">
        <f t="shared" ca="1" si="111"/>
        <v>42</v>
      </c>
      <c r="AP31" s="11">
        <f t="shared" ca="1" si="111"/>
        <v>45</v>
      </c>
      <c r="AQ31" s="11">
        <f t="shared" ca="1" si="111"/>
        <v>27</v>
      </c>
      <c r="AR31" s="11">
        <f t="shared" ref="AR31:BA32" ca="1" si="112">RANDBETWEEN(20, 45)</f>
        <v>29</v>
      </c>
      <c r="AS31" s="11">
        <f t="shared" ca="1" si="112"/>
        <v>21</v>
      </c>
      <c r="AT31" s="11">
        <f t="shared" ca="1" si="112"/>
        <v>35</v>
      </c>
      <c r="AU31" s="11">
        <f t="shared" ca="1" si="112"/>
        <v>30</v>
      </c>
      <c r="AV31" s="11">
        <f t="shared" ca="1" si="112"/>
        <v>42</v>
      </c>
      <c r="AW31" s="11">
        <f t="shared" ca="1" si="112"/>
        <v>43</v>
      </c>
      <c r="AX31" s="11">
        <f t="shared" ca="1" si="112"/>
        <v>42</v>
      </c>
      <c r="AY31" s="11">
        <f t="shared" ca="1" si="112"/>
        <v>20</v>
      </c>
      <c r="AZ31" s="11">
        <f t="shared" ca="1" si="112"/>
        <v>25</v>
      </c>
      <c r="BA31" s="11">
        <f t="shared" ca="1" si="112"/>
        <v>25</v>
      </c>
      <c r="BB31" s="11">
        <f t="shared" ref="BB31:BK32" ca="1" si="113">RANDBETWEEN(20, 45)</f>
        <v>37</v>
      </c>
      <c r="BC31" s="11">
        <f t="shared" ca="1" si="113"/>
        <v>25</v>
      </c>
      <c r="BD31" s="11">
        <f t="shared" ca="1" si="113"/>
        <v>27</v>
      </c>
      <c r="BE31" s="11">
        <f t="shared" ca="1" si="113"/>
        <v>24</v>
      </c>
      <c r="BF31" s="11">
        <f t="shared" ca="1" si="113"/>
        <v>42</v>
      </c>
      <c r="BG31" s="11">
        <f t="shared" ca="1" si="113"/>
        <v>20</v>
      </c>
      <c r="BH31" s="11">
        <f t="shared" ca="1" si="113"/>
        <v>38</v>
      </c>
      <c r="BI31" s="11">
        <f t="shared" ca="1" si="113"/>
        <v>35</v>
      </c>
      <c r="BJ31" s="11">
        <f t="shared" ca="1" si="113"/>
        <v>33</v>
      </c>
      <c r="BK31" s="11">
        <f t="shared" ca="1" si="113"/>
        <v>35</v>
      </c>
      <c r="BL31" s="11">
        <f t="shared" ref="BL31:BU32" ca="1" si="114">RANDBETWEEN(20, 45)</f>
        <v>21</v>
      </c>
      <c r="BM31" s="11">
        <f t="shared" ca="1" si="114"/>
        <v>24</v>
      </c>
      <c r="BN31" s="11">
        <f t="shared" ca="1" si="114"/>
        <v>36</v>
      </c>
      <c r="BO31" s="11">
        <f t="shared" ca="1" si="114"/>
        <v>36</v>
      </c>
      <c r="BP31" s="11">
        <f t="shared" ca="1" si="114"/>
        <v>21</v>
      </c>
      <c r="BQ31" s="11">
        <f t="shared" ca="1" si="114"/>
        <v>40</v>
      </c>
      <c r="BR31" s="11">
        <f t="shared" ca="1" si="114"/>
        <v>33</v>
      </c>
      <c r="BS31" s="11">
        <f t="shared" ca="1" si="114"/>
        <v>35</v>
      </c>
      <c r="BT31" s="11">
        <f t="shared" ca="1" si="114"/>
        <v>31</v>
      </c>
      <c r="BU31" s="11">
        <f t="shared" ca="1" si="114"/>
        <v>22</v>
      </c>
      <c r="BV31" s="11">
        <f t="shared" ref="BV31:CE32" ca="1" si="115">RANDBETWEEN(20, 45)</f>
        <v>21</v>
      </c>
      <c r="BW31" s="11">
        <f t="shared" ca="1" si="115"/>
        <v>40</v>
      </c>
      <c r="BX31" s="11">
        <f t="shared" ca="1" si="115"/>
        <v>42</v>
      </c>
      <c r="BY31" s="11">
        <f t="shared" ca="1" si="115"/>
        <v>26</v>
      </c>
      <c r="BZ31" s="11">
        <f t="shared" ca="1" si="115"/>
        <v>28</v>
      </c>
      <c r="CA31" s="11">
        <f t="shared" ca="1" si="115"/>
        <v>29</v>
      </c>
      <c r="CB31" s="11">
        <f t="shared" ca="1" si="115"/>
        <v>33</v>
      </c>
      <c r="CC31" s="11">
        <f t="shared" ca="1" si="115"/>
        <v>24</v>
      </c>
      <c r="CD31" s="11">
        <f t="shared" ca="1" si="115"/>
        <v>23</v>
      </c>
      <c r="CE31" s="11">
        <f t="shared" ca="1" si="115"/>
        <v>37</v>
      </c>
      <c r="CF31" s="11">
        <f t="shared" ref="CF31:CO32" ca="1" si="116">RANDBETWEEN(20, 45)</f>
        <v>34</v>
      </c>
      <c r="CG31" s="11">
        <f t="shared" ca="1" si="116"/>
        <v>31</v>
      </c>
      <c r="CH31" s="11">
        <f t="shared" ca="1" si="116"/>
        <v>44</v>
      </c>
      <c r="CI31" s="11">
        <f t="shared" ca="1" si="116"/>
        <v>41</v>
      </c>
      <c r="CJ31" s="11">
        <f t="shared" ca="1" si="116"/>
        <v>34</v>
      </c>
      <c r="CK31" s="11">
        <f t="shared" ca="1" si="116"/>
        <v>26</v>
      </c>
      <c r="CL31" s="11">
        <f t="shared" ca="1" si="116"/>
        <v>37</v>
      </c>
      <c r="CM31" s="11">
        <f t="shared" ca="1" si="116"/>
        <v>39</v>
      </c>
      <c r="CN31" s="11">
        <f t="shared" ca="1" si="116"/>
        <v>39</v>
      </c>
      <c r="CO31" s="11">
        <f t="shared" ca="1" si="116"/>
        <v>41</v>
      </c>
      <c r="CP31" s="11">
        <f t="shared" ref="CP31:CY32" ca="1" si="117">RANDBETWEEN(20, 45)</f>
        <v>20</v>
      </c>
      <c r="CQ31" s="11">
        <f t="shared" ca="1" si="117"/>
        <v>32</v>
      </c>
      <c r="CR31" s="11">
        <f t="shared" ca="1" si="117"/>
        <v>20</v>
      </c>
      <c r="CS31" s="11">
        <f t="shared" ca="1" si="117"/>
        <v>25</v>
      </c>
      <c r="CT31" s="11">
        <f t="shared" ca="1" si="117"/>
        <v>33</v>
      </c>
      <c r="CU31" s="11">
        <f t="shared" ca="1" si="117"/>
        <v>26</v>
      </c>
      <c r="CV31" s="11">
        <f t="shared" ca="1" si="117"/>
        <v>34</v>
      </c>
      <c r="CW31" s="11">
        <f t="shared" ca="1" si="117"/>
        <v>21</v>
      </c>
      <c r="CX31" s="11">
        <f t="shared" ca="1" si="117"/>
        <v>24</v>
      </c>
      <c r="CY31" s="11">
        <f t="shared" ca="1" si="117"/>
        <v>29</v>
      </c>
      <c r="CZ31" s="11">
        <f t="shared" ref="CZ31:DN32" ca="1" si="118">RANDBETWEEN(20, 45)</f>
        <v>30</v>
      </c>
      <c r="DA31" s="11">
        <f t="shared" ca="1" si="118"/>
        <v>24</v>
      </c>
      <c r="DB31" s="11">
        <f t="shared" ca="1" si="118"/>
        <v>35</v>
      </c>
      <c r="DC31" s="11">
        <f t="shared" ca="1" si="118"/>
        <v>41</v>
      </c>
      <c r="DD31" s="11">
        <f t="shared" ca="1" si="118"/>
        <v>33</v>
      </c>
      <c r="DE31" s="11">
        <f t="shared" ca="1" si="118"/>
        <v>23</v>
      </c>
      <c r="DF31" s="11">
        <f t="shared" ca="1" si="118"/>
        <v>40</v>
      </c>
      <c r="DG31" s="11">
        <f t="shared" ca="1" si="118"/>
        <v>26</v>
      </c>
      <c r="DH31" s="11">
        <f t="shared" ca="1" si="118"/>
        <v>33</v>
      </c>
      <c r="DI31" s="11">
        <f t="shared" ca="1" si="118"/>
        <v>45</v>
      </c>
      <c r="DJ31" s="11">
        <f t="shared" ca="1" si="118"/>
        <v>37</v>
      </c>
      <c r="DK31" s="11">
        <f t="shared" ca="1" si="118"/>
        <v>29</v>
      </c>
      <c r="DL31" s="11">
        <f t="shared" ca="1" si="118"/>
        <v>22</v>
      </c>
      <c r="DM31" s="11">
        <f t="shared" ca="1" si="118"/>
        <v>34</v>
      </c>
      <c r="DN31" s="11">
        <f t="shared" ca="1" si="118"/>
        <v>34</v>
      </c>
      <c r="DO31" s="11">
        <f ca="1">RAND()+1</f>
        <v>1.8454014649875516</v>
      </c>
      <c r="DP31" s="11">
        <f t="shared" ref="DP31:ED32" ca="1" si="119">RANDBETWEEN(20, 45)</f>
        <v>22</v>
      </c>
      <c r="DQ31" s="11">
        <f t="shared" ca="1" si="119"/>
        <v>45</v>
      </c>
      <c r="DR31" s="11">
        <f t="shared" ca="1" si="119"/>
        <v>42</v>
      </c>
      <c r="DS31" s="11">
        <f t="shared" ca="1" si="119"/>
        <v>27</v>
      </c>
      <c r="DT31" s="11">
        <f t="shared" ca="1" si="119"/>
        <v>45</v>
      </c>
      <c r="DU31" s="11">
        <f t="shared" ca="1" si="119"/>
        <v>41</v>
      </c>
      <c r="DV31" s="11">
        <f t="shared" ca="1" si="119"/>
        <v>31</v>
      </c>
      <c r="DW31" s="11">
        <f t="shared" ca="1" si="119"/>
        <v>43</v>
      </c>
      <c r="DX31" s="11">
        <f t="shared" ca="1" si="119"/>
        <v>23</v>
      </c>
      <c r="DY31" s="11">
        <f t="shared" ca="1" si="119"/>
        <v>21</v>
      </c>
      <c r="DZ31" s="11">
        <f t="shared" ca="1" si="119"/>
        <v>32</v>
      </c>
      <c r="EA31" s="11">
        <f t="shared" ca="1" si="119"/>
        <v>44</v>
      </c>
      <c r="EB31" s="11">
        <f t="shared" ca="1" si="119"/>
        <v>40</v>
      </c>
      <c r="EC31" s="11">
        <f t="shared" ca="1" si="119"/>
        <v>31</v>
      </c>
      <c r="ED31" s="11">
        <f t="shared" ca="1" si="119"/>
        <v>30</v>
      </c>
      <c r="EE31" s="11">
        <f ca="1">RAND()</f>
        <v>0.30418607622956706</v>
      </c>
    </row>
    <row r="32" spans="3:135" x14ac:dyDescent="0.4">
      <c r="C32" s="7" t="s">
        <v>36</v>
      </c>
      <c r="D32" s="11">
        <f t="shared" ca="1" si="108"/>
        <v>42</v>
      </c>
      <c r="E32" s="11">
        <f t="shared" ca="1" si="108"/>
        <v>26</v>
      </c>
      <c r="F32" s="11">
        <f t="shared" ca="1" si="108"/>
        <v>21</v>
      </c>
      <c r="G32" s="11">
        <f t="shared" ca="1" si="108"/>
        <v>30</v>
      </c>
      <c r="H32" s="11">
        <f t="shared" ca="1" si="108"/>
        <v>27</v>
      </c>
      <c r="I32" s="11">
        <f t="shared" ca="1" si="108"/>
        <v>34</v>
      </c>
      <c r="J32" s="11">
        <f t="shared" ca="1" si="108"/>
        <v>30</v>
      </c>
      <c r="K32" s="11">
        <f t="shared" ca="1" si="108"/>
        <v>26</v>
      </c>
      <c r="L32" s="11">
        <f t="shared" ca="1" si="108"/>
        <v>23</v>
      </c>
      <c r="M32" s="11">
        <f t="shared" ca="1" si="108"/>
        <v>42</v>
      </c>
      <c r="N32" s="11">
        <f t="shared" ca="1" si="109"/>
        <v>36</v>
      </c>
      <c r="O32" s="11">
        <f t="shared" ca="1" si="109"/>
        <v>42</v>
      </c>
      <c r="P32" s="11">
        <f t="shared" ca="1" si="109"/>
        <v>25</v>
      </c>
      <c r="Q32" s="11">
        <f t="shared" ca="1" si="109"/>
        <v>45</v>
      </c>
      <c r="R32" s="11">
        <f t="shared" ca="1" si="109"/>
        <v>34</v>
      </c>
      <c r="S32" s="11">
        <f t="shared" ca="1" si="109"/>
        <v>27</v>
      </c>
      <c r="T32" s="11">
        <f t="shared" ca="1" si="109"/>
        <v>28</v>
      </c>
      <c r="U32" s="11">
        <f t="shared" ca="1" si="109"/>
        <v>42</v>
      </c>
      <c r="V32" s="11">
        <f t="shared" ca="1" si="109"/>
        <v>30</v>
      </c>
      <c r="W32" s="11">
        <f t="shared" ca="1" si="109"/>
        <v>44</v>
      </c>
      <c r="X32" s="11">
        <f t="shared" ca="1" si="110"/>
        <v>27</v>
      </c>
      <c r="Y32" s="11">
        <f t="shared" ca="1" si="110"/>
        <v>30</v>
      </c>
      <c r="Z32" s="11">
        <f t="shared" ca="1" si="110"/>
        <v>38</v>
      </c>
      <c r="AA32" s="11">
        <f t="shared" ca="1" si="110"/>
        <v>31</v>
      </c>
      <c r="AB32" s="11">
        <f t="shared" ca="1" si="110"/>
        <v>24</v>
      </c>
      <c r="AC32" s="11">
        <f t="shared" ca="1" si="110"/>
        <v>45</v>
      </c>
      <c r="AD32" s="11">
        <f t="shared" ca="1" si="110"/>
        <v>37</v>
      </c>
      <c r="AE32" s="11">
        <f t="shared" ca="1" si="110"/>
        <v>26</v>
      </c>
      <c r="AF32" s="11">
        <f t="shared" ca="1" si="110"/>
        <v>20</v>
      </c>
      <c r="AG32" s="11">
        <f t="shared" ca="1" si="110"/>
        <v>41</v>
      </c>
      <c r="AH32" s="11">
        <f t="shared" ca="1" si="111"/>
        <v>43</v>
      </c>
      <c r="AI32" s="11">
        <f t="shared" ca="1" si="111"/>
        <v>25</v>
      </c>
      <c r="AJ32" s="11">
        <f t="shared" ca="1" si="111"/>
        <v>35</v>
      </c>
      <c r="AK32" s="11">
        <f t="shared" ca="1" si="111"/>
        <v>23</v>
      </c>
      <c r="AL32" s="11">
        <f t="shared" ca="1" si="111"/>
        <v>25</v>
      </c>
      <c r="AM32" s="11">
        <f t="shared" ca="1" si="111"/>
        <v>22</v>
      </c>
      <c r="AN32" s="11">
        <f t="shared" ca="1" si="111"/>
        <v>21</v>
      </c>
      <c r="AO32" s="11">
        <f t="shared" ca="1" si="111"/>
        <v>32</v>
      </c>
      <c r="AP32" s="11">
        <f t="shared" ca="1" si="111"/>
        <v>24</v>
      </c>
      <c r="AQ32" s="11">
        <f t="shared" ca="1" si="111"/>
        <v>22</v>
      </c>
      <c r="AR32" s="11">
        <f t="shared" ca="1" si="112"/>
        <v>43</v>
      </c>
      <c r="AS32" s="11">
        <f t="shared" ca="1" si="112"/>
        <v>34</v>
      </c>
      <c r="AT32" s="11">
        <f t="shared" ca="1" si="112"/>
        <v>44</v>
      </c>
      <c r="AU32" s="11">
        <f t="shared" ca="1" si="112"/>
        <v>28</v>
      </c>
      <c r="AV32" s="11">
        <f t="shared" ca="1" si="112"/>
        <v>22</v>
      </c>
      <c r="AW32" s="11">
        <f t="shared" ca="1" si="112"/>
        <v>31</v>
      </c>
      <c r="AX32" s="11">
        <f t="shared" ca="1" si="112"/>
        <v>41</v>
      </c>
      <c r="AY32" s="11">
        <f t="shared" ca="1" si="112"/>
        <v>36</v>
      </c>
      <c r="AZ32" s="11">
        <f t="shared" ca="1" si="112"/>
        <v>44</v>
      </c>
      <c r="BA32" s="11">
        <f t="shared" ca="1" si="112"/>
        <v>39</v>
      </c>
      <c r="BB32" s="11">
        <f t="shared" ca="1" si="113"/>
        <v>21</v>
      </c>
      <c r="BC32" s="11">
        <f t="shared" ca="1" si="113"/>
        <v>33</v>
      </c>
      <c r="BD32" s="11">
        <f t="shared" ca="1" si="113"/>
        <v>44</v>
      </c>
      <c r="BE32" s="11">
        <f t="shared" ca="1" si="113"/>
        <v>35</v>
      </c>
      <c r="BF32" s="11">
        <f t="shared" ca="1" si="113"/>
        <v>25</v>
      </c>
      <c r="BG32" s="11">
        <f t="shared" ca="1" si="113"/>
        <v>22</v>
      </c>
      <c r="BH32" s="11">
        <f t="shared" ca="1" si="113"/>
        <v>38</v>
      </c>
      <c r="BI32" s="11">
        <f t="shared" ca="1" si="113"/>
        <v>33</v>
      </c>
      <c r="BJ32" s="11">
        <f t="shared" ca="1" si="113"/>
        <v>35</v>
      </c>
      <c r="BK32" s="11">
        <f t="shared" ca="1" si="113"/>
        <v>21</v>
      </c>
      <c r="BL32" s="11">
        <f t="shared" ca="1" si="114"/>
        <v>45</v>
      </c>
      <c r="BM32" s="11">
        <f t="shared" ca="1" si="114"/>
        <v>38</v>
      </c>
      <c r="BN32" s="11">
        <f t="shared" ca="1" si="114"/>
        <v>43</v>
      </c>
      <c r="BO32" s="11">
        <f t="shared" ca="1" si="114"/>
        <v>42</v>
      </c>
      <c r="BP32" s="11">
        <f t="shared" ca="1" si="114"/>
        <v>21</v>
      </c>
      <c r="BQ32" s="11">
        <f t="shared" ca="1" si="114"/>
        <v>23</v>
      </c>
      <c r="BR32" s="11">
        <f t="shared" ca="1" si="114"/>
        <v>22</v>
      </c>
      <c r="BS32" s="11">
        <f t="shared" ca="1" si="114"/>
        <v>39</v>
      </c>
      <c r="BT32" s="11">
        <f t="shared" ca="1" si="114"/>
        <v>39</v>
      </c>
      <c r="BU32" s="11">
        <f t="shared" ca="1" si="114"/>
        <v>38</v>
      </c>
      <c r="BV32" s="11">
        <f t="shared" ca="1" si="115"/>
        <v>29</v>
      </c>
      <c r="BW32" s="11">
        <f t="shared" ca="1" si="115"/>
        <v>40</v>
      </c>
      <c r="BX32" s="11">
        <f t="shared" ca="1" si="115"/>
        <v>33</v>
      </c>
      <c r="BY32" s="11">
        <f t="shared" ca="1" si="115"/>
        <v>26</v>
      </c>
      <c r="BZ32" s="11">
        <f t="shared" ca="1" si="115"/>
        <v>30</v>
      </c>
      <c r="CA32" s="11">
        <f t="shared" ca="1" si="115"/>
        <v>27</v>
      </c>
      <c r="CB32" s="11">
        <f t="shared" ca="1" si="115"/>
        <v>32</v>
      </c>
      <c r="CC32" s="11">
        <f t="shared" ca="1" si="115"/>
        <v>42</v>
      </c>
      <c r="CD32" s="11">
        <f t="shared" ca="1" si="115"/>
        <v>20</v>
      </c>
      <c r="CE32" s="11">
        <f t="shared" ca="1" si="115"/>
        <v>26</v>
      </c>
      <c r="CF32" s="11">
        <f t="shared" ca="1" si="116"/>
        <v>38</v>
      </c>
      <c r="CG32" s="11">
        <f t="shared" ca="1" si="116"/>
        <v>44</v>
      </c>
      <c r="CH32" s="11">
        <f t="shared" ca="1" si="116"/>
        <v>27</v>
      </c>
      <c r="CI32" s="11">
        <f t="shared" ca="1" si="116"/>
        <v>27</v>
      </c>
      <c r="CJ32" s="11">
        <f t="shared" ca="1" si="116"/>
        <v>31</v>
      </c>
      <c r="CK32" s="11">
        <f t="shared" ca="1" si="116"/>
        <v>33</v>
      </c>
      <c r="CL32" s="11">
        <f t="shared" ca="1" si="116"/>
        <v>43</v>
      </c>
      <c r="CM32" s="11">
        <f t="shared" ca="1" si="116"/>
        <v>41</v>
      </c>
      <c r="CN32" s="11">
        <f t="shared" ca="1" si="116"/>
        <v>28</v>
      </c>
      <c r="CO32" s="11">
        <f t="shared" ca="1" si="116"/>
        <v>43</v>
      </c>
      <c r="CP32" s="11">
        <f t="shared" ca="1" si="117"/>
        <v>44</v>
      </c>
      <c r="CQ32" s="11">
        <f t="shared" ca="1" si="117"/>
        <v>38</v>
      </c>
      <c r="CR32" s="11">
        <f t="shared" ca="1" si="117"/>
        <v>32</v>
      </c>
      <c r="CS32" s="11">
        <f t="shared" ca="1" si="117"/>
        <v>29</v>
      </c>
      <c r="CT32" s="11">
        <f t="shared" ca="1" si="117"/>
        <v>43</v>
      </c>
      <c r="CU32" s="11">
        <f t="shared" ca="1" si="117"/>
        <v>36</v>
      </c>
      <c r="CV32" s="11">
        <f t="shared" ca="1" si="117"/>
        <v>37</v>
      </c>
      <c r="CW32" s="11">
        <f t="shared" ca="1" si="117"/>
        <v>42</v>
      </c>
      <c r="CX32" s="11">
        <f t="shared" ca="1" si="117"/>
        <v>31</v>
      </c>
      <c r="CY32" s="11">
        <f t="shared" ca="1" si="117"/>
        <v>31</v>
      </c>
      <c r="CZ32" s="11">
        <f t="shared" ca="1" si="118"/>
        <v>34</v>
      </c>
      <c r="DA32" s="11">
        <f t="shared" ca="1" si="118"/>
        <v>34</v>
      </c>
      <c r="DB32" s="11">
        <f t="shared" ca="1" si="118"/>
        <v>28</v>
      </c>
      <c r="DC32" s="11">
        <f t="shared" ca="1" si="118"/>
        <v>29</v>
      </c>
      <c r="DD32" s="11">
        <f t="shared" ca="1" si="118"/>
        <v>33</v>
      </c>
      <c r="DE32" s="11">
        <f t="shared" ca="1" si="118"/>
        <v>32</v>
      </c>
      <c r="DF32" s="11">
        <f t="shared" ca="1" si="118"/>
        <v>33</v>
      </c>
      <c r="DG32" s="11">
        <f t="shared" ca="1" si="118"/>
        <v>43</v>
      </c>
      <c r="DH32" s="11">
        <f t="shared" ca="1" si="118"/>
        <v>37</v>
      </c>
      <c r="DI32" s="11">
        <f t="shared" ca="1" si="118"/>
        <v>25</v>
      </c>
      <c r="DJ32" s="11">
        <f t="shared" ca="1" si="118"/>
        <v>28</v>
      </c>
      <c r="DK32" s="11">
        <f t="shared" ca="1" si="118"/>
        <v>36</v>
      </c>
      <c r="DL32" s="11">
        <f t="shared" ca="1" si="118"/>
        <v>33</v>
      </c>
      <c r="DM32" s="11">
        <f t="shared" ca="1" si="118"/>
        <v>24</v>
      </c>
      <c r="DN32" s="11">
        <f t="shared" ca="1" si="118"/>
        <v>36</v>
      </c>
      <c r="DO32" s="11">
        <f ca="1">RANDBETWEEN(20, 45)</f>
        <v>41</v>
      </c>
      <c r="DP32" s="11">
        <f t="shared" ca="1" si="119"/>
        <v>27</v>
      </c>
      <c r="DQ32" s="11">
        <f t="shared" ca="1" si="119"/>
        <v>38</v>
      </c>
      <c r="DR32" s="11">
        <f t="shared" ca="1" si="119"/>
        <v>39</v>
      </c>
      <c r="DS32" s="11">
        <f t="shared" ca="1" si="119"/>
        <v>26</v>
      </c>
      <c r="DT32" s="11">
        <f t="shared" ca="1" si="119"/>
        <v>25</v>
      </c>
      <c r="DU32" s="11">
        <f t="shared" ca="1" si="119"/>
        <v>33</v>
      </c>
      <c r="DV32" s="11">
        <f t="shared" ca="1" si="119"/>
        <v>37</v>
      </c>
      <c r="DW32" s="11">
        <f t="shared" ca="1" si="119"/>
        <v>28</v>
      </c>
      <c r="DX32" s="11">
        <f t="shared" ca="1" si="119"/>
        <v>23</v>
      </c>
      <c r="DY32" s="11">
        <f t="shared" ca="1" si="119"/>
        <v>36</v>
      </c>
      <c r="DZ32" s="11">
        <f t="shared" ca="1" si="119"/>
        <v>32</v>
      </c>
      <c r="EA32" s="11">
        <f t="shared" ca="1" si="119"/>
        <v>25</v>
      </c>
      <c r="EB32" s="11">
        <f t="shared" ca="1" si="119"/>
        <v>30</v>
      </c>
      <c r="EC32" s="11">
        <f t="shared" ca="1" si="119"/>
        <v>30</v>
      </c>
      <c r="ED32" s="11">
        <f t="shared" ca="1" si="119"/>
        <v>27</v>
      </c>
      <c r="EE32" s="11">
        <f ca="1">RANDBETWEEN(20, 45)</f>
        <v>32</v>
      </c>
    </row>
    <row r="33" spans="2:135" x14ac:dyDescent="0.4">
      <c r="C33" s="7" t="s">
        <v>25</v>
      </c>
      <c r="D33" s="11" cm="1">
        <f t="array" aca="1" ref="D33" ca="1">_xlfn.RANDARRAY()</f>
        <v>0.72483239836106872</v>
      </c>
      <c r="E33" s="11" cm="1">
        <f t="array" aca="1" ref="E33" ca="1">_xlfn.RANDARRAY()</f>
        <v>0.89528086621822167</v>
      </c>
      <c r="F33" s="11" cm="1">
        <f t="array" aca="1" ref="F33" ca="1">_xlfn.RANDARRAY()</f>
        <v>0.75325041981839802</v>
      </c>
      <c r="G33" s="11" cm="1">
        <f t="array" aca="1" ref="G33" ca="1">_xlfn.RANDARRAY()</f>
        <v>1.9951888228890713E-2</v>
      </c>
      <c r="H33" s="11" cm="1">
        <f t="array" aca="1" ref="H33" ca="1">_xlfn.RANDARRAY()</f>
        <v>6.8334072453607897E-2</v>
      </c>
      <c r="I33" s="11" cm="1">
        <f t="array" aca="1" ref="I33" ca="1">_xlfn.RANDARRAY()</f>
        <v>0.20283687046656307</v>
      </c>
      <c r="J33" s="11" cm="1">
        <f t="array" aca="1" ref="J33" ca="1">_xlfn.RANDARRAY()</f>
        <v>0.13501956771062296</v>
      </c>
      <c r="K33" s="11" cm="1">
        <f t="array" aca="1" ref="K33" ca="1">_xlfn.RANDARRAY()</f>
        <v>0.35516863921956832</v>
      </c>
      <c r="L33" s="11" cm="1">
        <f t="array" aca="1" ref="L33" ca="1">_xlfn.RANDARRAY()</f>
        <v>0.19609094406175798</v>
      </c>
      <c r="M33" s="11" cm="1">
        <f t="array" aca="1" ref="M33" ca="1">_xlfn.RANDARRAY()</f>
        <v>0.46905744833715812</v>
      </c>
      <c r="N33" s="11" cm="1">
        <f t="array" aca="1" ref="N33" ca="1">_xlfn.RANDARRAY()</f>
        <v>0.77988313816495047</v>
      </c>
      <c r="O33" s="11" cm="1">
        <f t="array" aca="1" ref="O33" ca="1">_xlfn.RANDARRAY()</f>
        <v>2.8006607198753697E-2</v>
      </c>
      <c r="P33" s="11" cm="1">
        <f t="array" aca="1" ref="P33" ca="1">_xlfn.RANDARRAY()</f>
        <v>0.99559092463784316</v>
      </c>
      <c r="Q33" s="11" cm="1">
        <f t="array" aca="1" ref="Q33" ca="1">_xlfn.RANDARRAY()</f>
        <v>0.7837084738658735</v>
      </c>
      <c r="R33" s="11" cm="1">
        <f t="array" aca="1" ref="R33" ca="1">_xlfn.RANDARRAY()</f>
        <v>0.53885019808699441</v>
      </c>
      <c r="S33" s="11" cm="1">
        <f t="array" aca="1" ref="S33" ca="1">_xlfn.RANDARRAY()</f>
        <v>0.82319015904682824</v>
      </c>
      <c r="T33" s="11" cm="1">
        <f t="array" aca="1" ref="T33" ca="1">_xlfn.RANDARRAY()</f>
        <v>0.45608134733518613</v>
      </c>
      <c r="U33" s="11" cm="1">
        <f t="array" aca="1" ref="U33" ca="1">_xlfn.RANDARRAY()</f>
        <v>0.17308297287495877</v>
      </c>
      <c r="V33" s="11" cm="1">
        <f t="array" aca="1" ref="V33" ca="1">_xlfn.RANDARRAY()</f>
        <v>0.2099941896840618</v>
      </c>
      <c r="W33" s="11" cm="1">
        <f t="array" aca="1" ref="W33" ca="1">_xlfn.RANDARRAY()</f>
        <v>0.25805187746617064</v>
      </c>
      <c r="X33" s="11" cm="1">
        <f t="array" aca="1" ref="X33" ca="1">_xlfn.RANDARRAY()</f>
        <v>0.88234799192284252</v>
      </c>
      <c r="Y33" s="11" cm="1">
        <f t="array" aca="1" ref="Y33" ca="1">_xlfn.RANDARRAY()</f>
        <v>0.57796630808503924</v>
      </c>
      <c r="Z33" s="11" cm="1">
        <f t="array" aca="1" ref="Z33" ca="1">_xlfn.RANDARRAY()</f>
        <v>0.40551048846650595</v>
      </c>
      <c r="AA33" s="11" cm="1">
        <f t="array" aca="1" ref="AA33" ca="1">_xlfn.RANDARRAY()</f>
        <v>0.68167858572144779</v>
      </c>
      <c r="AB33" s="11" cm="1">
        <f t="array" aca="1" ref="AB33" ca="1">_xlfn.RANDARRAY()</f>
        <v>0.15671325831233496</v>
      </c>
      <c r="AC33" s="11" cm="1">
        <f t="array" aca="1" ref="AC33" ca="1">_xlfn.RANDARRAY()</f>
        <v>0.14427425850951026</v>
      </c>
      <c r="AD33" s="11" cm="1">
        <f t="array" aca="1" ref="AD33" ca="1">_xlfn.RANDARRAY()</f>
        <v>0.34133931719184596</v>
      </c>
      <c r="AE33" s="11" cm="1">
        <f t="array" aca="1" ref="AE33" ca="1">_xlfn.RANDARRAY()</f>
        <v>0.1044147392754966</v>
      </c>
      <c r="AF33" s="11" cm="1">
        <f t="array" aca="1" ref="AF33" ca="1">_xlfn.RANDARRAY()</f>
        <v>0.89192092867477779</v>
      </c>
      <c r="AG33" s="11" cm="1">
        <f t="array" aca="1" ref="AG33" ca="1">_xlfn.RANDARRAY()</f>
        <v>0.72822658977509902</v>
      </c>
      <c r="AH33" s="11" cm="1">
        <f t="array" aca="1" ref="AH33" ca="1">_xlfn.RANDARRAY()</f>
        <v>0.60157100878131708</v>
      </c>
      <c r="AI33" s="11" cm="1">
        <f t="array" aca="1" ref="AI33" ca="1">_xlfn.RANDARRAY()</f>
        <v>0.29109840788535601</v>
      </c>
      <c r="AJ33" s="11" cm="1">
        <f t="array" aca="1" ref="AJ33" ca="1">_xlfn.RANDARRAY()</f>
        <v>0.63650649721135388</v>
      </c>
      <c r="AK33" s="11" cm="1">
        <f t="array" aca="1" ref="AK33" ca="1">_xlfn.RANDARRAY()</f>
        <v>0.48792694014217641</v>
      </c>
      <c r="AL33" s="11" cm="1">
        <f t="array" aca="1" ref="AL33" ca="1">_xlfn.RANDARRAY()</f>
        <v>0.11914635983536681</v>
      </c>
      <c r="AM33" s="11" cm="1">
        <f t="array" aca="1" ref="AM33" ca="1">_xlfn.RANDARRAY()</f>
        <v>0.78027704493026429</v>
      </c>
      <c r="AN33" s="11" cm="1">
        <f t="array" aca="1" ref="AN33" ca="1">_xlfn.RANDARRAY()</f>
        <v>0.46436447467782949</v>
      </c>
      <c r="AO33" s="11" cm="1">
        <f t="array" aca="1" ref="AO33" ca="1">_xlfn.RANDARRAY()</f>
        <v>0.98418939835137564</v>
      </c>
      <c r="AP33" s="11" cm="1">
        <f t="array" aca="1" ref="AP33" ca="1">_xlfn.RANDARRAY()</f>
        <v>0.3350139356228361</v>
      </c>
      <c r="AQ33" s="11" cm="1">
        <f t="array" aca="1" ref="AQ33" ca="1">_xlfn.RANDARRAY()</f>
        <v>0.19896997995924282</v>
      </c>
      <c r="AR33" s="11" cm="1">
        <f t="array" aca="1" ref="AR33" ca="1">_xlfn.RANDARRAY()</f>
        <v>4.8333675324913949E-2</v>
      </c>
      <c r="AS33" s="11" cm="1">
        <f t="array" aca="1" ref="AS33" ca="1">_xlfn.RANDARRAY()</f>
        <v>0.33419365928719191</v>
      </c>
      <c r="AT33" s="11" cm="1">
        <f t="array" aca="1" ref="AT33" ca="1">_xlfn.RANDARRAY()</f>
        <v>0.18834776931322939</v>
      </c>
      <c r="AU33" s="11" cm="1">
        <f t="array" aca="1" ref="AU33" ca="1">_xlfn.RANDARRAY()</f>
        <v>0.77972601834431066</v>
      </c>
      <c r="AV33" s="11" cm="1">
        <f t="array" aca="1" ref="AV33" ca="1">_xlfn.RANDARRAY()</f>
        <v>0.75523593182560034</v>
      </c>
      <c r="AW33" s="11" cm="1">
        <f t="array" aca="1" ref="AW33" ca="1">_xlfn.RANDARRAY()</f>
        <v>8.0238075679703869E-3</v>
      </c>
      <c r="AX33" s="11" cm="1">
        <f t="array" aca="1" ref="AX33" ca="1">_xlfn.RANDARRAY()</f>
        <v>0.89264559427644086</v>
      </c>
      <c r="AY33" s="11" cm="1">
        <f t="array" aca="1" ref="AY33" ca="1">_xlfn.RANDARRAY()</f>
        <v>0.61635759874420115</v>
      </c>
      <c r="AZ33" s="11" cm="1">
        <f t="array" aca="1" ref="AZ33" ca="1">_xlfn.RANDARRAY()</f>
        <v>0.533139969585813</v>
      </c>
      <c r="BA33" s="11" cm="1">
        <f t="array" aca="1" ref="BA33" ca="1">_xlfn.RANDARRAY()</f>
        <v>0.56712391181882382</v>
      </c>
      <c r="BB33" s="11" cm="1">
        <f t="array" aca="1" ref="BB33" ca="1">_xlfn.RANDARRAY()</f>
        <v>0.52887709007088346</v>
      </c>
      <c r="BC33" s="11" cm="1">
        <f t="array" aca="1" ref="BC33" ca="1">_xlfn.RANDARRAY()</f>
        <v>0.60981235065310879</v>
      </c>
      <c r="BD33" s="11" cm="1">
        <f t="array" aca="1" ref="BD33" ca="1">_xlfn.RANDARRAY()</f>
        <v>0.97340653803909438</v>
      </c>
      <c r="BE33" s="11" cm="1">
        <f t="array" aca="1" ref="BE33" ca="1">_xlfn.RANDARRAY()</f>
        <v>0.87194293343271112</v>
      </c>
      <c r="BF33" s="11" cm="1">
        <f t="array" aca="1" ref="BF33" ca="1">_xlfn.RANDARRAY()</f>
        <v>0.21082332234277867</v>
      </c>
      <c r="BG33" s="11" cm="1">
        <f t="array" aca="1" ref="BG33" ca="1">_xlfn.RANDARRAY()</f>
        <v>0.2639686509984065</v>
      </c>
      <c r="BH33" s="11" cm="1">
        <f t="array" aca="1" ref="BH33" ca="1">_xlfn.RANDARRAY()</f>
        <v>0.1832172083092054</v>
      </c>
      <c r="BI33" s="11" cm="1">
        <f t="array" aca="1" ref="BI33" ca="1">_xlfn.RANDARRAY()</f>
        <v>0.10775495032172877</v>
      </c>
      <c r="BJ33" s="11" cm="1">
        <f t="array" aca="1" ref="BJ33" ca="1">_xlfn.RANDARRAY()</f>
        <v>0.68156212016681228</v>
      </c>
      <c r="BK33" s="11" cm="1">
        <f t="array" aca="1" ref="BK33" ca="1">_xlfn.RANDARRAY()</f>
        <v>0.68834986094535044</v>
      </c>
      <c r="BL33" s="11" cm="1">
        <f t="array" aca="1" ref="BL33" ca="1">_xlfn.RANDARRAY()</f>
        <v>0.8769569429081967</v>
      </c>
      <c r="BM33" s="11" cm="1">
        <f t="array" aca="1" ref="BM33" ca="1">_xlfn.RANDARRAY()</f>
        <v>0.98662841110557187</v>
      </c>
      <c r="BN33" s="11" cm="1">
        <f t="array" aca="1" ref="BN33" ca="1">_xlfn.RANDARRAY()</f>
        <v>0.59077959266275681</v>
      </c>
      <c r="BO33" s="11" cm="1">
        <f t="array" aca="1" ref="BO33" ca="1">_xlfn.RANDARRAY()</f>
        <v>0.73674849174121082</v>
      </c>
      <c r="BP33" s="11" cm="1">
        <f t="array" aca="1" ref="BP33" ca="1">_xlfn.RANDARRAY()</f>
        <v>0.23506974170536687</v>
      </c>
      <c r="BQ33" s="11" cm="1">
        <f t="array" aca="1" ref="BQ33" ca="1">_xlfn.RANDARRAY()</f>
        <v>0.2840189976500791</v>
      </c>
      <c r="BR33" s="11" cm="1">
        <f t="array" aca="1" ref="BR33" ca="1">_xlfn.RANDARRAY()</f>
        <v>0.28306525518674208</v>
      </c>
      <c r="BS33" s="11" cm="1">
        <f t="array" aca="1" ref="BS33" ca="1">_xlfn.RANDARRAY()</f>
        <v>9.5910732022492562E-2</v>
      </c>
      <c r="BT33" s="11" cm="1">
        <f t="array" aca="1" ref="BT33" ca="1">_xlfn.RANDARRAY()</f>
        <v>0.75005327390148668</v>
      </c>
      <c r="BU33" s="11" cm="1">
        <f t="array" aca="1" ref="BU33" ca="1">_xlfn.RANDARRAY()</f>
        <v>0.8255605978503191</v>
      </c>
      <c r="BV33" s="11" cm="1">
        <f t="array" aca="1" ref="BV33" ca="1">_xlfn.RANDARRAY()</f>
        <v>0.66484178063781441</v>
      </c>
      <c r="BW33" s="11" cm="1">
        <f t="array" aca="1" ref="BW33" ca="1">_xlfn.RANDARRAY()</f>
        <v>0.85567120709477695</v>
      </c>
      <c r="BX33" s="11" cm="1">
        <f t="array" aca="1" ref="BX33" ca="1">_xlfn.RANDARRAY()</f>
        <v>0.422490893229992</v>
      </c>
      <c r="BY33" s="11" cm="1">
        <f t="array" aca="1" ref="BY33" ca="1">_xlfn.RANDARRAY()</f>
        <v>0.64942547348861379</v>
      </c>
      <c r="BZ33" s="11" cm="1">
        <f t="array" aca="1" ref="BZ33" ca="1">_xlfn.RANDARRAY()</f>
        <v>0.40983834877818071</v>
      </c>
      <c r="CA33" s="11" cm="1">
        <f t="array" aca="1" ref="CA33" ca="1">_xlfn.RANDARRAY()</f>
        <v>0.19859940162429379</v>
      </c>
      <c r="CB33" s="11" cm="1">
        <f t="array" aca="1" ref="CB33" ca="1">_xlfn.RANDARRAY()</f>
        <v>0.85495446460196067</v>
      </c>
      <c r="CC33" s="11" cm="1">
        <f t="array" aca="1" ref="CC33" ca="1">_xlfn.RANDARRAY()</f>
        <v>0.69221995979361406</v>
      </c>
      <c r="CD33" s="11" cm="1">
        <f t="array" aca="1" ref="CD33" ca="1">_xlfn.RANDARRAY()</f>
        <v>0.48829956579079759</v>
      </c>
      <c r="CE33" s="11" cm="1">
        <f t="array" aca="1" ref="CE33" ca="1">_xlfn.RANDARRAY()</f>
        <v>0.63922648599607745</v>
      </c>
      <c r="CF33" s="11" cm="1">
        <f t="array" aca="1" ref="CF33" ca="1">_xlfn.RANDARRAY()</f>
        <v>0.17086101842851287</v>
      </c>
      <c r="CG33" s="11" cm="1">
        <f t="array" aca="1" ref="CG33" ca="1">_xlfn.RANDARRAY()</f>
        <v>0.97257402301825291</v>
      </c>
      <c r="CH33" s="11" cm="1">
        <f t="array" aca="1" ref="CH33" ca="1">_xlfn.RANDARRAY()</f>
        <v>0.17167121928807361</v>
      </c>
      <c r="CI33" s="11" cm="1">
        <f t="array" aca="1" ref="CI33" ca="1">_xlfn.RANDARRAY()</f>
        <v>0.90726305474089486</v>
      </c>
      <c r="CJ33" s="11" cm="1">
        <f t="array" aca="1" ref="CJ33" ca="1">_xlfn.RANDARRAY()</f>
        <v>0.59614616474204207</v>
      </c>
      <c r="CK33" s="11" cm="1">
        <f t="array" aca="1" ref="CK33" ca="1">_xlfn.RANDARRAY()</f>
        <v>0.27359565320196189</v>
      </c>
      <c r="CL33" s="11" cm="1">
        <f t="array" aca="1" ref="CL33" ca="1">_xlfn.RANDARRAY()</f>
        <v>0.61263129707806185</v>
      </c>
      <c r="CM33" s="11" cm="1">
        <f t="array" aca="1" ref="CM33" ca="1">_xlfn.RANDARRAY()</f>
        <v>0.77877920482538832</v>
      </c>
      <c r="CN33" s="11" cm="1">
        <f t="array" aca="1" ref="CN33" ca="1">_xlfn.RANDARRAY()</f>
        <v>0.18658784754622615</v>
      </c>
      <c r="CO33" s="11" cm="1">
        <f t="array" aca="1" ref="CO33" ca="1">_xlfn.RANDARRAY()</f>
        <v>0.52826350952047041</v>
      </c>
      <c r="CP33" s="11" cm="1">
        <f t="array" aca="1" ref="CP33" ca="1">_xlfn.RANDARRAY()</f>
        <v>0.40658870815092851</v>
      </c>
      <c r="CQ33" s="11" cm="1">
        <f t="array" aca="1" ref="CQ33" ca="1">_xlfn.RANDARRAY()</f>
        <v>0.9471914799001957</v>
      </c>
      <c r="CR33" s="11" cm="1">
        <f t="array" aca="1" ref="CR33" ca="1">_xlfn.RANDARRAY()</f>
        <v>0.82455148197501149</v>
      </c>
      <c r="CS33" s="11" cm="1">
        <f t="array" aca="1" ref="CS33" ca="1">_xlfn.RANDARRAY()</f>
        <v>0.29539744995655592</v>
      </c>
      <c r="CT33" s="11" cm="1">
        <f t="array" aca="1" ref="CT33" ca="1">_xlfn.RANDARRAY()</f>
        <v>0.32542960322291226</v>
      </c>
      <c r="CU33" s="11" cm="1">
        <f t="array" aca="1" ref="CU33" ca="1">_xlfn.RANDARRAY()</f>
        <v>0.93440661518242707</v>
      </c>
      <c r="CV33" s="11" cm="1">
        <f t="array" aca="1" ref="CV33" ca="1">_xlfn.RANDARRAY()</f>
        <v>0.75712481697912692</v>
      </c>
      <c r="CW33" s="11" cm="1">
        <f t="array" aca="1" ref="CW33" ca="1">_xlfn.RANDARRAY()</f>
        <v>2.1676934505922674E-2</v>
      </c>
      <c r="CX33" s="11" cm="1">
        <f t="array" aca="1" ref="CX33" ca="1">_xlfn.RANDARRAY()</f>
        <v>0.20151178597245711</v>
      </c>
      <c r="CY33" s="11" cm="1">
        <f t="array" aca="1" ref="CY33" ca="1">_xlfn.RANDARRAY()</f>
        <v>9.6216783014474005E-2</v>
      </c>
      <c r="CZ33" s="11" cm="1">
        <f t="array" aca="1" ref="CZ33" ca="1">_xlfn.RANDARRAY()</f>
        <v>0.87148723923454874</v>
      </c>
      <c r="DA33" s="11" cm="1">
        <f t="array" aca="1" ref="DA33" ca="1">_xlfn.RANDARRAY()</f>
        <v>0.39623748896373279</v>
      </c>
      <c r="DB33" s="11" cm="1">
        <f t="array" aca="1" ref="DB33" ca="1">_xlfn.RANDARRAY()</f>
        <v>0.39081514682370111</v>
      </c>
      <c r="DC33" s="11" cm="1">
        <f t="array" aca="1" ref="DC33" ca="1">_xlfn.RANDARRAY()</f>
        <v>0.85263755017343912</v>
      </c>
      <c r="DD33" s="11" cm="1">
        <f t="array" aca="1" ref="DD33" ca="1">_xlfn.RANDARRAY()</f>
        <v>0.29733015653641992</v>
      </c>
      <c r="DE33" s="11" cm="1">
        <f t="array" aca="1" ref="DE33" ca="1">_xlfn.RANDARRAY()</f>
        <v>0.33702864233379159</v>
      </c>
      <c r="DF33" s="11" cm="1">
        <f t="array" aca="1" ref="DF33" ca="1">_xlfn.RANDARRAY()</f>
        <v>0.446862232975618</v>
      </c>
      <c r="DG33" s="11" cm="1">
        <f t="array" aca="1" ref="DG33" ca="1">_xlfn.RANDARRAY()</f>
        <v>0.57721501005743381</v>
      </c>
      <c r="DH33" s="11" cm="1">
        <f t="array" aca="1" ref="DH33" ca="1">_xlfn.RANDARRAY()</f>
        <v>0.10174664347484152</v>
      </c>
      <c r="DI33" s="11" cm="1">
        <f t="array" aca="1" ref="DI33" ca="1">_xlfn.RANDARRAY()</f>
        <v>0.91498310677313266</v>
      </c>
      <c r="DJ33" s="11" cm="1">
        <f t="array" aca="1" ref="DJ33" ca="1">_xlfn.RANDARRAY()</f>
        <v>0.52293301470236186</v>
      </c>
      <c r="DK33" s="11" cm="1">
        <f t="array" aca="1" ref="DK33" ca="1">_xlfn.RANDARRAY()</f>
        <v>0.71004744111194884</v>
      </c>
      <c r="DL33" s="11" cm="1">
        <f t="array" aca="1" ref="DL33" ca="1">_xlfn.RANDARRAY()</f>
        <v>0.74650977745021607</v>
      </c>
      <c r="DM33" s="11" cm="1">
        <f t="array" aca="1" ref="DM33" ca="1">_xlfn.RANDARRAY()</f>
        <v>0.94940325513457724</v>
      </c>
      <c r="DN33" s="11" cm="1">
        <f t="array" aca="1" ref="DN33" ca="1">_xlfn.RANDARRAY()</f>
        <v>0.4307517162559753</v>
      </c>
      <c r="DO33" s="11">
        <f ca="1">RANDBETWEEN(20, 45)</f>
        <v>41</v>
      </c>
      <c r="DP33" s="11" cm="1">
        <f t="array" aca="1" ref="DP33" ca="1">_xlfn.RANDARRAY()</f>
        <v>0.31812982188040118</v>
      </c>
      <c r="DQ33" s="11" cm="1">
        <f t="array" aca="1" ref="DQ33" ca="1">_xlfn.RANDARRAY()</f>
        <v>0.67597854777949684</v>
      </c>
      <c r="DR33" s="11" cm="1">
        <f t="array" aca="1" ref="DR33" ca="1">_xlfn.RANDARRAY()</f>
        <v>0.89632523313842416</v>
      </c>
      <c r="DS33" s="11" cm="1">
        <f t="array" aca="1" ref="DS33" ca="1">_xlfn.RANDARRAY()</f>
        <v>0.94080252190721447</v>
      </c>
      <c r="DT33" s="11" cm="1">
        <f t="array" aca="1" ref="DT33" ca="1">_xlfn.RANDARRAY()</f>
        <v>0.62175159299942973</v>
      </c>
      <c r="DU33" s="11" cm="1">
        <f t="array" aca="1" ref="DU33" ca="1">_xlfn.RANDARRAY()</f>
        <v>0.95329373624804759</v>
      </c>
      <c r="DV33" s="11" cm="1">
        <f t="array" aca="1" ref="DV33" ca="1">_xlfn.RANDARRAY()</f>
        <v>0.37428391510364056</v>
      </c>
      <c r="DW33" s="11" cm="1">
        <f t="array" aca="1" ref="DW33" ca="1">_xlfn.RANDARRAY()</f>
        <v>0.42288020325268039</v>
      </c>
      <c r="DX33" s="11" cm="1">
        <f t="array" aca="1" ref="DX33" ca="1">_xlfn.RANDARRAY()</f>
        <v>0.9845195521827339</v>
      </c>
      <c r="DY33" s="11" cm="1">
        <f t="array" aca="1" ref="DY33" ca="1">_xlfn.RANDARRAY()</f>
        <v>0.48035337374978382</v>
      </c>
      <c r="DZ33" s="11" cm="1">
        <f t="array" aca="1" ref="DZ33" ca="1">_xlfn.RANDARRAY()</f>
        <v>0.94638318199164395</v>
      </c>
      <c r="EA33" s="11" cm="1">
        <f t="array" aca="1" ref="EA33" ca="1">_xlfn.RANDARRAY()</f>
        <v>0.19437503565556469</v>
      </c>
      <c r="EB33" s="11" cm="1">
        <f t="array" aca="1" ref="EB33" ca="1">_xlfn.RANDARRAY()</f>
        <v>0.32010460942907848</v>
      </c>
      <c r="EC33" s="11" cm="1">
        <f t="array" aca="1" ref="EC33" ca="1">_xlfn.RANDARRAY()</f>
        <v>0.52042967652579786</v>
      </c>
      <c r="ED33" s="11" cm="1">
        <f t="array" aca="1" ref="ED33" ca="1">_xlfn.RANDARRAY()</f>
        <v>0.71160582797699523</v>
      </c>
      <c r="EE33" s="11" cm="1">
        <f t="array" aca="1" ref="EE33" ca="1">_xlfn.RANDARRAY()</f>
        <v>0.96190017011326412</v>
      </c>
    </row>
    <row r="34" spans="2:135" x14ac:dyDescent="0.4">
      <c r="C34" s="7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1"/>
      <c r="EA34" s="11"/>
      <c r="EB34" s="11"/>
      <c r="EC34" s="11"/>
      <c r="ED34" s="11"/>
      <c r="EE34" s="11"/>
    </row>
    <row r="35" spans="2:135" x14ac:dyDescent="0.4">
      <c r="B35" s="16" t="s">
        <v>180</v>
      </c>
    </row>
    <row r="36" spans="2:135" x14ac:dyDescent="0.4">
      <c r="C36" s="5" t="s">
        <v>40</v>
      </c>
      <c r="D36" s="10" t="str">
        <f ca="1">TEXT(D1, "Mmm-YY")</f>
        <v>Jan-20</v>
      </c>
      <c r="E36" s="10" t="str">
        <f t="shared" ref="E36:BP36" ca="1" si="120">TEXT(E1, "Mmm-YY")</f>
        <v>Feb-20</v>
      </c>
      <c r="F36" s="10" t="str">
        <f t="shared" ca="1" si="120"/>
        <v>Mar-20</v>
      </c>
      <c r="G36" s="10" t="str">
        <f t="shared" ca="1" si="120"/>
        <v>Apr-20</v>
      </c>
      <c r="H36" s="10" t="str">
        <f t="shared" ca="1" si="120"/>
        <v>May-20</v>
      </c>
      <c r="I36" s="10" t="str">
        <f t="shared" ca="1" si="120"/>
        <v>Jun-20</v>
      </c>
      <c r="J36" s="10" t="str">
        <f t="shared" ca="1" si="120"/>
        <v>Jul-20</v>
      </c>
      <c r="K36" s="10" t="str">
        <f t="shared" ca="1" si="120"/>
        <v>Aug-20</v>
      </c>
      <c r="L36" s="10" t="str">
        <f t="shared" ca="1" si="120"/>
        <v>Sep-20</v>
      </c>
      <c r="M36" s="10" t="str">
        <f t="shared" ca="1" si="120"/>
        <v>Oct-20</v>
      </c>
      <c r="N36" s="10" t="str">
        <f t="shared" ca="1" si="120"/>
        <v>Nov-20</v>
      </c>
      <c r="O36" s="10" t="str">
        <f t="shared" ca="1" si="120"/>
        <v>Dec-20</v>
      </c>
      <c r="P36" s="10" t="str">
        <f t="shared" ca="1" si="120"/>
        <v>Jan-21</v>
      </c>
      <c r="Q36" s="10" t="str">
        <f t="shared" ca="1" si="120"/>
        <v>Feb-21</v>
      </c>
      <c r="R36" s="10" t="str">
        <f t="shared" ca="1" si="120"/>
        <v>Mar-21</v>
      </c>
      <c r="S36" s="10" t="str">
        <f t="shared" ca="1" si="120"/>
        <v>Apr-21</v>
      </c>
      <c r="T36" s="10" t="str">
        <f t="shared" ca="1" si="120"/>
        <v>May-21</v>
      </c>
      <c r="U36" s="10" t="str">
        <f t="shared" ca="1" si="120"/>
        <v>Jun-21</v>
      </c>
      <c r="V36" s="10" t="str">
        <f t="shared" ca="1" si="120"/>
        <v>Jul-21</v>
      </c>
      <c r="W36" s="10" t="str">
        <f t="shared" ca="1" si="120"/>
        <v>Aug-21</v>
      </c>
      <c r="X36" s="10" t="str">
        <f t="shared" ca="1" si="120"/>
        <v>Sep-21</v>
      </c>
      <c r="Y36" s="10" t="str">
        <f t="shared" ca="1" si="120"/>
        <v>Oct-21</v>
      </c>
      <c r="Z36" s="10" t="str">
        <f t="shared" ca="1" si="120"/>
        <v>Nov-21</v>
      </c>
      <c r="AA36" s="10" t="str">
        <f t="shared" ca="1" si="120"/>
        <v>Dec-21</v>
      </c>
      <c r="AB36" s="10" t="str">
        <f t="shared" ca="1" si="120"/>
        <v>Jan-22</v>
      </c>
      <c r="AC36" s="10" t="str">
        <f t="shared" ca="1" si="120"/>
        <v>Feb-22</v>
      </c>
      <c r="AD36" s="10" t="str">
        <f t="shared" ca="1" si="120"/>
        <v>Mar-22</v>
      </c>
      <c r="AE36" s="10" t="str">
        <f t="shared" ca="1" si="120"/>
        <v>Apr-22</v>
      </c>
      <c r="AF36" s="10" t="str">
        <f t="shared" ca="1" si="120"/>
        <v>May-22</v>
      </c>
      <c r="AG36" s="10" t="str">
        <f t="shared" ca="1" si="120"/>
        <v>Jun-22</v>
      </c>
      <c r="AH36" s="10" t="str">
        <f t="shared" ca="1" si="120"/>
        <v>Jul-22</v>
      </c>
      <c r="AI36" s="10" t="str">
        <f t="shared" ca="1" si="120"/>
        <v>Aug-22</v>
      </c>
      <c r="AJ36" s="10" t="str">
        <f t="shared" ca="1" si="120"/>
        <v>Sep-22</v>
      </c>
      <c r="AK36" s="10" t="str">
        <f t="shared" ca="1" si="120"/>
        <v>Oct-22</v>
      </c>
      <c r="AL36" s="10" t="str">
        <f t="shared" ca="1" si="120"/>
        <v>Nov-22</v>
      </c>
      <c r="AM36" s="10" t="str">
        <f t="shared" ca="1" si="120"/>
        <v>Dec-22</v>
      </c>
      <c r="AN36" s="10" t="str">
        <f t="shared" ca="1" si="120"/>
        <v>Jan-23</v>
      </c>
      <c r="AO36" s="10" t="str">
        <f t="shared" ca="1" si="120"/>
        <v>Feb-23</v>
      </c>
      <c r="AP36" s="10" t="str">
        <f t="shared" ca="1" si="120"/>
        <v>Mar-23</v>
      </c>
      <c r="AQ36" s="10" t="str">
        <f t="shared" ca="1" si="120"/>
        <v>Apr-23</v>
      </c>
      <c r="AR36" s="10" t="str">
        <f t="shared" ca="1" si="120"/>
        <v>May-23</v>
      </c>
      <c r="AS36" s="10" t="str">
        <f t="shared" ca="1" si="120"/>
        <v>Jun-23</v>
      </c>
      <c r="AT36" s="10" t="str">
        <f t="shared" ca="1" si="120"/>
        <v>Jul-23</v>
      </c>
      <c r="AU36" s="10" t="str">
        <f t="shared" ca="1" si="120"/>
        <v>Aug-23</v>
      </c>
      <c r="AV36" s="10" t="str">
        <f t="shared" ca="1" si="120"/>
        <v>Sep-23</v>
      </c>
      <c r="AW36" s="10" t="str">
        <f t="shared" ca="1" si="120"/>
        <v>Oct-23</v>
      </c>
      <c r="AX36" s="10" t="str">
        <f t="shared" ca="1" si="120"/>
        <v>Nov-23</v>
      </c>
      <c r="AY36" s="10" t="str">
        <f t="shared" ca="1" si="120"/>
        <v>Dec-23</v>
      </c>
      <c r="AZ36" s="10" t="str">
        <f t="shared" ca="1" si="120"/>
        <v>Jan-24</v>
      </c>
      <c r="BA36" s="10" t="str">
        <f t="shared" ca="1" si="120"/>
        <v>Feb-24</v>
      </c>
      <c r="BB36" s="10" t="str">
        <f t="shared" ca="1" si="120"/>
        <v>Mar-24</v>
      </c>
      <c r="BC36" s="10" t="str">
        <f t="shared" ca="1" si="120"/>
        <v>Apr-24</v>
      </c>
      <c r="BD36" s="10" t="str">
        <f t="shared" ca="1" si="120"/>
        <v>May-24</v>
      </c>
      <c r="BE36" s="10" t="str">
        <f t="shared" ca="1" si="120"/>
        <v>Jun-24</v>
      </c>
      <c r="BF36" s="10" t="str">
        <f t="shared" ca="1" si="120"/>
        <v>Jul-24</v>
      </c>
      <c r="BG36" s="10" t="str">
        <f t="shared" ca="1" si="120"/>
        <v>Aug-24</v>
      </c>
      <c r="BH36" s="10" t="str">
        <f t="shared" ca="1" si="120"/>
        <v>Sep-24</v>
      </c>
      <c r="BI36" s="10" t="str">
        <f t="shared" ca="1" si="120"/>
        <v>Oct-24</v>
      </c>
      <c r="BJ36" s="10" t="str">
        <f t="shared" ca="1" si="120"/>
        <v>Nov-24</v>
      </c>
      <c r="BK36" s="10" t="str">
        <f t="shared" ca="1" si="120"/>
        <v>Dec-24</v>
      </c>
      <c r="BL36" s="10" t="str">
        <f t="shared" ca="1" si="120"/>
        <v>Jan-25</v>
      </c>
      <c r="BM36" s="10" t="str">
        <f t="shared" ca="1" si="120"/>
        <v>Feb-25</v>
      </c>
      <c r="BN36" s="10" t="str">
        <f t="shared" ca="1" si="120"/>
        <v>Mar-25</v>
      </c>
      <c r="BO36" s="10" t="str">
        <f t="shared" ca="1" si="120"/>
        <v>Apr-25</v>
      </c>
      <c r="BP36" s="10" t="str">
        <f t="shared" ca="1" si="120"/>
        <v>May-25</v>
      </c>
      <c r="BQ36" s="10" t="str">
        <f t="shared" ref="BQ36:EB36" ca="1" si="121">TEXT(BQ1, "Mmm-YY")</f>
        <v>Jun-25</v>
      </c>
      <c r="BR36" s="10" t="str">
        <f t="shared" ca="1" si="121"/>
        <v>Jul-25</v>
      </c>
      <c r="BS36" s="10" t="str">
        <f t="shared" ca="1" si="121"/>
        <v>Aug-25</v>
      </c>
      <c r="BT36" s="10" t="str">
        <f t="shared" ca="1" si="121"/>
        <v>Sep-25</v>
      </c>
      <c r="BU36" s="10" t="str">
        <f t="shared" ca="1" si="121"/>
        <v>Oct-25</v>
      </c>
      <c r="BV36" s="10" t="str">
        <f t="shared" ca="1" si="121"/>
        <v>Nov-25</v>
      </c>
      <c r="BW36" s="10" t="str">
        <f t="shared" ca="1" si="121"/>
        <v>Dec-25</v>
      </c>
      <c r="BX36" s="10" t="str">
        <f t="shared" ca="1" si="121"/>
        <v>Jan-26</v>
      </c>
      <c r="BY36" s="10" t="str">
        <f t="shared" ca="1" si="121"/>
        <v>Feb-26</v>
      </c>
      <c r="BZ36" s="10" t="str">
        <f t="shared" ca="1" si="121"/>
        <v>Mar-26</v>
      </c>
      <c r="CA36" s="10" t="str">
        <f t="shared" ca="1" si="121"/>
        <v>Apr-26</v>
      </c>
      <c r="CB36" s="10" t="str">
        <f t="shared" ca="1" si="121"/>
        <v>May-26</v>
      </c>
      <c r="CC36" s="10" t="str">
        <f t="shared" ca="1" si="121"/>
        <v>Jun-26</v>
      </c>
      <c r="CD36" s="10" t="str">
        <f t="shared" ca="1" si="121"/>
        <v>Jul-26</v>
      </c>
      <c r="CE36" s="10" t="str">
        <f t="shared" ca="1" si="121"/>
        <v>Aug-26</v>
      </c>
      <c r="CF36" s="10" t="str">
        <f t="shared" ca="1" si="121"/>
        <v>Sep-26</v>
      </c>
      <c r="CG36" s="10" t="str">
        <f t="shared" ca="1" si="121"/>
        <v>Oct-26</v>
      </c>
      <c r="CH36" s="10" t="str">
        <f t="shared" ca="1" si="121"/>
        <v>Nov-26</v>
      </c>
      <c r="CI36" s="10" t="str">
        <f t="shared" ca="1" si="121"/>
        <v>Dec-26</v>
      </c>
      <c r="CJ36" s="10" t="str">
        <f t="shared" ca="1" si="121"/>
        <v>Jan-27</v>
      </c>
      <c r="CK36" s="10" t="str">
        <f t="shared" ca="1" si="121"/>
        <v>Feb-27</v>
      </c>
      <c r="CL36" s="10" t="str">
        <f t="shared" ca="1" si="121"/>
        <v>Mar-27</v>
      </c>
      <c r="CM36" s="10" t="str">
        <f t="shared" ca="1" si="121"/>
        <v>Apr-27</v>
      </c>
      <c r="CN36" s="10" t="str">
        <f t="shared" ca="1" si="121"/>
        <v>May-27</v>
      </c>
      <c r="CO36" s="10" t="str">
        <f t="shared" ca="1" si="121"/>
        <v>Jun-27</v>
      </c>
      <c r="CP36" s="10" t="str">
        <f t="shared" ca="1" si="121"/>
        <v>Jul-27</v>
      </c>
      <c r="CQ36" s="10" t="str">
        <f t="shared" ca="1" si="121"/>
        <v>Aug-27</v>
      </c>
      <c r="CR36" s="10" t="str">
        <f t="shared" ca="1" si="121"/>
        <v>Sep-27</v>
      </c>
      <c r="CS36" s="10" t="str">
        <f t="shared" ca="1" si="121"/>
        <v>Oct-27</v>
      </c>
      <c r="CT36" s="10" t="str">
        <f t="shared" ca="1" si="121"/>
        <v>Nov-27</v>
      </c>
      <c r="CU36" s="10" t="str">
        <f t="shared" ca="1" si="121"/>
        <v>Dec-27</v>
      </c>
      <c r="CV36" s="10" t="str">
        <f t="shared" ca="1" si="121"/>
        <v>Jan-28</v>
      </c>
      <c r="CW36" s="10" t="str">
        <f t="shared" ca="1" si="121"/>
        <v>Feb-28</v>
      </c>
      <c r="CX36" s="10" t="str">
        <f t="shared" ca="1" si="121"/>
        <v>Mar-28</v>
      </c>
      <c r="CY36" s="10" t="str">
        <f t="shared" ca="1" si="121"/>
        <v>Apr-28</v>
      </c>
      <c r="CZ36" s="10" t="str">
        <f t="shared" ca="1" si="121"/>
        <v>May-28</v>
      </c>
      <c r="DA36" s="10" t="str">
        <f t="shared" ca="1" si="121"/>
        <v>Jun-28</v>
      </c>
      <c r="DB36" s="10" t="str">
        <f t="shared" ca="1" si="121"/>
        <v>Jul-28</v>
      </c>
      <c r="DC36" s="10" t="str">
        <f t="shared" ca="1" si="121"/>
        <v>Aug-28</v>
      </c>
      <c r="DD36" s="10" t="str">
        <f t="shared" ca="1" si="121"/>
        <v>Sep-28</v>
      </c>
      <c r="DE36" s="10" t="str">
        <f t="shared" ca="1" si="121"/>
        <v>Oct-28</v>
      </c>
      <c r="DF36" s="10" t="str">
        <f t="shared" ca="1" si="121"/>
        <v>Nov-28</v>
      </c>
      <c r="DG36" s="10" t="str">
        <f t="shared" ca="1" si="121"/>
        <v>Dec-28</v>
      </c>
      <c r="DH36" s="10" t="str">
        <f t="shared" ca="1" si="121"/>
        <v>Jan-29</v>
      </c>
      <c r="DI36" s="10" t="str">
        <f t="shared" ca="1" si="121"/>
        <v>Feb-29</v>
      </c>
      <c r="DJ36" s="10" t="str">
        <f t="shared" ca="1" si="121"/>
        <v>Mar-29</v>
      </c>
      <c r="DK36" s="10" t="str">
        <f t="shared" ca="1" si="121"/>
        <v>Apr-29</v>
      </c>
      <c r="DL36" s="10" t="str">
        <f t="shared" ca="1" si="121"/>
        <v>May-29</v>
      </c>
      <c r="DM36" s="10" t="str">
        <f t="shared" ca="1" si="121"/>
        <v>Jun-29</v>
      </c>
      <c r="DN36" s="10" t="str">
        <f t="shared" ca="1" si="121"/>
        <v>Jul-29</v>
      </c>
      <c r="DO36" s="10" t="str">
        <f t="shared" ca="1" si="121"/>
        <v>Aug-29</v>
      </c>
      <c r="DP36" s="10" t="str">
        <f t="shared" ca="1" si="121"/>
        <v>Sep-29</v>
      </c>
      <c r="DQ36" s="10" t="str">
        <f t="shared" ca="1" si="121"/>
        <v>Oct-29</v>
      </c>
      <c r="DR36" s="10" t="str">
        <f t="shared" ca="1" si="121"/>
        <v>Nov-29</v>
      </c>
      <c r="DS36" s="10" t="str">
        <f t="shared" ca="1" si="121"/>
        <v>Dec-29</v>
      </c>
      <c r="DT36" s="10" t="str">
        <f t="shared" ca="1" si="121"/>
        <v>Jan-30</v>
      </c>
      <c r="DU36" s="10" t="str">
        <f t="shared" ca="1" si="121"/>
        <v>Feb-30</v>
      </c>
      <c r="DV36" s="10" t="str">
        <f t="shared" ca="1" si="121"/>
        <v>Mar-30</v>
      </c>
      <c r="DW36" s="10" t="str">
        <f t="shared" ca="1" si="121"/>
        <v>Apr-30</v>
      </c>
      <c r="DX36" s="10" t="str">
        <f t="shared" ca="1" si="121"/>
        <v>May-30</v>
      </c>
      <c r="DY36" s="10" t="str">
        <f t="shared" ca="1" si="121"/>
        <v>Jun-30</v>
      </c>
      <c r="DZ36" s="10" t="str">
        <f t="shared" ca="1" si="121"/>
        <v>Jul-30</v>
      </c>
      <c r="EA36" s="10" t="str">
        <f t="shared" ca="1" si="121"/>
        <v>Aug-30</v>
      </c>
      <c r="EB36" s="10" t="str">
        <f t="shared" ca="1" si="121"/>
        <v>Sep-30</v>
      </c>
      <c r="EC36" s="10" t="str">
        <f t="shared" ref="EC36:EE36" ca="1" si="122">TEXT(EC1, "Mmm-YY")</f>
        <v>Oct-30</v>
      </c>
      <c r="ED36" s="10" t="str">
        <f t="shared" ca="1" si="122"/>
        <v>Nov-30</v>
      </c>
      <c r="EE36" s="10" t="str">
        <f t="shared" ca="1" si="122"/>
        <v>Dec-30</v>
      </c>
    </row>
    <row r="37" spans="2:135" x14ac:dyDescent="0.4">
      <c r="B37" s="8" t="s">
        <v>81</v>
      </c>
      <c r="C37" s="36" t="s">
        <v>28</v>
      </c>
      <c r="D37" s="12">
        <f ca="1">(IFERROR(INDEX(Raw!$C$1:$EE$33,MATCH($C37,Raw!$C$1:$C$33,0),MATCH(D$36,Raw!$C$1:$EE$1,0)),"-"))</f>
        <v>0.45432669505472378</v>
      </c>
      <c r="E37" s="12">
        <f ca="1">(IFERROR(INDEX(Raw!$C$1:$EE$33,MATCH($C37,Raw!$C$1:$C$33,0),MATCH(E$36,Raw!$C$1:$EE$1,0)),"-"))</f>
        <v>0.77478422847105832</v>
      </c>
      <c r="F37" s="12">
        <f ca="1">(IFERROR(INDEX(Raw!$C$1:$EE$33,MATCH($C37,Raw!$C$1:$C$33,0),MATCH(F$36,Raw!$C$1:$EE$1,0)),"-"))</f>
        <v>0.9810503773574405</v>
      </c>
      <c r="G37" s="12">
        <f ca="1">(IFERROR(INDEX(Raw!$C$1:$EE$33,MATCH($C37,Raw!$C$1:$C$33,0),MATCH(G$36,Raw!$C$1:$EE$1,0)),"-"))</f>
        <v>0.22909456961590968</v>
      </c>
      <c r="H37" s="12">
        <f ca="1">(IFERROR(INDEX(Raw!$C$1:$EE$33,MATCH($C37,Raw!$C$1:$C$33,0),MATCH(H$36,Raw!$C$1:$EE$1,0)),"-"))</f>
        <v>0.58598511179741375</v>
      </c>
      <c r="I37" s="12">
        <f ca="1">(IFERROR(INDEX(Raw!$C$1:$EE$33,MATCH($C37,Raw!$C$1:$C$33,0),MATCH(I$36,Raw!$C$1:$EE$1,0)),"-"))</f>
        <v>4.7664701587642577E-2</v>
      </c>
      <c r="J37" s="12">
        <f ca="1">(IFERROR(INDEX(Raw!$C$1:$EE$33,MATCH($C37,Raw!$C$1:$C$33,0),MATCH(J$36,Raw!$C$1:$EE$1,0)),"-"))</f>
        <v>0.32108978948166034</v>
      </c>
      <c r="K37" s="12">
        <f ca="1">(IFERROR(INDEX(Raw!$C$1:$EE$33,MATCH($C37,Raw!$C$1:$C$33,0),MATCH(K$36,Raw!$C$1:$EE$1,0)),"-"))</f>
        <v>0.62709148181114516</v>
      </c>
      <c r="L37" s="12">
        <f ca="1">(IFERROR(INDEX(Raw!$C$1:$EE$33,MATCH($C37,Raw!$C$1:$C$33,0),MATCH(L$36,Raw!$C$1:$EE$1,0)),"-"))</f>
        <v>0.60745707460436704</v>
      </c>
      <c r="M37" s="12">
        <f ca="1">(IFERROR(INDEX(Raw!$C$1:$EE$33,MATCH($C37,Raw!$C$1:$C$33,0),MATCH(M$36,Raw!$C$1:$EE$1,0)),"-"))</f>
        <v>0.54142976386836206</v>
      </c>
      <c r="N37" s="12">
        <f ca="1">(IFERROR(INDEX(Raw!$C$1:$EE$33,MATCH($C37,Raw!$C$1:$C$33,0),MATCH(N$36,Raw!$C$1:$EE$1,0)),"-"))</f>
        <v>0.7702791910940987</v>
      </c>
      <c r="O37" s="12">
        <f ca="1">(IFERROR(INDEX(Raw!$C$1:$EE$33,MATCH($C37,Raw!$C$1:$C$33,0),MATCH(O$36,Raw!$C$1:$EE$1,0)),"-"))</f>
        <v>8.5123976567346271E-2</v>
      </c>
      <c r="P37" s="12">
        <f ca="1">(IFERROR(INDEX(Raw!$C$1:$EE$33,MATCH($C37,Raw!$C$1:$C$33,0),MATCH(P$36,Raw!$C$1:$EE$1,0)),"-"))</f>
        <v>0.82520318483480593</v>
      </c>
      <c r="Q37" s="12">
        <f ca="1">(IFERROR(INDEX(Raw!$C$1:$EE$33,MATCH($C37,Raw!$C$1:$C$33,0),MATCH(Q$36,Raw!$C$1:$EE$1,0)),"-"))</f>
        <v>0.63724537332298437</v>
      </c>
      <c r="R37" s="12">
        <f ca="1">(IFERROR(INDEX(Raw!$C$1:$EE$33,MATCH($C37,Raw!$C$1:$C$33,0),MATCH(R$36,Raw!$C$1:$EE$1,0)),"-"))</f>
        <v>0.10002762966497947</v>
      </c>
      <c r="S37" s="12">
        <f ca="1">(IFERROR(INDEX(Raw!$C$1:$EE$33,MATCH($C37,Raw!$C$1:$C$33,0),MATCH(S$36,Raw!$C$1:$EE$1,0)),"-"))</f>
        <v>0.89546528141623671</v>
      </c>
      <c r="T37" s="12">
        <f ca="1">(IFERROR(INDEX(Raw!$C$1:$EE$33,MATCH($C37,Raw!$C$1:$C$33,0),MATCH(T$36,Raw!$C$1:$EE$1,0)),"-"))</f>
        <v>0.15305441452287905</v>
      </c>
      <c r="U37" s="12">
        <f ca="1">(IFERROR(INDEX(Raw!$C$1:$EE$33,MATCH($C37,Raw!$C$1:$C$33,0),MATCH(U$36,Raw!$C$1:$EE$1,0)),"-"))</f>
        <v>0.34449976155250595</v>
      </c>
      <c r="V37" s="12">
        <f ca="1">(IFERROR(INDEX(Raw!$C$1:$EE$33,MATCH($C37,Raw!$C$1:$C$33,0),MATCH(V$36,Raw!$C$1:$EE$1,0)),"-"))</f>
        <v>2.0147477130656455E-2</v>
      </c>
      <c r="W37" s="12">
        <f ca="1">(IFERROR(INDEX(Raw!$C$1:$EE$33,MATCH($C37,Raw!$C$1:$C$33,0),MATCH(W$36,Raw!$C$1:$EE$1,0)),"-"))</f>
        <v>0.24497793989829564</v>
      </c>
      <c r="X37" s="12">
        <f ca="1">(IFERROR(INDEX(Raw!$C$1:$EE$33,MATCH($C37,Raw!$C$1:$C$33,0),MATCH(X$36,Raw!$C$1:$EE$1,0)),"-"))</f>
        <v>8.7653508073254116E-2</v>
      </c>
      <c r="Y37" s="12">
        <f ca="1">(IFERROR(INDEX(Raw!$C$1:$EE$33,MATCH($C37,Raw!$C$1:$C$33,0),MATCH(Y$36,Raw!$C$1:$EE$1,0)),"-"))</f>
        <v>0.91150598590449539</v>
      </c>
      <c r="Z37" s="12">
        <f ca="1">(IFERROR(INDEX(Raw!$C$1:$EE$33,MATCH($C37,Raw!$C$1:$C$33,0),MATCH(Z$36,Raw!$C$1:$EE$1,0)),"-"))</f>
        <v>0.82564089435301835</v>
      </c>
      <c r="AA37" s="12">
        <f ca="1">(IFERROR(INDEX(Raw!$C$1:$EE$33,MATCH($C37,Raw!$C$1:$C$33,0),MATCH(AA$36,Raw!$C$1:$EE$1,0)),"-"))</f>
        <v>8.1609090101872894E-2</v>
      </c>
      <c r="AB37" s="12">
        <f ca="1">(IFERROR(INDEX(Raw!$C$1:$EE$33,MATCH($C37,Raw!$C$1:$C$33,0),MATCH(AB$36,Raw!$C$1:$EE$1,0)),"-"))</f>
        <v>0.12694245794753334</v>
      </c>
      <c r="AC37" s="12">
        <f ca="1">(IFERROR(INDEX(Raw!$C$1:$EE$33,MATCH($C37,Raw!$C$1:$C$33,0),MATCH(AC$36,Raw!$C$1:$EE$1,0)),"-"))</f>
        <v>0.66304860877293392</v>
      </c>
      <c r="AD37" s="12">
        <f ca="1">(IFERROR(INDEX(Raw!$C$1:$EE$33,MATCH($C37,Raw!$C$1:$C$33,0),MATCH(AD$36,Raw!$C$1:$EE$1,0)),"-"))</f>
        <v>0.96325723975760513</v>
      </c>
      <c r="AE37" s="12">
        <f ca="1">(IFERROR(INDEX(Raw!$C$1:$EE$33,MATCH($C37,Raw!$C$1:$C$33,0),MATCH(AE$36,Raw!$C$1:$EE$1,0)),"-"))</f>
        <v>0.70501325029189021</v>
      </c>
      <c r="AF37" s="12">
        <f ca="1">(IFERROR(INDEX(Raw!$C$1:$EE$33,MATCH($C37,Raw!$C$1:$C$33,0),MATCH(AF$36,Raw!$C$1:$EE$1,0)),"-"))</f>
        <v>0.77423413646433192</v>
      </c>
      <c r="AG37" s="12">
        <f ca="1">(IFERROR(INDEX(Raw!$C$1:$EE$33,MATCH($C37,Raw!$C$1:$C$33,0),MATCH(AG$36,Raw!$C$1:$EE$1,0)),"-"))</f>
        <v>0.58940804172689498</v>
      </c>
      <c r="AH37" s="12">
        <f ca="1">(IFERROR(INDEX(Raw!$C$1:$EE$33,MATCH($C37,Raw!$C$1:$C$33,0),MATCH(AH$36,Raw!$C$1:$EE$1,0)),"-"))</f>
        <v>0.23797091841883422</v>
      </c>
      <c r="AI37" s="12">
        <f ca="1">(IFERROR(INDEX(Raw!$C$1:$EE$33,MATCH($C37,Raw!$C$1:$C$33,0),MATCH(AI$36,Raw!$C$1:$EE$1,0)),"-"))</f>
        <v>0.5054032715673048</v>
      </c>
      <c r="AJ37" s="12">
        <f ca="1">(IFERROR(INDEX(Raw!$C$1:$EE$33,MATCH($C37,Raw!$C$1:$C$33,0),MATCH(AJ$36,Raw!$C$1:$EE$1,0)),"-"))</f>
        <v>0.92473131363533312</v>
      </c>
      <c r="AK37" s="12">
        <f ca="1">(IFERROR(INDEX(Raw!$C$1:$EE$33,MATCH($C37,Raw!$C$1:$C$33,0),MATCH(AK$36,Raw!$C$1:$EE$1,0)),"-"))</f>
        <v>0.47603155718655765</v>
      </c>
      <c r="AL37" s="12">
        <f ca="1">(IFERROR(INDEX(Raw!$C$1:$EE$33,MATCH($C37,Raw!$C$1:$C$33,0),MATCH(AL$36,Raw!$C$1:$EE$1,0)),"-"))</f>
        <v>9.3742627173325266E-2</v>
      </c>
      <c r="AM37" s="12">
        <f ca="1">(IFERROR(INDEX(Raw!$C$1:$EE$33,MATCH($C37,Raw!$C$1:$C$33,0),MATCH(AM$36,Raw!$C$1:$EE$1,0)),"-"))</f>
        <v>4.3114004014346952E-2</v>
      </c>
      <c r="AN37" s="12">
        <f ca="1">(IFERROR(INDEX(Raw!$C$1:$EE$33,MATCH($C37,Raw!$C$1:$C$33,0),MATCH(AN$36,Raw!$C$1:$EE$1,0)),"-"))</f>
        <v>0.49830262396019087</v>
      </c>
      <c r="AO37" s="12">
        <f ca="1">(IFERROR(INDEX(Raw!$C$1:$EE$33,MATCH($C37,Raw!$C$1:$C$33,0),MATCH(AO$36,Raw!$C$1:$EE$1,0)),"-"))</f>
        <v>0.72434867072150677</v>
      </c>
      <c r="AP37" s="12">
        <f ca="1">(IFERROR(INDEX(Raw!$C$1:$EE$33,MATCH($C37,Raw!$C$1:$C$33,0),MATCH(AP$36,Raw!$C$1:$EE$1,0)),"-"))</f>
        <v>4.3114685293138999E-2</v>
      </c>
      <c r="AQ37" s="12">
        <f ca="1">(IFERROR(INDEX(Raw!$C$1:$EE$33,MATCH($C37,Raw!$C$1:$C$33,0),MATCH(AQ$36,Raw!$C$1:$EE$1,0)),"-"))</f>
        <v>0.95813433671475445</v>
      </c>
      <c r="AR37" s="12">
        <f ca="1">(IFERROR(INDEX(Raw!$C$1:$EE$33,MATCH($C37,Raw!$C$1:$C$33,0),MATCH(AR$36,Raw!$C$1:$EE$1,0)),"-"))</f>
        <v>0.45886439918407407</v>
      </c>
      <c r="AS37" s="12">
        <f ca="1">(IFERROR(INDEX(Raw!$C$1:$EE$33,MATCH($C37,Raw!$C$1:$C$33,0),MATCH(AS$36,Raw!$C$1:$EE$1,0)),"-"))</f>
        <v>0.11067450053399353</v>
      </c>
      <c r="AT37" s="12">
        <f ca="1">(IFERROR(INDEX(Raw!$C$1:$EE$33,MATCH($C37,Raw!$C$1:$C$33,0),MATCH(AT$36,Raw!$C$1:$EE$1,0)),"-"))</f>
        <v>0.40485562397132313</v>
      </c>
      <c r="AU37" s="12">
        <f ca="1">(IFERROR(INDEX(Raw!$C$1:$EE$33,MATCH($C37,Raw!$C$1:$C$33,0),MATCH(AU$36,Raw!$C$1:$EE$1,0)),"-"))</f>
        <v>0.71235502079819046</v>
      </c>
      <c r="AV37" s="12">
        <f ca="1">(IFERROR(INDEX(Raw!$C$1:$EE$33,MATCH($C37,Raw!$C$1:$C$33,0),MATCH(AV$36,Raw!$C$1:$EE$1,0)),"-"))</f>
        <v>0.29029895827055918</v>
      </c>
      <c r="AW37" s="12">
        <f ca="1">(IFERROR(INDEX(Raw!$C$1:$EE$33,MATCH($C37,Raw!$C$1:$C$33,0),MATCH(AW$36,Raw!$C$1:$EE$1,0)),"-"))</f>
        <v>0.26353232495323886</v>
      </c>
      <c r="AX37" s="12">
        <f ca="1">(IFERROR(INDEX(Raw!$C$1:$EE$33,MATCH($C37,Raw!$C$1:$C$33,0),MATCH(AX$36,Raw!$C$1:$EE$1,0)),"-"))</f>
        <v>0.65380445376841434</v>
      </c>
      <c r="AY37" s="12">
        <f ca="1">(IFERROR(INDEX(Raw!$C$1:$EE$33,MATCH($C37,Raw!$C$1:$C$33,0),MATCH(AY$36,Raw!$C$1:$EE$1,0)),"-"))</f>
        <v>0.21316025737866318</v>
      </c>
      <c r="AZ37" s="12">
        <f ca="1">(IFERROR(INDEX(Raw!$C$1:$EE$33,MATCH($C37,Raw!$C$1:$C$33,0),MATCH(AZ$36,Raw!$C$1:$EE$1,0)),"-"))</f>
        <v>0.5419292561415755</v>
      </c>
      <c r="BA37" s="12">
        <f ca="1">(IFERROR(INDEX(Raw!$C$1:$EE$33,MATCH($C37,Raw!$C$1:$C$33,0),MATCH(BA$36,Raw!$C$1:$EE$1,0)),"-"))</f>
        <v>0.99851399710003841</v>
      </c>
      <c r="BB37" s="12">
        <f ca="1">(IFERROR(INDEX(Raw!$C$1:$EE$33,MATCH($C37,Raw!$C$1:$C$33,0),MATCH(BB$36,Raw!$C$1:$EE$1,0)),"-"))</f>
        <v>0.51258581691214977</v>
      </c>
      <c r="BC37" s="12">
        <f ca="1">(IFERROR(INDEX(Raw!$C$1:$EE$33,MATCH($C37,Raw!$C$1:$C$33,0),MATCH(BC$36,Raw!$C$1:$EE$1,0)),"-"))</f>
        <v>0.32451574013096007</v>
      </c>
      <c r="BD37" s="12">
        <f ca="1">(IFERROR(INDEX(Raw!$C$1:$EE$33,MATCH($C37,Raw!$C$1:$C$33,0),MATCH(BD$36,Raw!$C$1:$EE$1,0)),"-"))</f>
        <v>0.80058188246163664</v>
      </c>
      <c r="BE37" s="12">
        <f ca="1">(IFERROR(INDEX(Raw!$C$1:$EE$33,MATCH($C37,Raw!$C$1:$C$33,0),MATCH(BE$36,Raw!$C$1:$EE$1,0)),"-"))</f>
        <v>0.19573812735509555</v>
      </c>
      <c r="BF37" s="12">
        <f ca="1">(IFERROR(INDEX(Raw!$C$1:$EE$33,MATCH($C37,Raw!$C$1:$C$33,0),MATCH(BF$36,Raw!$C$1:$EE$1,0)),"-"))</f>
        <v>0.99756532810171894</v>
      </c>
      <c r="BG37" s="12">
        <f ca="1">(IFERROR(INDEX(Raw!$C$1:$EE$33,MATCH($C37,Raw!$C$1:$C$33,0),MATCH(BG$36,Raw!$C$1:$EE$1,0)),"-"))</f>
        <v>0.52325751114889874</v>
      </c>
      <c r="BH37" s="12">
        <f ca="1">(IFERROR(INDEX(Raw!$C$1:$EE$33,MATCH($C37,Raw!$C$1:$C$33,0),MATCH(BH$36,Raw!$C$1:$EE$1,0)),"-"))</f>
        <v>0.24868728299008158</v>
      </c>
      <c r="BI37" s="12">
        <f ca="1">(IFERROR(INDEX(Raw!$C$1:$EE$33,MATCH($C37,Raw!$C$1:$C$33,0),MATCH(BI$36,Raw!$C$1:$EE$1,0)),"-"))</f>
        <v>0.72945414256776619</v>
      </c>
      <c r="BJ37" s="12">
        <f ca="1">(IFERROR(INDEX(Raw!$C$1:$EE$33,MATCH($C37,Raw!$C$1:$C$33,0),MATCH(BJ$36,Raw!$C$1:$EE$1,0)),"-"))</f>
        <v>0.43969633207371661</v>
      </c>
      <c r="BK37" s="12">
        <f ca="1">(IFERROR(INDEX(Raw!$C$1:$EE$33,MATCH($C37,Raw!$C$1:$C$33,0),MATCH(BK$36,Raw!$C$1:$EE$1,0)),"-"))</f>
        <v>0.43242940710275912</v>
      </c>
      <c r="BL37" s="12">
        <f ca="1">(IFERROR(INDEX(Raw!$C$1:$EE$33,MATCH($C37,Raw!$C$1:$C$33,0),MATCH(BL$36,Raw!$C$1:$EE$1,0)),"-"))</f>
        <v>0.46162435480538733</v>
      </c>
      <c r="BM37" s="12">
        <f ca="1">(IFERROR(INDEX(Raw!$C$1:$EE$33,MATCH($C37,Raw!$C$1:$C$33,0),MATCH(BM$36,Raw!$C$1:$EE$1,0)),"-"))</f>
        <v>3.2188707376029968E-2</v>
      </c>
      <c r="BN37" s="12">
        <f ca="1">(IFERROR(INDEX(Raw!$C$1:$EE$33,MATCH($C37,Raw!$C$1:$C$33,0),MATCH(BN$36,Raw!$C$1:$EE$1,0)),"-"))</f>
        <v>0.99773331834304402</v>
      </c>
      <c r="BO37" s="12">
        <f ca="1">(IFERROR(INDEX(Raw!$C$1:$EE$33,MATCH($C37,Raw!$C$1:$C$33,0),MATCH(BO$36,Raw!$C$1:$EE$1,0)),"-"))</f>
        <v>0.68256329738892119</v>
      </c>
      <c r="BP37" s="12">
        <f ca="1">(IFERROR(INDEX(Raw!$C$1:$EE$33,MATCH($C37,Raw!$C$1:$C$33,0),MATCH(BP$36,Raw!$C$1:$EE$1,0)),"-"))</f>
        <v>0.93141228044447544</v>
      </c>
      <c r="BQ37" s="12">
        <f ca="1">(IFERROR(INDEX(Raw!$C$1:$EE$33,MATCH($C37,Raw!$C$1:$C$33,0),MATCH(BQ$36,Raw!$C$1:$EE$1,0)),"-"))</f>
        <v>0.17442009623724153</v>
      </c>
      <c r="BR37" s="12">
        <f ca="1">(IFERROR(INDEX(Raw!$C$1:$EE$33,MATCH($C37,Raw!$C$1:$C$33,0),MATCH(BR$36,Raw!$C$1:$EE$1,0)),"-"))</f>
        <v>0.38433707748442059</v>
      </c>
      <c r="BS37" s="12">
        <f ca="1">(IFERROR(INDEX(Raw!$C$1:$EE$33,MATCH($C37,Raw!$C$1:$C$33,0),MATCH(BS$36,Raw!$C$1:$EE$1,0)),"-"))</f>
        <v>9.4778388354151977E-3</v>
      </c>
      <c r="BT37" s="12">
        <f ca="1">(IFERROR(INDEX(Raw!$C$1:$EE$33,MATCH($C37,Raw!$C$1:$C$33,0),MATCH(BT$36,Raw!$C$1:$EE$1,0)),"-"))</f>
        <v>0.34958315126078443</v>
      </c>
      <c r="BU37" s="12">
        <f ca="1">(IFERROR(INDEX(Raw!$C$1:$EE$33,MATCH($C37,Raw!$C$1:$C$33,0),MATCH(BU$36,Raw!$C$1:$EE$1,0)),"-"))</f>
        <v>0.84376370876741658</v>
      </c>
      <c r="BV37" s="12">
        <f ca="1">(IFERROR(INDEX(Raw!$C$1:$EE$33,MATCH($C37,Raw!$C$1:$C$33,0),MATCH(BV$36,Raw!$C$1:$EE$1,0)),"-"))</f>
        <v>0.9374377077521826</v>
      </c>
      <c r="BW37" s="12">
        <f ca="1">(IFERROR(INDEX(Raw!$C$1:$EE$33,MATCH($C37,Raw!$C$1:$C$33,0),MATCH(BW$36,Raw!$C$1:$EE$1,0)),"-"))</f>
        <v>0.68688400150006279</v>
      </c>
      <c r="BX37" s="12">
        <f ca="1">(IFERROR(INDEX(Raw!$C$1:$EE$33,MATCH($C37,Raw!$C$1:$C$33,0),MATCH(BX$36,Raw!$C$1:$EE$1,0)),"-"))</f>
        <v>0.25349349643628838</v>
      </c>
      <c r="BY37" s="12">
        <f ca="1">(IFERROR(INDEX(Raw!$C$1:$EE$33,MATCH($C37,Raw!$C$1:$C$33,0),MATCH(BY$36,Raw!$C$1:$EE$1,0)),"-"))</f>
        <v>0.77225271940800322</v>
      </c>
      <c r="BZ37" s="12">
        <f ca="1">(IFERROR(INDEX(Raw!$C$1:$EE$33,MATCH($C37,Raw!$C$1:$C$33,0),MATCH(BZ$36,Raw!$C$1:$EE$1,0)),"-"))</f>
        <v>0.38613583804745355</v>
      </c>
      <c r="CA37" s="12">
        <f ca="1">(IFERROR(INDEX(Raw!$C$1:$EE$33,MATCH($C37,Raw!$C$1:$C$33,0),MATCH(CA$36,Raw!$C$1:$EE$1,0)),"-"))</f>
        <v>0.28648591814405966</v>
      </c>
      <c r="CB37" s="12">
        <f ca="1">(IFERROR(INDEX(Raw!$C$1:$EE$33,MATCH($C37,Raw!$C$1:$C$33,0),MATCH(CB$36,Raw!$C$1:$EE$1,0)),"-"))</f>
        <v>0.4957489194130581</v>
      </c>
      <c r="CC37" s="12">
        <f ca="1">(IFERROR(INDEX(Raw!$C$1:$EE$33,MATCH($C37,Raw!$C$1:$C$33,0),MATCH(CC$36,Raw!$C$1:$EE$1,0)),"-"))</f>
        <v>0.95060762437270929</v>
      </c>
      <c r="CD37" s="12">
        <f ca="1">(IFERROR(INDEX(Raw!$C$1:$EE$33,MATCH($C37,Raw!$C$1:$C$33,0),MATCH(CD$36,Raw!$C$1:$EE$1,0)),"-"))</f>
        <v>0.8656705956118681</v>
      </c>
      <c r="CE37" s="12">
        <f ca="1">(IFERROR(INDEX(Raw!$C$1:$EE$33,MATCH($C37,Raw!$C$1:$C$33,0),MATCH(CE$36,Raw!$C$1:$EE$1,0)),"-"))</f>
        <v>0.58033034236185876</v>
      </c>
      <c r="CF37" s="12">
        <f ca="1">(IFERROR(INDEX(Raw!$C$1:$EE$33,MATCH($C37,Raw!$C$1:$C$33,0),MATCH(CF$36,Raw!$C$1:$EE$1,0)),"-"))</f>
        <v>7.0293925772013321E-2</v>
      </c>
      <c r="CG37" s="12">
        <f ca="1">(IFERROR(INDEX(Raw!$C$1:$EE$33,MATCH($C37,Raw!$C$1:$C$33,0),MATCH(CG$36,Raw!$C$1:$EE$1,0)),"-"))</f>
        <v>0.20945798370707513</v>
      </c>
      <c r="CH37" s="12">
        <f ca="1">(IFERROR(INDEX(Raw!$C$1:$EE$33,MATCH($C37,Raw!$C$1:$C$33,0),MATCH(CH$36,Raw!$C$1:$EE$1,0)),"-"))</f>
        <v>0.62402914947865074</v>
      </c>
      <c r="CI37" s="12">
        <f ca="1">(IFERROR(INDEX(Raw!$C$1:$EE$33,MATCH($C37,Raw!$C$1:$C$33,0),MATCH(CI$36,Raw!$C$1:$EE$1,0)),"-"))</f>
        <v>0.22087529473161016</v>
      </c>
      <c r="CJ37" s="12">
        <f ca="1">(IFERROR(INDEX(Raw!$C$1:$EE$33,MATCH($C37,Raw!$C$1:$C$33,0),MATCH(CJ$36,Raw!$C$1:$EE$1,0)),"-"))</f>
        <v>0.92695577136482754</v>
      </c>
      <c r="CK37" s="12">
        <f ca="1">(IFERROR(INDEX(Raw!$C$1:$EE$33,MATCH($C37,Raw!$C$1:$C$33,0),MATCH(CK$36,Raw!$C$1:$EE$1,0)),"-"))</f>
        <v>0.29760259781402709</v>
      </c>
      <c r="CL37" s="12">
        <f ca="1">(IFERROR(INDEX(Raw!$C$1:$EE$33,MATCH($C37,Raw!$C$1:$C$33,0),MATCH(CL$36,Raw!$C$1:$EE$1,0)),"-"))</f>
        <v>5.7136033371669392E-2</v>
      </c>
      <c r="CM37" s="12">
        <f ca="1">(IFERROR(INDEX(Raw!$C$1:$EE$33,MATCH($C37,Raw!$C$1:$C$33,0),MATCH(CM$36,Raw!$C$1:$EE$1,0)),"-"))</f>
        <v>0.94532613746608862</v>
      </c>
      <c r="CN37" s="12">
        <f ca="1">(IFERROR(INDEX(Raw!$C$1:$EE$33,MATCH($C37,Raw!$C$1:$C$33,0),MATCH(CN$36,Raw!$C$1:$EE$1,0)),"-"))</f>
        <v>0.55061860889925696</v>
      </c>
      <c r="CO37" s="12">
        <f ca="1">(IFERROR(INDEX(Raw!$C$1:$EE$33,MATCH($C37,Raw!$C$1:$C$33,0),MATCH(CO$36,Raw!$C$1:$EE$1,0)),"-"))</f>
        <v>0.18883503091516718</v>
      </c>
      <c r="CP37" s="12">
        <f ca="1">(IFERROR(INDEX(Raw!$C$1:$EE$33,MATCH($C37,Raw!$C$1:$C$33,0),MATCH(CP$36,Raw!$C$1:$EE$1,0)),"-"))</f>
        <v>0.98756399727174882</v>
      </c>
      <c r="CQ37" s="12">
        <f ca="1">(IFERROR(INDEX(Raw!$C$1:$EE$33,MATCH($C37,Raw!$C$1:$C$33,0),MATCH(CQ$36,Raw!$C$1:$EE$1,0)),"-"))</f>
        <v>0.9970375703323523</v>
      </c>
      <c r="CR37" s="12">
        <f ca="1">(IFERROR(INDEX(Raw!$C$1:$EE$33,MATCH($C37,Raw!$C$1:$C$33,0),MATCH(CR$36,Raw!$C$1:$EE$1,0)),"-"))</f>
        <v>0.7189992621376321</v>
      </c>
      <c r="CS37" s="12">
        <f ca="1">(IFERROR(INDEX(Raw!$C$1:$EE$33,MATCH($C37,Raw!$C$1:$C$33,0),MATCH(CS$36,Raw!$C$1:$EE$1,0)),"-"))</f>
        <v>0.63880258030743375</v>
      </c>
      <c r="CT37" s="12">
        <f ca="1">(IFERROR(INDEX(Raw!$C$1:$EE$33,MATCH($C37,Raw!$C$1:$C$33,0),MATCH(CT$36,Raw!$C$1:$EE$1,0)),"-"))</f>
        <v>0.12436666174440369</v>
      </c>
      <c r="CU37" s="12">
        <f ca="1">(IFERROR(INDEX(Raw!$C$1:$EE$33,MATCH($C37,Raw!$C$1:$C$33,0),MATCH(CU$36,Raw!$C$1:$EE$1,0)),"-"))</f>
        <v>0.84321524625646649</v>
      </c>
      <c r="CV37" s="12">
        <f ca="1">(IFERROR(INDEX(Raw!$C$1:$EE$33,MATCH($C37,Raw!$C$1:$C$33,0),MATCH(CV$36,Raw!$C$1:$EE$1,0)),"-"))</f>
        <v>0.85691751065341593</v>
      </c>
      <c r="CW37" s="12">
        <f ca="1">(IFERROR(INDEX(Raw!$C$1:$EE$33,MATCH($C37,Raw!$C$1:$C$33,0),MATCH(CW$36,Raw!$C$1:$EE$1,0)),"-"))</f>
        <v>0.64527347288161729</v>
      </c>
      <c r="CX37" s="12">
        <f ca="1">(IFERROR(INDEX(Raw!$C$1:$EE$33,MATCH($C37,Raw!$C$1:$C$33,0),MATCH(CX$36,Raw!$C$1:$EE$1,0)),"-"))</f>
        <v>0.61182411940377079</v>
      </c>
      <c r="CY37" s="12">
        <f ca="1">(IFERROR(INDEX(Raw!$C$1:$EE$33,MATCH($C37,Raw!$C$1:$C$33,0),MATCH(CY$36,Raw!$C$1:$EE$1,0)),"-"))</f>
        <v>3.3127913128722097E-3</v>
      </c>
      <c r="CZ37" s="12">
        <f ca="1">(IFERROR(INDEX(Raw!$C$1:$EE$33,MATCH($C37,Raw!$C$1:$C$33,0),MATCH(CZ$36,Raw!$C$1:$EE$1,0)),"-"))</f>
        <v>0.73181158680827163</v>
      </c>
      <c r="DA37" s="12">
        <f ca="1">(IFERROR(INDEX(Raw!$C$1:$EE$33,MATCH($C37,Raw!$C$1:$C$33,0),MATCH(DA$36,Raw!$C$1:$EE$1,0)),"-"))</f>
        <v>0.26257613737320484</v>
      </c>
      <c r="DB37" s="12">
        <f ca="1">(IFERROR(INDEX(Raw!$C$1:$EE$33,MATCH($C37,Raw!$C$1:$C$33,0),MATCH(DB$36,Raw!$C$1:$EE$1,0)),"-"))</f>
        <v>0.2452963032545189</v>
      </c>
      <c r="DC37" s="12">
        <f ca="1">(IFERROR(INDEX(Raw!$C$1:$EE$33,MATCH($C37,Raw!$C$1:$C$33,0),MATCH(DC$36,Raw!$C$1:$EE$1,0)),"-"))</f>
        <v>0.93082387873832551</v>
      </c>
      <c r="DD37" s="12">
        <f ca="1">(IFERROR(INDEX(Raw!$C$1:$EE$33,MATCH($C37,Raw!$C$1:$C$33,0),MATCH(DD$36,Raw!$C$1:$EE$1,0)),"-"))</f>
        <v>3.7933646026239609E-2</v>
      </c>
      <c r="DE37" s="12">
        <f ca="1">(IFERROR(INDEX(Raw!$C$1:$EE$33,MATCH($C37,Raw!$C$1:$C$33,0),MATCH(DE$36,Raw!$C$1:$EE$1,0)),"-"))</f>
        <v>0.86837674622841465</v>
      </c>
      <c r="DF37" s="12">
        <f ca="1">(IFERROR(INDEX(Raw!$C$1:$EE$33,MATCH($C37,Raw!$C$1:$C$33,0),MATCH(DF$36,Raw!$C$1:$EE$1,0)),"-"))</f>
        <v>0.81790414278588586</v>
      </c>
      <c r="DG37" s="12">
        <f ca="1">(IFERROR(INDEX(Raw!$C$1:$EE$33,MATCH($C37,Raw!$C$1:$C$33,0),MATCH(DG$36,Raw!$C$1:$EE$1,0)),"-"))</f>
        <v>7.666294676778429E-2</v>
      </c>
      <c r="DH37" s="12">
        <f ca="1">(IFERROR(INDEX(Raw!$C$1:$EE$33,MATCH($C37,Raw!$C$1:$C$33,0),MATCH(DH$36,Raw!$C$1:$EE$1,0)),"-"))</f>
        <v>0.43458459240841718</v>
      </c>
      <c r="DI37" s="12">
        <f ca="1">(IFERROR(INDEX(Raw!$C$1:$EE$33,MATCH($C37,Raw!$C$1:$C$33,0),MATCH(DI$36,Raw!$C$1:$EE$1,0)),"-"))</f>
        <v>4.1722888121580315E-3</v>
      </c>
      <c r="DJ37" s="12">
        <f ca="1">(IFERROR(INDEX(Raw!$C$1:$EE$33,MATCH($C37,Raw!$C$1:$C$33,0),MATCH(DJ$36,Raw!$C$1:$EE$1,0)),"-"))</f>
        <v>0.1977303428471241</v>
      </c>
      <c r="DK37" s="12">
        <f ca="1">(IFERROR(INDEX(Raw!$C$1:$EE$33,MATCH($C37,Raw!$C$1:$C$33,0),MATCH(DK$36,Raw!$C$1:$EE$1,0)),"-"))</f>
        <v>0.61264025514432385</v>
      </c>
      <c r="DL37" s="12">
        <f ca="1">(IFERROR(INDEX(Raw!$C$1:$EE$33,MATCH($C37,Raw!$C$1:$C$33,0),MATCH(DL$36,Raw!$C$1:$EE$1,0)),"-"))</f>
        <v>2.3998131044633109E-2</v>
      </c>
      <c r="DM37" s="12">
        <f ca="1">(IFERROR(INDEX(Raw!$C$1:$EE$33,MATCH($C37,Raw!$C$1:$C$33,0),MATCH(DM$36,Raw!$C$1:$EE$1,0)),"-"))</f>
        <v>0.88149671218683723</v>
      </c>
      <c r="DN37" s="12">
        <f ca="1">(IFERROR(INDEX(Raw!$C$1:$EE$33,MATCH($C37,Raw!$C$1:$C$33,0),MATCH(DN$36,Raw!$C$1:$EE$1,0)),"-"))</f>
        <v>0.64308850814359264</v>
      </c>
      <c r="DO37" s="12">
        <f ca="1">(IFERROR(INDEX(Raw!$C$1:$EE$33,MATCH($C37,Raw!$C$1:$C$33,0),MATCH(DO$36,Raw!$C$1:$EE$1,0)),"-"))</f>
        <v>0.279262581147801</v>
      </c>
      <c r="DP37" s="12">
        <f ca="1">(IFERROR(INDEX(Raw!$C$1:$EE$33,MATCH($C37,Raw!$C$1:$C$33,0),MATCH(DP$36,Raw!$C$1:$EE$1,0)),"-"))</f>
        <v>5.7518558610357151E-2</v>
      </c>
      <c r="DQ37" s="12">
        <f ca="1">(IFERROR(INDEX(Raw!$C$1:$EE$33,MATCH($C37,Raw!$C$1:$C$33,0),MATCH(DQ$36,Raw!$C$1:$EE$1,0)),"-"))</f>
        <v>0.41749307737325447</v>
      </c>
      <c r="DR37" s="12">
        <f ca="1">(IFERROR(INDEX(Raw!$C$1:$EE$33,MATCH($C37,Raw!$C$1:$C$33,0),MATCH(DR$36,Raw!$C$1:$EE$1,0)),"-"))</f>
        <v>0.99529586050222774</v>
      </c>
      <c r="DS37" s="12">
        <f ca="1">(IFERROR(INDEX(Raw!$C$1:$EE$33,MATCH($C37,Raw!$C$1:$C$33,0),MATCH(DS$36,Raw!$C$1:$EE$1,0)),"-"))</f>
        <v>0.57049068729582153</v>
      </c>
      <c r="DT37" s="12">
        <f ca="1">(IFERROR(INDEX(Raw!$C$1:$EE$33,MATCH($C37,Raw!$C$1:$C$33,0),MATCH(DT$36,Raw!$C$1:$EE$1,0)),"-"))</f>
        <v>0.32780757346738465</v>
      </c>
      <c r="DU37" s="12">
        <f ca="1">(IFERROR(INDEX(Raw!$C$1:$EE$33,MATCH($C37,Raw!$C$1:$C$33,0),MATCH(DU$36,Raw!$C$1:$EE$1,0)),"-"))</f>
        <v>0.45704306306119791</v>
      </c>
      <c r="DV37" s="12">
        <f ca="1">(IFERROR(INDEX(Raw!$C$1:$EE$33,MATCH($C37,Raw!$C$1:$C$33,0),MATCH(DV$36,Raw!$C$1:$EE$1,0)),"-"))</f>
        <v>0.89011258295517981</v>
      </c>
      <c r="DW37" s="12">
        <f ca="1">(IFERROR(INDEX(Raw!$C$1:$EE$33,MATCH($C37,Raw!$C$1:$C$33,0),MATCH(DW$36,Raw!$C$1:$EE$1,0)),"-"))</f>
        <v>0.34643963129230426</v>
      </c>
      <c r="DX37" s="12">
        <f ca="1">(IFERROR(INDEX(Raw!$C$1:$EE$33,MATCH($C37,Raw!$C$1:$C$33,0),MATCH(DX$36,Raw!$C$1:$EE$1,0)),"-"))</f>
        <v>0.49277735594004013</v>
      </c>
      <c r="DY37" s="12">
        <f ca="1">(IFERROR(INDEX(Raw!$C$1:$EE$33,MATCH($C37,Raw!$C$1:$C$33,0),MATCH(DY$36,Raw!$C$1:$EE$1,0)),"-"))</f>
        <v>0.36200465655514658</v>
      </c>
      <c r="DZ37" s="12">
        <f ca="1">(IFERROR(INDEX(Raw!$C$1:$EE$33,MATCH($C37,Raw!$C$1:$C$33,0),MATCH(DZ$36,Raw!$C$1:$EE$1,0)),"-"))</f>
        <v>0.9161990408004832</v>
      </c>
      <c r="EA37" s="12">
        <f ca="1">(IFERROR(INDEX(Raw!$C$1:$EE$33,MATCH($C37,Raw!$C$1:$C$33,0),MATCH(EA$36,Raw!$C$1:$EE$1,0)),"-"))</f>
        <v>0.3187398555698514</v>
      </c>
      <c r="EB37" s="12">
        <f ca="1">(IFERROR(INDEX(Raw!$C$1:$EE$33,MATCH($C37,Raw!$C$1:$C$33,0),MATCH(EB$36,Raw!$C$1:$EE$1,0)),"-"))</f>
        <v>0.81861488717108888</v>
      </c>
      <c r="EC37" s="12">
        <f ca="1">(IFERROR(INDEX(Raw!$C$1:$EE$33,MATCH($C37,Raw!$C$1:$C$33,0),MATCH(EC$36,Raw!$C$1:$EE$1,0)),"-"))</f>
        <v>0.70541807400126499</v>
      </c>
      <c r="ED37" s="12">
        <f ca="1">(IFERROR(INDEX(Raw!$C$1:$EE$33,MATCH($C37,Raw!$C$1:$C$33,0),MATCH(ED$36,Raw!$C$1:$EE$1,0)),"-"))</f>
        <v>0.94392371285847665</v>
      </c>
      <c r="EE37" s="12">
        <f ca="1">(IFERROR(INDEX(Raw!$C$1:$EE$33,MATCH($C37,Raw!$C$1:$C$33,0),MATCH(EE$36,Raw!$C$1:$EE$1,0)),"-"))</f>
        <v>0.61823875134047379</v>
      </c>
    </row>
    <row r="38" spans="2:135" x14ac:dyDescent="0.4">
      <c r="B38" s="8" t="s">
        <v>81</v>
      </c>
      <c r="C38" s="37" t="s">
        <v>28</v>
      </c>
      <c r="D38" s="12">
        <f ca="1">(IFERROR(INDEX(Raw!$C$1:$EE$33,MATCH($C38,Raw!$C$1:$C$33,0),MATCH(D$36,Raw!$C$1:$EE$1,0)),"-"))</f>
        <v>0.45432669505472378</v>
      </c>
      <c r="E38" s="12">
        <f ca="1">(IFERROR(INDEX(Raw!$C$1:$EE$33,MATCH($C38,Raw!$C$1:$C$33,0),MATCH(E$36,Raw!$C$1:$EE$1,0)),"-"))</f>
        <v>0.77478422847105832</v>
      </c>
      <c r="F38" s="12">
        <f ca="1">(IFERROR(INDEX(Raw!$C$1:$EE$33,MATCH($C38,Raw!$C$1:$C$33,0),MATCH(F$36,Raw!$C$1:$EE$1,0)),"-"))</f>
        <v>0.9810503773574405</v>
      </c>
      <c r="G38" s="12">
        <f ca="1">(IFERROR(INDEX(Raw!$C$1:$EE$33,MATCH($C38,Raw!$C$1:$C$33,0),MATCH(G$36,Raw!$C$1:$EE$1,0)),"-"))</f>
        <v>0.22909456961590968</v>
      </c>
      <c r="H38" s="12">
        <f ca="1">(IFERROR(INDEX(Raw!$C$1:$EE$33,MATCH($C38,Raw!$C$1:$C$33,0),MATCH(H$36,Raw!$C$1:$EE$1,0)),"-"))</f>
        <v>0.58598511179741375</v>
      </c>
      <c r="I38" s="12">
        <f ca="1">(IFERROR(INDEX(Raw!$C$1:$EE$33,MATCH($C38,Raw!$C$1:$C$33,0),MATCH(I$36,Raw!$C$1:$EE$1,0)),"-"))</f>
        <v>4.7664701587642577E-2</v>
      </c>
      <c r="J38" s="12">
        <f ca="1">(IFERROR(INDEX(Raw!$C$1:$EE$33,MATCH($C38,Raw!$C$1:$C$33,0),MATCH(J$36,Raw!$C$1:$EE$1,0)),"-"))</f>
        <v>0.32108978948166034</v>
      </c>
      <c r="K38" s="12">
        <f ca="1">(IFERROR(INDEX(Raw!$C$1:$EE$33,MATCH($C38,Raw!$C$1:$C$33,0),MATCH(K$36,Raw!$C$1:$EE$1,0)),"-"))</f>
        <v>0.62709148181114516</v>
      </c>
      <c r="L38" s="12">
        <f ca="1">(IFERROR(INDEX(Raw!$C$1:$EE$33,MATCH($C38,Raw!$C$1:$C$33,0),MATCH(L$36,Raw!$C$1:$EE$1,0)),"-"))</f>
        <v>0.60745707460436704</v>
      </c>
      <c r="M38" s="12">
        <f ca="1">(IFERROR(INDEX(Raw!$C$1:$EE$33,MATCH($C38,Raw!$C$1:$C$33,0),MATCH(M$36,Raw!$C$1:$EE$1,0)),"-"))</f>
        <v>0.54142976386836206</v>
      </c>
      <c r="N38" s="12">
        <f ca="1">(IFERROR(INDEX(Raw!$C$1:$EE$33,MATCH($C38,Raw!$C$1:$C$33,0),MATCH(N$36,Raw!$C$1:$EE$1,0)),"-"))</f>
        <v>0.7702791910940987</v>
      </c>
      <c r="O38" s="12">
        <f ca="1">(IFERROR(INDEX(Raw!$C$1:$EE$33,MATCH($C38,Raw!$C$1:$C$33,0),MATCH(O$36,Raw!$C$1:$EE$1,0)),"-"))</f>
        <v>8.5123976567346271E-2</v>
      </c>
      <c r="P38" s="12">
        <f ca="1">(IFERROR(INDEX(Raw!$C$1:$EE$33,MATCH($C38,Raw!$C$1:$C$33,0),MATCH(P$36,Raw!$C$1:$EE$1,0)),"-"))</f>
        <v>0.82520318483480593</v>
      </c>
      <c r="Q38" s="12">
        <f ca="1">(IFERROR(INDEX(Raw!$C$1:$EE$33,MATCH($C38,Raw!$C$1:$C$33,0),MATCH(Q$36,Raw!$C$1:$EE$1,0)),"-"))</f>
        <v>0.63724537332298437</v>
      </c>
      <c r="R38" s="12">
        <f ca="1">(IFERROR(INDEX(Raw!$C$1:$EE$33,MATCH($C38,Raw!$C$1:$C$33,0),MATCH(R$36,Raw!$C$1:$EE$1,0)),"-"))</f>
        <v>0.10002762966497947</v>
      </c>
      <c r="S38" s="12">
        <f ca="1">(IFERROR(INDEX(Raw!$C$1:$EE$33,MATCH($C38,Raw!$C$1:$C$33,0),MATCH(S$36,Raw!$C$1:$EE$1,0)),"-"))</f>
        <v>0.89546528141623671</v>
      </c>
      <c r="T38" s="12">
        <f ca="1">(IFERROR(INDEX(Raw!$C$1:$EE$33,MATCH($C38,Raw!$C$1:$C$33,0),MATCH(T$36,Raw!$C$1:$EE$1,0)),"-"))</f>
        <v>0.15305441452287905</v>
      </c>
      <c r="U38" s="12">
        <f ca="1">(IFERROR(INDEX(Raw!$C$1:$EE$33,MATCH($C38,Raw!$C$1:$C$33,0),MATCH(U$36,Raw!$C$1:$EE$1,0)),"-"))</f>
        <v>0.34449976155250595</v>
      </c>
      <c r="V38" s="12">
        <f ca="1">(IFERROR(INDEX(Raw!$C$1:$EE$33,MATCH($C38,Raw!$C$1:$C$33,0),MATCH(V$36,Raw!$C$1:$EE$1,0)),"-"))</f>
        <v>2.0147477130656455E-2</v>
      </c>
      <c r="W38" s="12">
        <f ca="1">(IFERROR(INDEX(Raw!$C$1:$EE$33,MATCH($C38,Raw!$C$1:$C$33,0),MATCH(W$36,Raw!$C$1:$EE$1,0)),"-"))</f>
        <v>0.24497793989829564</v>
      </c>
      <c r="X38" s="12">
        <f ca="1">(IFERROR(INDEX(Raw!$C$1:$EE$33,MATCH($C38,Raw!$C$1:$C$33,0),MATCH(X$36,Raw!$C$1:$EE$1,0)),"-"))</f>
        <v>8.7653508073254116E-2</v>
      </c>
      <c r="Y38" s="12">
        <f ca="1">(IFERROR(INDEX(Raw!$C$1:$EE$33,MATCH($C38,Raw!$C$1:$C$33,0),MATCH(Y$36,Raw!$C$1:$EE$1,0)),"-"))</f>
        <v>0.91150598590449539</v>
      </c>
      <c r="Z38" s="12">
        <f ca="1">(IFERROR(INDEX(Raw!$C$1:$EE$33,MATCH($C38,Raw!$C$1:$C$33,0),MATCH(Z$36,Raw!$C$1:$EE$1,0)),"-"))</f>
        <v>0.82564089435301835</v>
      </c>
      <c r="AA38" s="12">
        <f ca="1">(IFERROR(INDEX(Raw!$C$1:$EE$33,MATCH($C38,Raw!$C$1:$C$33,0),MATCH(AA$36,Raw!$C$1:$EE$1,0)),"-"))</f>
        <v>8.1609090101872894E-2</v>
      </c>
      <c r="AB38" s="12">
        <f ca="1">(IFERROR(INDEX(Raw!$C$1:$EE$33,MATCH($C38,Raw!$C$1:$C$33,0),MATCH(AB$36,Raw!$C$1:$EE$1,0)),"-"))</f>
        <v>0.12694245794753334</v>
      </c>
      <c r="AC38" s="12">
        <f ca="1">(IFERROR(INDEX(Raw!$C$1:$EE$33,MATCH($C38,Raw!$C$1:$C$33,0),MATCH(AC$36,Raw!$C$1:$EE$1,0)),"-"))</f>
        <v>0.66304860877293392</v>
      </c>
      <c r="AD38" s="12">
        <f ca="1">(IFERROR(INDEX(Raw!$C$1:$EE$33,MATCH($C38,Raw!$C$1:$C$33,0),MATCH(AD$36,Raw!$C$1:$EE$1,0)),"-"))</f>
        <v>0.96325723975760513</v>
      </c>
      <c r="AE38" s="12">
        <f ca="1">(IFERROR(INDEX(Raw!$C$1:$EE$33,MATCH($C38,Raw!$C$1:$C$33,0),MATCH(AE$36,Raw!$C$1:$EE$1,0)),"-"))</f>
        <v>0.70501325029189021</v>
      </c>
      <c r="AF38" s="12">
        <f ca="1">(IFERROR(INDEX(Raw!$C$1:$EE$33,MATCH($C38,Raw!$C$1:$C$33,0),MATCH(AF$36,Raw!$C$1:$EE$1,0)),"-"))</f>
        <v>0.77423413646433192</v>
      </c>
      <c r="AG38" s="12">
        <f ca="1">(IFERROR(INDEX(Raw!$C$1:$EE$33,MATCH($C38,Raw!$C$1:$C$33,0),MATCH(AG$36,Raw!$C$1:$EE$1,0)),"-"))</f>
        <v>0.58940804172689498</v>
      </c>
      <c r="AH38" s="12">
        <f ca="1">(IFERROR(INDEX(Raw!$C$1:$EE$33,MATCH($C38,Raw!$C$1:$C$33,0),MATCH(AH$36,Raw!$C$1:$EE$1,0)),"-"))</f>
        <v>0.23797091841883422</v>
      </c>
      <c r="AI38" s="12">
        <f ca="1">(IFERROR(INDEX(Raw!$C$1:$EE$33,MATCH($C38,Raw!$C$1:$C$33,0),MATCH(AI$36,Raw!$C$1:$EE$1,0)),"-"))</f>
        <v>0.5054032715673048</v>
      </c>
      <c r="AJ38" s="12">
        <f ca="1">(IFERROR(INDEX(Raw!$C$1:$EE$33,MATCH($C38,Raw!$C$1:$C$33,0),MATCH(AJ$36,Raw!$C$1:$EE$1,0)),"-"))</f>
        <v>0.92473131363533312</v>
      </c>
      <c r="AK38" s="12">
        <f ca="1">(IFERROR(INDEX(Raw!$C$1:$EE$33,MATCH($C38,Raw!$C$1:$C$33,0),MATCH(AK$36,Raw!$C$1:$EE$1,0)),"-"))</f>
        <v>0.47603155718655765</v>
      </c>
      <c r="AL38" s="12">
        <f ca="1">(IFERROR(INDEX(Raw!$C$1:$EE$33,MATCH($C38,Raw!$C$1:$C$33,0),MATCH(AL$36,Raw!$C$1:$EE$1,0)),"-"))</f>
        <v>9.3742627173325266E-2</v>
      </c>
      <c r="AM38" s="12">
        <f ca="1">(IFERROR(INDEX(Raw!$C$1:$EE$33,MATCH($C38,Raw!$C$1:$C$33,0),MATCH(AM$36,Raw!$C$1:$EE$1,0)),"-"))</f>
        <v>4.3114004014346952E-2</v>
      </c>
      <c r="AN38" s="12">
        <f ca="1">(IFERROR(INDEX(Raw!$C$1:$EE$33,MATCH($C38,Raw!$C$1:$C$33,0),MATCH(AN$36,Raw!$C$1:$EE$1,0)),"-"))</f>
        <v>0.49830262396019087</v>
      </c>
      <c r="AO38" s="12">
        <f ca="1">(IFERROR(INDEX(Raw!$C$1:$EE$33,MATCH($C38,Raw!$C$1:$C$33,0),MATCH(AO$36,Raw!$C$1:$EE$1,0)),"-"))</f>
        <v>0.72434867072150677</v>
      </c>
      <c r="AP38" s="12">
        <f ca="1">(IFERROR(INDEX(Raw!$C$1:$EE$33,MATCH($C38,Raw!$C$1:$C$33,0),MATCH(AP$36,Raw!$C$1:$EE$1,0)),"-"))</f>
        <v>4.3114685293138999E-2</v>
      </c>
      <c r="AQ38" s="12">
        <f ca="1">(IFERROR(INDEX(Raw!$C$1:$EE$33,MATCH($C38,Raw!$C$1:$C$33,0),MATCH(AQ$36,Raw!$C$1:$EE$1,0)),"-"))</f>
        <v>0.95813433671475445</v>
      </c>
      <c r="AR38" s="12">
        <f ca="1">(IFERROR(INDEX(Raw!$C$1:$EE$33,MATCH($C38,Raw!$C$1:$C$33,0),MATCH(AR$36,Raw!$C$1:$EE$1,0)),"-"))</f>
        <v>0.45886439918407407</v>
      </c>
      <c r="AS38" s="12">
        <f ca="1">(IFERROR(INDEX(Raw!$C$1:$EE$33,MATCH($C38,Raw!$C$1:$C$33,0),MATCH(AS$36,Raw!$C$1:$EE$1,0)),"-"))</f>
        <v>0.11067450053399353</v>
      </c>
      <c r="AT38" s="12">
        <f ca="1">(IFERROR(INDEX(Raw!$C$1:$EE$33,MATCH($C38,Raw!$C$1:$C$33,0),MATCH(AT$36,Raw!$C$1:$EE$1,0)),"-"))</f>
        <v>0.40485562397132313</v>
      </c>
      <c r="AU38" s="12">
        <f ca="1">(IFERROR(INDEX(Raw!$C$1:$EE$33,MATCH($C38,Raw!$C$1:$C$33,0),MATCH(AU$36,Raw!$C$1:$EE$1,0)),"-"))</f>
        <v>0.71235502079819046</v>
      </c>
      <c r="AV38" s="12">
        <f ca="1">(IFERROR(INDEX(Raw!$C$1:$EE$33,MATCH($C38,Raw!$C$1:$C$33,0),MATCH(AV$36,Raw!$C$1:$EE$1,0)),"-"))</f>
        <v>0.29029895827055918</v>
      </c>
      <c r="AW38" s="12">
        <f ca="1">(IFERROR(INDEX(Raw!$C$1:$EE$33,MATCH($C38,Raw!$C$1:$C$33,0),MATCH(AW$36,Raw!$C$1:$EE$1,0)),"-"))</f>
        <v>0.26353232495323886</v>
      </c>
      <c r="AX38" s="12">
        <f ca="1">(IFERROR(INDEX(Raw!$C$1:$EE$33,MATCH($C38,Raw!$C$1:$C$33,0),MATCH(AX$36,Raw!$C$1:$EE$1,0)),"-"))</f>
        <v>0.65380445376841434</v>
      </c>
      <c r="AY38" s="12">
        <f ca="1">(IFERROR(INDEX(Raw!$C$1:$EE$33,MATCH($C38,Raw!$C$1:$C$33,0),MATCH(AY$36,Raw!$C$1:$EE$1,0)),"-"))</f>
        <v>0.21316025737866318</v>
      </c>
      <c r="AZ38" s="12">
        <f ca="1">(IFERROR(INDEX(Raw!$C$1:$EE$33,MATCH($C38,Raw!$C$1:$C$33,0),MATCH(AZ$36,Raw!$C$1:$EE$1,0)),"-"))</f>
        <v>0.5419292561415755</v>
      </c>
      <c r="BA38" s="12">
        <f ca="1">(IFERROR(INDEX(Raw!$C$1:$EE$33,MATCH($C38,Raw!$C$1:$C$33,0),MATCH(BA$36,Raw!$C$1:$EE$1,0)),"-"))</f>
        <v>0.99851399710003841</v>
      </c>
      <c r="BB38" s="12">
        <f ca="1">(IFERROR(INDEX(Raw!$C$1:$EE$33,MATCH($C38,Raw!$C$1:$C$33,0),MATCH(BB$36,Raw!$C$1:$EE$1,0)),"-"))</f>
        <v>0.51258581691214977</v>
      </c>
      <c r="BC38" s="12">
        <f ca="1">(IFERROR(INDEX(Raw!$C$1:$EE$33,MATCH($C38,Raw!$C$1:$C$33,0),MATCH(BC$36,Raw!$C$1:$EE$1,0)),"-"))</f>
        <v>0.32451574013096007</v>
      </c>
      <c r="BD38" s="12">
        <f ca="1">(IFERROR(INDEX(Raw!$C$1:$EE$33,MATCH($C38,Raw!$C$1:$C$33,0),MATCH(BD$36,Raw!$C$1:$EE$1,0)),"-"))</f>
        <v>0.80058188246163664</v>
      </c>
      <c r="BE38" s="12">
        <f ca="1">(IFERROR(INDEX(Raw!$C$1:$EE$33,MATCH($C38,Raw!$C$1:$C$33,0),MATCH(BE$36,Raw!$C$1:$EE$1,0)),"-"))</f>
        <v>0.19573812735509555</v>
      </c>
      <c r="BF38" s="12">
        <f ca="1">(IFERROR(INDEX(Raw!$C$1:$EE$33,MATCH($C38,Raw!$C$1:$C$33,0),MATCH(BF$36,Raw!$C$1:$EE$1,0)),"-"))</f>
        <v>0.99756532810171894</v>
      </c>
      <c r="BG38" s="12">
        <f ca="1">(IFERROR(INDEX(Raw!$C$1:$EE$33,MATCH($C38,Raw!$C$1:$C$33,0),MATCH(BG$36,Raw!$C$1:$EE$1,0)),"-"))</f>
        <v>0.52325751114889874</v>
      </c>
      <c r="BH38" s="12">
        <f ca="1">(IFERROR(INDEX(Raw!$C$1:$EE$33,MATCH($C38,Raw!$C$1:$C$33,0),MATCH(BH$36,Raw!$C$1:$EE$1,0)),"-"))</f>
        <v>0.24868728299008158</v>
      </c>
      <c r="BI38" s="12">
        <f ca="1">(IFERROR(INDEX(Raw!$C$1:$EE$33,MATCH($C38,Raw!$C$1:$C$33,0),MATCH(BI$36,Raw!$C$1:$EE$1,0)),"-"))</f>
        <v>0.72945414256776619</v>
      </c>
      <c r="BJ38" s="12">
        <f ca="1">(IFERROR(INDEX(Raw!$C$1:$EE$33,MATCH($C38,Raw!$C$1:$C$33,0),MATCH(BJ$36,Raw!$C$1:$EE$1,0)),"-"))</f>
        <v>0.43969633207371661</v>
      </c>
      <c r="BK38" s="12">
        <f ca="1">(IFERROR(INDEX(Raw!$C$1:$EE$33,MATCH($C38,Raw!$C$1:$C$33,0),MATCH(BK$36,Raw!$C$1:$EE$1,0)),"-"))</f>
        <v>0.43242940710275912</v>
      </c>
      <c r="BL38" s="12">
        <f ca="1">(IFERROR(INDEX(Raw!$C$1:$EE$33,MATCH($C38,Raw!$C$1:$C$33,0),MATCH(BL$36,Raw!$C$1:$EE$1,0)),"-"))</f>
        <v>0.46162435480538733</v>
      </c>
      <c r="BM38" s="12">
        <f ca="1">(IFERROR(INDEX(Raw!$C$1:$EE$33,MATCH($C38,Raw!$C$1:$C$33,0),MATCH(BM$36,Raw!$C$1:$EE$1,0)),"-"))</f>
        <v>3.2188707376029968E-2</v>
      </c>
      <c r="BN38" s="12">
        <f ca="1">(IFERROR(INDEX(Raw!$C$1:$EE$33,MATCH($C38,Raw!$C$1:$C$33,0),MATCH(BN$36,Raw!$C$1:$EE$1,0)),"-"))</f>
        <v>0.99773331834304402</v>
      </c>
      <c r="BO38" s="12">
        <f ca="1">(IFERROR(INDEX(Raw!$C$1:$EE$33,MATCH($C38,Raw!$C$1:$C$33,0),MATCH(BO$36,Raw!$C$1:$EE$1,0)),"-"))</f>
        <v>0.68256329738892119</v>
      </c>
      <c r="BP38" s="12">
        <f ca="1">(IFERROR(INDEX(Raw!$C$1:$EE$33,MATCH($C38,Raw!$C$1:$C$33,0),MATCH(BP$36,Raw!$C$1:$EE$1,0)),"-"))</f>
        <v>0.93141228044447544</v>
      </c>
      <c r="BQ38" s="12">
        <f ca="1">(IFERROR(INDEX(Raw!$C$1:$EE$33,MATCH($C38,Raw!$C$1:$C$33,0),MATCH(BQ$36,Raw!$C$1:$EE$1,0)),"-"))</f>
        <v>0.17442009623724153</v>
      </c>
      <c r="BR38" s="12">
        <f ca="1">(IFERROR(INDEX(Raw!$C$1:$EE$33,MATCH($C38,Raw!$C$1:$C$33,0),MATCH(BR$36,Raw!$C$1:$EE$1,0)),"-"))</f>
        <v>0.38433707748442059</v>
      </c>
      <c r="BS38" s="12">
        <f ca="1">(IFERROR(INDEX(Raw!$C$1:$EE$33,MATCH($C38,Raw!$C$1:$C$33,0),MATCH(BS$36,Raw!$C$1:$EE$1,0)),"-"))</f>
        <v>9.4778388354151977E-3</v>
      </c>
      <c r="BT38" s="12">
        <f ca="1">(IFERROR(INDEX(Raw!$C$1:$EE$33,MATCH($C38,Raw!$C$1:$C$33,0),MATCH(BT$36,Raw!$C$1:$EE$1,0)),"-"))</f>
        <v>0.34958315126078443</v>
      </c>
      <c r="BU38" s="12">
        <f ca="1">(IFERROR(INDEX(Raw!$C$1:$EE$33,MATCH($C38,Raw!$C$1:$C$33,0),MATCH(BU$36,Raw!$C$1:$EE$1,0)),"-"))</f>
        <v>0.84376370876741658</v>
      </c>
      <c r="BV38" s="12">
        <f ca="1">(IFERROR(INDEX(Raw!$C$1:$EE$33,MATCH($C38,Raw!$C$1:$C$33,0),MATCH(BV$36,Raw!$C$1:$EE$1,0)),"-"))</f>
        <v>0.9374377077521826</v>
      </c>
      <c r="BW38" s="12">
        <f ca="1">(IFERROR(INDEX(Raw!$C$1:$EE$33,MATCH($C38,Raw!$C$1:$C$33,0),MATCH(BW$36,Raw!$C$1:$EE$1,0)),"-"))</f>
        <v>0.68688400150006279</v>
      </c>
      <c r="BX38" s="12">
        <f ca="1">(IFERROR(INDEX(Raw!$C$1:$EE$33,MATCH($C38,Raw!$C$1:$C$33,0),MATCH(BX$36,Raw!$C$1:$EE$1,0)),"-"))</f>
        <v>0.25349349643628838</v>
      </c>
      <c r="BY38" s="12">
        <f ca="1">(IFERROR(INDEX(Raw!$C$1:$EE$33,MATCH($C38,Raw!$C$1:$C$33,0),MATCH(BY$36,Raw!$C$1:$EE$1,0)),"-"))</f>
        <v>0.77225271940800322</v>
      </c>
      <c r="BZ38" s="12">
        <f ca="1">(IFERROR(INDEX(Raw!$C$1:$EE$33,MATCH($C38,Raw!$C$1:$C$33,0),MATCH(BZ$36,Raw!$C$1:$EE$1,0)),"-"))</f>
        <v>0.38613583804745355</v>
      </c>
      <c r="CA38" s="12">
        <f ca="1">(IFERROR(INDEX(Raw!$C$1:$EE$33,MATCH($C38,Raw!$C$1:$C$33,0),MATCH(CA$36,Raw!$C$1:$EE$1,0)),"-"))</f>
        <v>0.28648591814405966</v>
      </c>
      <c r="CB38" s="12">
        <f ca="1">(IFERROR(INDEX(Raw!$C$1:$EE$33,MATCH($C38,Raw!$C$1:$C$33,0),MATCH(CB$36,Raw!$C$1:$EE$1,0)),"-"))</f>
        <v>0.4957489194130581</v>
      </c>
      <c r="CC38" s="12">
        <f ca="1">(IFERROR(INDEX(Raw!$C$1:$EE$33,MATCH($C38,Raw!$C$1:$C$33,0),MATCH(CC$36,Raw!$C$1:$EE$1,0)),"-"))</f>
        <v>0.95060762437270929</v>
      </c>
      <c r="CD38" s="12">
        <f ca="1">(IFERROR(INDEX(Raw!$C$1:$EE$33,MATCH($C38,Raw!$C$1:$C$33,0),MATCH(CD$36,Raw!$C$1:$EE$1,0)),"-"))</f>
        <v>0.8656705956118681</v>
      </c>
      <c r="CE38" s="12">
        <f ca="1">(IFERROR(INDEX(Raw!$C$1:$EE$33,MATCH($C38,Raw!$C$1:$C$33,0),MATCH(CE$36,Raw!$C$1:$EE$1,0)),"-"))</f>
        <v>0.58033034236185876</v>
      </c>
      <c r="CF38" s="12">
        <f ca="1">(IFERROR(INDEX(Raw!$C$1:$EE$33,MATCH($C38,Raw!$C$1:$C$33,0),MATCH(CF$36,Raw!$C$1:$EE$1,0)),"-"))</f>
        <v>7.0293925772013321E-2</v>
      </c>
      <c r="CG38" s="12">
        <f ca="1">(IFERROR(INDEX(Raw!$C$1:$EE$33,MATCH($C38,Raw!$C$1:$C$33,0),MATCH(CG$36,Raw!$C$1:$EE$1,0)),"-"))</f>
        <v>0.20945798370707513</v>
      </c>
      <c r="CH38" s="12">
        <f ca="1">(IFERROR(INDEX(Raw!$C$1:$EE$33,MATCH($C38,Raw!$C$1:$C$33,0),MATCH(CH$36,Raw!$C$1:$EE$1,0)),"-"))</f>
        <v>0.62402914947865074</v>
      </c>
      <c r="CI38" s="12">
        <f ca="1">(IFERROR(INDEX(Raw!$C$1:$EE$33,MATCH($C38,Raw!$C$1:$C$33,0),MATCH(CI$36,Raw!$C$1:$EE$1,0)),"-"))</f>
        <v>0.22087529473161016</v>
      </c>
      <c r="CJ38" s="12">
        <f ca="1">(IFERROR(INDEX(Raw!$C$1:$EE$33,MATCH($C38,Raw!$C$1:$C$33,0),MATCH(CJ$36,Raw!$C$1:$EE$1,0)),"-"))</f>
        <v>0.92695577136482754</v>
      </c>
      <c r="CK38" s="12">
        <f ca="1">(IFERROR(INDEX(Raw!$C$1:$EE$33,MATCH($C38,Raw!$C$1:$C$33,0),MATCH(CK$36,Raw!$C$1:$EE$1,0)),"-"))</f>
        <v>0.29760259781402709</v>
      </c>
      <c r="CL38" s="12">
        <f ca="1">(IFERROR(INDEX(Raw!$C$1:$EE$33,MATCH($C38,Raw!$C$1:$C$33,0),MATCH(CL$36,Raw!$C$1:$EE$1,0)),"-"))</f>
        <v>5.7136033371669392E-2</v>
      </c>
      <c r="CM38" s="12">
        <f ca="1">(IFERROR(INDEX(Raw!$C$1:$EE$33,MATCH($C38,Raw!$C$1:$C$33,0),MATCH(CM$36,Raw!$C$1:$EE$1,0)),"-"))</f>
        <v>0.94532613746608862</v>
      </c>
      <c r="CN38" s="12">
        <f ca="1">(IFERROR(INDEX(Raw!$C$1:$EE$33,MATCH($C38,Raw!$C$1:$C$33,0),MATCH(CN$36,Raw!$C$1:$EE$1,0)),"-"))</f>
        <v>0.55061860889925696</v>
      </c>
      <c r="CO38" s="12">
        <f ca="1">(IFERROR(INDEX(Raw!$C$1:$EE$33,MATCH($C38,Raw!$C$1:$C$33,0),MATCH(CO$36,Raw!$C$1:$EE$1,0)),"-"))</f>
        <v>0.18883503091516718</v>
      </c>
      <c r="CP38" s="12">
        <f ca="1">(IFERROR(INDEX(Raw!$C$1:$EE$33,MATCH($C38,Raw!$C$1:$C$33,0),MATCH(CP$36,Raw!$C$1:$EE$1,0)),"-"))</f>
        <v>0.98756399727174882</v>
      </c>
      <c r="CQ38" s="12">
        <f ca="1">(IFERROR(INDEX(Raw!$C$1:$EE$33,MATCH($C38,Raw!$C$1:$C$33,0),MATCH(CQ$36,Raw!$C$1:$EE$1,0)),"-"))</f>
        <v>0.9970375703323523</v>
      </c>
      <c r="CR38" s="12">
        <f ca="1">(IFERROR(INDEX(Raw!$C$1:$EE$33,MATCH($C38,Raw!$C$1:$C$33,0),MATCH(CR$36,Raw!$C$1:$EE$1,0)),"-"))</f>
        <v>0.7189992621376321</v>
      </c>
      <c r="CS38" s="12">
        <f ca="1">(IFERROR(INDEX(Raw!$C$1:$EE$33,MATCH($C38,Raw!$C$1:$C$33,0),MATCH(CS$36,Raw!$C$1:$EE$1,0)),"-"))</f>
        <v>0.63880258030743375</v>
      </c>
      <c r="CT38" s="12">
        <f ca="1">(IFERROR(INDEX(Raw!$C$1:$EE$33,MATCH($C38,Raw!$C$1:$C$33,0),MATCH(CT$36,Raw!$C$1:$EE$1,0)),"-"))</f>
        <v>0.12436666174440369</v>
      </c>
      <c r="CU38" s="12">
        <f ca="1">(IFERROR(INDEX(Raw!$C$1:$EE$33,MATCH($C38,Raw!$C$1:$C$33,0),MATCH(CU$36,Raw!$C$1:$EE$1,0)),"-"))</f>
        <v>0.84321524625646649</v>
      </c>
      <c r="CV38" s="12">
        <f ca="1">(IFERROR(INDEX(Raw!$C$1:$EE$33,MATCH($C38,Raw!$C$1:$C$33,0),MATCH(CV$36,Raw!$C$1:$EE$1,0)),"-"))</f>
        <v>0.85691751065341593</v>
      </c>
      <c r="CW38" s="12">
        <f ca="1">(IFERROR(INDEX(Raw!$C$1:$EE$33,MATCH($C38,Raw!$C$1:$C$33,0),MATCH(CW$36,Raw!$C$1:$EE$1,0)),"-"))</f>
        <v>0.64527347288161729</v>
      </c>
      <c r="CX38" s="12">
        <f ca="1">(IFERROR(INDEX(Raw!$C$1:$EE$33,MATCH($C38,Raw!$C$1:$C$33,0),MATCH(CX$36,Raw!$C$1:$EE$1,0)),"-"))</f>
        <v>0.61182411940377079</v>
      </c>
      <c r="CY38" s="12">
        <f ca="1">(IFERROR(INDEX(Raw!$C$1:$EE$33,MATCH($C38,Raw!$C$1:$C$33,0),MATCH(CY$36,Raw!$C$1:$EE$1,0)),"-"))</f>
        <v>3.3127913128722097E-3</v>
      </c>
      <c r="CZ38" s="12">
        <f ca="1">(IFERROR(INDEX(Raw!$C$1:$EE$33,MATCH($C38,Raw!$C$1:$C$33,0),MATCH(CZ$36,Raw!$C$1:$EE$1,0)),"-"))</f>
        <v>0.73181158680827163</v>
      </c>
      <c r="DA38" s="12">
        <f ca="1">(IFERROR(INDEX(Raw!$C$1:$EE$33,MATCH($C38,Raw!$C$1:$C$33,0),MATCH(DA$36,Raw!$C$1:$EE$1,0)),"-"))</f>
        <v>0.26257613737320484</v>
      </c>
      <c r="DB38" s="12">
        <f ca="1">(IFERROR(INDEX(Raw!$C$1:$EE$33,MATCH($C38,Raw!$C$1:$C$33,0),MATCH(DB$36,Raw!$C$1:$EE$1,0)),"-"))</f>
        <v>0.2452963032545189</v>
      </c>
      <c r="DC38" s="12">
        <f ca="1">(IFERROR(INDEX(Raw!$C$1:$EE$33,MATCH($C38,Raw!$C$1:$C$33,0),MATCH(DC$36,Raw!$C$1:$EE$1,0)),"-"))</f>
        <v>0.93082387873832551</v>
      </c>
      <c r="DD38" s="12">
        <f ca="1">(IFERROR(INDEX(Raw!$C$1:$EE$33,MATCH($C38,Raw!$C$1:$C$33,0),MATCH(DD$36,Raw!$C$1:$EE$1,0)),"-"))</f>
        <v>3.7933646026239609E-2</v>
      </c>
      <c r="DE38" s="12">
        <f ca="1">(IFERROR(INDEX(Raw!$C$1:$EE$33,MATCH($C38,Raw!$C$1:$C$33,0),MATCH(DE$36,Raw!$C$1:$EE$1,0)),"-"))</f>
        <v>0.86837674622841465</v>
      </c>
      <c r="DF38" s="12">
        <f ca="1">(IFERROR(INDEX(Raw!$C$1:$EE$33,MATCH($C38,Raw!$C$1:$C$33,0),MATCH(DF$36,Raw!$C$1:$EE$1,0)),"-"))</f>
        <v>0.81790414278588586</v>
      </c>
      <c r="DG38" s="12">
        <f ca="1">(IFERROR(INDEX(Raw!$C$1:$EE$33,MATCH($C38,Raw!$C$1:$C$33,0),MATCH(DG$36,Raw!$C$1:$EE$1,0)),"-"))</f>
        <v>7.666294676778429E-2</v>
      </c>
      <c r="DH38" s="12">
        <f ca="1">(IFERROR(INDEX(Raw!$C$1:$EE$33,MATCH($C38,Raw!$C$1:$C$33,0),MATCH(DH$36,Raw!$C$1:$EE$1,0)),"-"))</f>
        <v>0.43458459240841718</v>
      </c>
      <c r="DI38" s="12">
        <f ca="1">(IFERROR(INDEX(Raw!$C$1:$EE$33,MATCH($C38,Raw!$C$1:$C$33,0),MATCH(DI$36,Raw!$C$1:$EE$1,0)),"-"))</f>
        <v>4.1722888121580315E-3</v>
      </c>
      <c r="DJ38" s="12">
        <f ca="1">(IFERROR(INDEX(Raw!$C$1:$EE$33,MATCH($C38,Raw!$C$1:$C$33,0),MATCH(DJ$36,Raw!$C$1:$EE$1,0)),"-"))</f>
        <v>0.1977303428471241</v>
      </c>
      <c r="DK38" s="12">
        <f ca="1">(IFERROR(INDEX(Raw!$C$1:$EE$33,MATCH($C38,Raw!$C$1:$C$33,0),MATCH(DK$36,Raw!$C$1:$EE$1,0)),"-"))</f>
        <v>0.61264025514432385</v>
      </c>
      <c r="DL38" s="12">
        <f ca="1">(IFERROR(INDEX(Raw!$C$1:$EE$33,MATCH($C38,Raw!$C$1:$C$33,0),MATCH(DL$36,Raw!$C$1:$EE$1,0)),"-"))</f>
        <v>2.3998131044633109E-2</v>
      </c>
      <c r="DM38" s="12">
        <f ca="1">(IFERROR(INDEX(Raw!$C$1:$EE$33,MATCH($C38,Raw!$C$1:$C$33,0),MATCH(DM$36,Raw!$C$1:$EE$1,0)),"-"))</f>
        <v>0.88149671218683723</v>
      </c>
      <c r="DN38" s="12">
        <f ca="1">(IFERROR(INDEX(Raw!$C$1:$EE$33,MATCH($C38,Raw!$C$1:$C$33,0),MATCH(DN$36,Raw!$C$1:$EE$1,0)),"-"))</f>
        <v>0.64308850814359264</v>
      </c>
      <c r="DO38" s="12">
        <f ca="1">(IFERROR(INDEX(Raw!$C$1:$EE$33,MATCH($C38,Raw!$C$1:$C$33,0),MATCH(DO$36,Raw!$C$1:$EE$1,0)),"-"))</f>
        <v>0.279262581147801</v>
      </c>
      <c r="DP38" s="12">
        <f ca="1">(IFERROR(INDEX(Raw!$C$1:$EE$33,MATCH($C38,Raw!$C$1:$C$33,0),MATCH(DP$36,Raw!$C$1:$EE$1,0)),"-"))</f>
        <v>5.7518558610357151E-2</v>
      </c>
      <c r="DQ38" s="12">
        <f ca="1">(IFERROR(INDEX(Raw!$C$1:$EE$33,MATCH($C38,Raw!$C$1:$C$33,0),MATCH(DQ$36,Raw!$C$1:$EE$1,0)),"-"))</f>
        <v>0.41749307737325447</v>
      </c>
      <c r="DR38" s="12">
        <f ca="1">(IFERROR(INDEX(Raw!$C$1:$EE$33,MATCH($C38,Raw!$C$1:$C$33,0),MATCH(DR$36,Raw!$C$1:$EE$1,0)),"-"))</f>
        <v>0.99529586050222774</v>
      </c>
      <c r="DS38" s="12">
        <f ca="1">(IFERROR(INDEX(Raw!$C$1:$EE$33,MATCH($C38,Raw!$C$1:$C$33,0),MATCH(DS$36,Raw!$C$1:$EE$1,0)),"-"))</f>
        <v>0.57049068729582153</v>
      </c>
      <c r="DT38" s="12">
        <f ca="1">(IFERROR(INDEX(Raw!$C$1:$EE$33,MATCH($C38,Raw!$C$1:$C$33,0),MATCH(DT$36,Raw!$C$1:$EE$1,0)),"-"))</f>
        <v>0.32780757346738465</v>
      </c>
      <c r="DU38" s="12">
        <f ca="1">(IFERROR(INDEX(Raw!$C$1:$EE$33,MATCH($C38,Raw!$C$1:$C$33,0),MATCH(DU$36,Raw!$C$1:$EE$1,0)),"-"))</f>
        <v>0.45704306306119791</v>
      </c>
      <c r="DV38" s="12">
        <f ca="1">(IFERROR(INDEX(Raw!$C$1:$EE$33,MATCH($C38,Raw!$C$1:$C$33,0),MATCH(DV$36,Raw!$C$1:$EE$1,0)),"-"))</f>
        <v>0.89011258295517981</v>
      </c>
      <c r="DW38" s="12">
        <f ca="1">(IFERROR(INDEX(Raw!$C$1:$EE$33,MATCH($C38,Raw!$C$1:$C$33,0),MATCH(DW$36,Raw!$C$1:$EE$1,0)),"-"))</f>
        <v>0.34643963129230426</v>
      </c>
      <c r="DX38" s="12">
        <f ca="1">(IFERROR(INDEX(Raw!$C$1:$EE$33,MATCH($C38,Raw!$C$1:$C$33,0),MATCH(DX$36,Raw!$C$1:$EE$1,0)),"-"))</f>
        <v>0.49277735594004013</v>
      </c>
      <c r="DY38" s="12">
        <f ca="1">(IFERROR(INDEX(Raw!$C$1:$EE$33,MATCH($C38,Raw!$C$1:$C$33,0),MATCH(DY$36,Raw!$C$1:$EE$1,0)),"-"))</f>
        <v>0.36200465655514658</v>
      </c>
      <c r="DZ38" s="12">
        <f ca="1">(IFERROR(INDEX(Raw!$C$1:$EE$33,MATCH($C38,Raw!$C$1:$C$33,0),MATCH(DZ$36,Raw!$C$1:$EE$1,0)),"-"))</f>
        <v>0.9161990408004832</v>
      </c>
      <c r="EA38" s="12">
        <f ca="1">(IFERROR(INDEX(Raw!$C$1:$EE$33,MATCH($C38,Raw!$C$1:$C$33,0),MATCH(EA$36,Raw!$C$1:$EE$1,0)),"-"))</f>
        <v>0.3187398555698514</v>
      </c>
      <c r="EB38" s="12">
        <f ca="1">(IFERROR(INDEX(Raw!$C$1:$EE$33,MATCH($C38,Raw!$C$1:$C$33,0),MATCH(EB$36,Raw!$C$1:$EE$1,0)),"-"))</f>
        <v>0.81861488717108888</v>
      </c>
      <c r="EC38" s="12">
        <f ca="1">(IFERROR(INDEX(Raw!$C$1:$EE$33,MATCH($C38,Raw!$C$1:$C$33,0),MATCH(EC$36,Raw!$C$1:$EE$1,0)),"-"))</f>
        <v>0.70541807400126499</v>
      </c>
      <c r="ED38" s="12">
        <f ca="1">(IFERROR(INDEX(Raw!$C$1:$EE$33,MATCH($C38,Raw!$C$1:$C$33,0),MATCH(ED$36,Raw!$C$1:$EE$1,0)),"-"))</f>
        <v>0.94392371285847665</v>
      </c>
      <c r="EE38" s="12">
        <f ca="1">(IFERROR(INDEX(Raw!$C$1:$EE$33,MATCH($C38,Raw!$C$1:$C$33,0),MATCH(EE$36,Raw!$C$1:$EE$1,0)),"-"))</f>
        <v>0.61823875134047379</v>
      </c>
    </row>
    <row r="39" spans="2:135" x14ac:dyDescent="0.4">
      <c r="B39" s="8" t="s">
        <v>81</v>
      </c>
      <c r="C39" s="37" t="s">
        <v>28</v>
      </c>
      <c r="D39" s="12">
        <f ca="1">(IFERROR(INDEX(Raw!$C$1:$EE$33,MATCH($C39,Raw!$C$1:$C$33,0),MATCH(D$36,Raw!$C$1:$EE$1,0)),"-"))</f>
        <v>0.45432669505472378</v>
      </c>
      <c r="E39" s="12">
        <f ca="1">(IFERROR(INDEX(Raw!$C$1:$EE$33,MATCH($C39,Raw!$C$1:$C$33,0),MATCH(E$36,Raw!$C$1:$EE$1,0)),"-"))</f>
        <v>0.77478422847105832</v>
      </c>
      <c r="F39" s="12">
        <f ca="1">(IFERROR(INDEX(Raw!$C$1:$EE$33,MATCH($C39,Raw!$C$1:$C$33,0),MATCH(F$36,Raw!$C$1:$EE$1,0)),"-"))</f>
        <v>0.9810503773574405</v>
      </c>
      <c r="G39" s="12">
        <f ca="1">(IFERROR(INDEX(Raw!$C$1:$EE$33,MATCH($C39,Raw!$C$1:$C$33,0),MATCH(G$36,Raw!$C$1:$EE$1,0)),"-"))</f>
        <v>0.22909456961590968</v>
      </c>
      <c r="H39" s="12">
        <f ca="1">(IFERROR(INDEX(Raw!$C$1:$EE$33,MATCH($C39,Raw!$C$1:$C$33,0),MATCH(H$36,Raw!$C$1:$EE$1,0)),"-"))</f>
        <v>0.58598511179741375</v>
      </c>
      <c r="I39" s="12">
        <f ca="1">(IFERROR(INDEX(Raw!$C$1:$EE$33,MATCH($C39,Raw!$C$1:$C$33,0),MATCH(I$36,Raw!$C$1:$EE$1,0)),"-"))</f>
        <v>4.7664701587642577E-2</v>
      </c>
      <c r="J39" s="12">
        <f ca="1">(IFERROR(INDEX(Raw!$C$1:$EE$33,MATCH($C39,Raw!$C$1:$C$33,0),MATCH(J$36,Raw!$C$1:$EE$1,0)),"-"))</f>
        <v>0.32108978948166034</v>
      </c>
      <c r="K39" s="12">
        <f ca="1">(IFERROR(INDEX(Raw!$C$1:$EE$33,MATCH($C39,Raw!$C$1:$C$33,0),MATCH(K$36,Raw!$C$1:$EE$1,0)),"-"))</f>
        <v>0.62709148181114516</v>
      </c>
      <c r="L39" s="12">
        <f ca="1">(IFERROR(INDEX(Raw!$C$1:$EE$33,MATCH($C39,Raw!$C$1:$C$33,0),MATCH(L$36,Raw!$C$1:$EE$1,0)),"-"))</f>
        <v>0.60745707460436704</v>
      </c>
      <c r="M39" s="12">
        <f ca="1">(IFERROR(INDEX(Raw!$C$1:$EE$33,MATCH($C39,Raw!$C$1:$C$33,0),MATCH(M$36,Raw!$C$1:$EE$1,0)),"-"))</f>
        <v>0.54142976386836206</v>
      </c>
      <c r="N39" s="12">
        <f ca="1">(IFERROR(INDEX(Raw!$C$1:$EE$33,MATCH($C39,Raw!$C$1:$C$33,0),MATCH(N$36,Raw!$C$1:$EE$1,0)),"-"))</f>
        <v>0.7702791910940987</v>
      </c>
      <c r="O39" s="12">
        <f ca="1">(IFERROR(INDEX(Raw!$C$1:$EE$33,MATCH($C39,Raw!$C$1:$C$33,0),MATCH(O$36,Raw!$C$1:$EE$1,0)),"-"))</f>
        <v>8.5123976567346271E-2</v>
      </c>
      <c r="P39" s="12">
        <f ca="1">(IFERROR(INDEX(Raw!$C$1:$EE$33,MATCH($C39,Raw!$C$1:$C$33,0),MATCH(P$36,Raw!$C$1:$EE$1,0)),"-"))</f>
        <v>0.82520318483480593</v>
      </c>
      <c r="Q39" s="12">
        <f ca="1">(IFERROR(INDEX(Raw!$C$1:$EE$33,MATCH($C39,Raw!$C$1:$C$33,0),MATCH(Q$36,Raw!$C$1:$EE$1,0)),"-"))</f>
        <v>0.63724537332298437</v>
      </c>
      <c r="R39" s="12">
        <f ca="1">(IFERROR(INDEX(Raw!$C$1:$EE$33,MATCH($C39,Raw!$C$1:$C$33,0),MATCH(R$36,Raw!$C$1:$EE$1,0)),"-"))</f>
        <v>0.10002762966497947</v>
      </c>
      <c r="S39" s="12">
        <f ca="1">(IFERROR(INDEX(Raw!$C$1:$EE$33,MATCH($C39,Raw!$C$1:$C$33,0),MATCH(S$36,Raw!$C$1:$EE$1,0)),"-"))</f>
        <v>0.89546528141623671</v>
      </c>
      <c r="T39" s="12">
        <f ca="1">(IFERROR(INDEX(Raw!$C$1:$EE$33,MATCH($C39,Raw!$C$1:$C$33,0),MATCH(T$36,Raw!$C$1:$EE$1,0)),"-"))</f>
        <v>0.15305441452287905</v>
      </c>
      <c r="U39" s="12">
        <f ca="1">(IFERROR(INDEX(Raw!$C$1:$EE$33,MATCH($C39,Raw!$C$1:$C$33,0),MATCH(U$36,Raw!$C$1:$EE$1,0)),"-"))</f>
        <v>0.34449976155250595</v>
      </c>
      <c r="V39" s="12">
        <f ca="1">(IFERROR(INDEX(Raw!$C$1:$EE$33,MATCH($C39,Raw!$C$1:$C$33,0),MATCH(V$36,Raw!$C$1:$EE$1,0)),"-"))</f>
        <v>2.0147477130656455E-2</v>
      </c>
      <c r="W39" s="12">
        <f ca="1">(IFERROR(INDEX(Raw!$C$1:$EE$33,MATCH($C39,Raw!$C$1:$C$33,0),MATCH(W$36,Raw!$C$1:$EE$1,0)),"-"))</f>
        <v>0.24497793989829564</v>
      </c>
      <c r="X39" s="12">
        <f ca="1">(IFERROR(INDEX(Raw!$C$1:$EE$33,MATCH($C39,Raw!$C$1:$C$33,0),MATCH(X$36,Raw!$C$1:$EE$1,0)),"-"))</f>
        <v>8.7653508073254116E-2</v>
      </c>
      <c r="Y39" s="12">
        <f ca="1">(IFERROR(INDEX(Raw!$C$1:$EE$33,MATCH($C39,Raw!$C$1:$C$33,0),MATCH(Y$36,Raw!$C$1:$EE$1,0)),"-"))</f>
        <v>0.91150598590449539</v>
      </c>
      <c r="Z39" s="12">
        <f ca="1">(IFERROR(INDEX(Raw!$C$1:$EE$33,MATCH($C39,Raw!$C$1:$C$33,0),MATCH(Z$36,Raw!$C$1:$EE$1,0)),"-"))</f>
        <v>0.82564089435301835</v>
      </c>
      <c r="AA39" s="12">
        <f ca="1">(IFERROR(INDEX(Raw!$C$1:$EE$33,MATCH($C39,Raw!$C$1:$C$33,0),MATCH(AA$36,Raw!$C$1:$EE$1,0)),"-"))</f>
        <v>8.1609090101872894E-2</v>
      </c>
      <c r="AB39" s="12">
        <f ca="1">(IFERROR(INDEX(Raw!$C$1:$EE$33,MATCH($C39,Raw!$C$1:$C$33,0),MATCH(AB$36,Raw!$C$1:$EE$1,0)),"-"))</f>
        <v>0.12694245794753334</v>
      </c>
      <c r="AC39" s="12">
        <f ca="1">(IFERROR(INDEX(Raw!$C$1:$EE$33,MATCH($C39,Raw!$C$1:$C$33,0),MATCH(AC$36,Raw!$C$1:$EE$1,0)),"-"))</f>
        <v>0.66304860877293392</v>
      </c>
      <c r="AD39" s="12">
        <f ca="1">(IFERROR(INDEX(Raw!$C$1:$EE$33,MATCH($C39,Raw!$C$1:$C$33,0),MATCH(AD$36,Raw!$C$1:$EE$1,0)),"-"))</f>
        <v>0.96325723975760513</v>
      </c>
      <c r="AE39" s="12">
        <f ca="1">(IFERROR(INDEX(Raw!$C$1:$EE$33,MATCH($C39,Raw!$C$1:$C$33,0),MATCH(AE$36,Raw!$C$1:$EE$1,0)),"-"))</f>
        <v>0.70501325029189021</v>
      </c>
      <c r="AF39" s="12">
        <f ca="1">(IFERROR(INDEX(Raw!$C$1:$EE$33,MATCH($C39,Raw!$C$1:$C$33,0),MATCH(AF$36,Raw!$C$1:$EE$1,0)),"-"))</f>
        <v>0.77423413646433192</v>
      </c>
      <c r="AG39" s="12">
        <f ca="1">(IFERROR(INDEX(Raw!$C$1:$EE$33,MATCH($C39,Raw!$C$1:$C$33,0),MATCH(AG$36,Raw!$C$1:$EE$1,0)),"-"))</f>
        <v>0.58940804172689498</v>
      </c>
      <c r="AH39" s="12">
        <f ca="1">(IFERROR(INDEX(Raw!$C$1:$EE$33,MATCH($C39,Raw!$C$1:$C$33,0),MATCH(AH$36,Raw!$C$1:$EE$1,0)),"-"))</f>
        <v>0.23797091841883422</v>
      </c>
      <c r="AI39" s="12">
        <f ca="1">(IFERROR(INDEX(Raw!$C$1:$EE$33,MATCH($C39,Raw!$C$1:$C$33,0),MATCH(AI$36,Raw!$C$1:$EE$1,0)),"-"))</f>
        <v>0.5054032715673048</v>
      </c>
      <c r="AJ39" s="12">
        <f ca="1">(IFERROR(INDEX(Raw!$C$1:$EE$33,MATCH($C39,Raw!$C$1:$C$33,0),MATCH(AJ$36,Raw!$C$1:$EE$1,0)),"-"))</f>
        <v>0.92473131363533312</v>
      </c>
      <c r="AK39" s="12">
        <f ca="1">(IFERROR(INDEX(Raw!$C$1:$EE$33,MATCH($C39,Raw!$C$1:$C$33,0),MATCH(AK$36,Raw!$C$1:$EE$1,0)),"-"))</f>
        <v>0.47603155718655765</v>
      </c>
      <c r="AL39" s="12">
        <f ca="1">(IFERROR(INDEX(Raw!$C$1:$EE$33,MATCH($C39,Raw!$C$1:$C$33,0),MATCH(AL$36,Raw!$C$1:$EE$1,0)),"-"))</f>
        <v>9.3742627173325266E-2</v>
      </c>
      <c r="AM39" s="12">
        <f ca="1">(IFERROR(INDEX(Raw!$C$1:$EE$33,MATCH($C39,Raw!$C$1:$C$33,0),MATCH(AM$36,Raw!$C$1:$EE$1,0)),"-"))</f>
        <v>4.3114004014346952E-2</v>
      </c>
      <c r="AN39" s="12">
        <f ca="1">(IFERROR(INDEX(Raw!$C$1:$EE$33,MATCH($C39,Raw!$C$1:$C$33,0),MATCH(AN$36,Raw!$C$1:$EE$1,0)),"-"))</f>
        <v>0.49830262396019087</v>
      </c>
      <c r="AO39" s="12">
        <f ca="1">(IFERROR(INDEX(Raw!$C$1:$EE$33,MATCH($C39,Raw!$C$1:$C$33,0),MATCH(AO$36,Raw!$C$1:$EE$1,0)),"-"))</f>
        <v>0.72434867072150677</v>
      </c>
      <c r="AP39" s="12">
        <f ca="1">(IFERROR(INDEX(Raw!$C$1:$EE$33,MATCH($C39,Raw!$C$1:$C$33,0),MATCH(AP$36,Raw!$C$1:$EE$1,0)),"-"))</f>
        <v>4.3114685293138999E-2</v>
      </c>
      <c r="AQ39" s="12">
        <f ca="1">(IFERROR(INDEX(Raw!$C$1:$EE$33,MATCH($C39,Raw!$C$1:$C$33,0),MATCH(AQ$36,Raw!$C$1:$EE$1,0)),"-"))</f>
        <v>0.95813433671475445</v>
      </c>
      <c r="AR39" s="12">
        <f ca="1">(IFERROR(INDEX(Raw!$C$1:$EE$33,MATCH($C39,Raw!$C$1:$C$33,0),MATCH(AR$36,Raw!$C$1:$EE$1,0)),"-"))</f>
        <v>0.45886439918407407</v>
      </c>
      <c r="AS39" s="12">
        <f ca="1">(IFERROR(INDEX(Raw!$C$1:$EE$33,MATCH($C39,Raw!$C$1:$C$33,0),MATCH(AS$36,Raw!$C$1:$EE$1,0)),"-"))</f>
        <v>0.11067450053399353</v>
      </c>
      <c r="AT39" s="12">
        <f ca="1">(IFERROR(INDEX(Raw!$C$1:$EE$33,MATCH($C39,Raw!$C$1:$C$33,0),MATCH(AT$36,Raw!$C$1:$EE$1,0)),"-"))</f>
        <v>0.40485562397132313</v>
      </c>
      <c r="AU39" s="12">
        <f ca="1">(IFERROR(INDEX(Raw!$C$1:$EE$33,MATCH($C39,Raw!$C$1:$C$33,0),MATCH(AU$36,Raw!$C$1:$EE$1,0)),"-"))</f>
        <v>0.71235502079819046</v>
      </c>
      <c r="AV39" s="12">
        <f ca="1">(IFERROR(INDEX(Raw!$C$1:$EE$33,MATCH($C39,Raw!$C$1:$C$33,0),MATCH(AV$36,Raw!$C$1:$EE$1,0)),"-"))</f>
        <v>0.29029895827055918</v>
      </c>
      <c r="AW39" s="12">
        <f ca="1">(IFERROR(INDEX(Raw!$C$1:$EE$33,MATCH($C39,Raw!$C$1:$C$33,0),MATCH(AW$36,Raw!$C$1:$EE$1,0)),"-"))</f>
        <v>0.26353232495323886</v>
      </c>
      <c r="AX39" s="12">
        <f ca="1">(IFERROR(INDEX(Raw!$C$1:$EE$33,MATCH($C39,Raw!$C$1:$C$33,0),MATCH(AX$36,Raw!$C$1:$EE$1,0)),"-"))</f>
        <v>0.65380445376841434</v>
      </c>
      <c r="AY39" s="12">
        <f ca="1">(IFERROR(INDEX(Raw!$C$1:$EE$33,MATCH($C39,Raw!$C$1:$C$33,0),MATCH(AY$36,Raw!$C$1:$EE$1,0)),"-"))</f>
        <v>0.21316025737866318</v>
      </c>
      <c r="AZ39" s="12">
        <f ca="1">(IFERROR(INDEX(Raw!$C$1:$EE$33,MATCH($C39,Raw!$C$1:$C$33,0),MATCH(AZ$36,Raw!$C$1:$EE$1,0)),"-"))</f>
        <v>0.5419292561415755</v>
      </c>
      <c r="BA39" s="12">
        <f ca="1">(IFERROR(INDEX(Raw!$C$1:$EE$33,MATCH($C39,Raw!$C$1:$C$33,0),MATCH(BA$36,Raw!$C$1:$EE$1,0)),"-"))</f>
        <v>0.99851399710003841</v>
      </c>
      <c r="BB39" s="12">
        <f ca="1">(IFERROR(INDEX(Raw!$C$1:$EE$33,MATCH($C39,Raw!$C$1:$C$33,0),MATCH(BB$36,Raw!$C$1:$EE$1,0)),"-"))</f>
        <v>0.51258581691214977</v>
      </c>
      <c r="BC39" s="12">
        <f ca="1">(IFERROR(INDEX(Raw!$C$1:$EE$33,MATCH($C39,Raw!$C$1:$C$33,0),MATCH(BC$36,Raw!$C$1:$EE$1,0)),"-"))</f>
        <v>0.32451574013096007</v>
      </c>
      <c r="BD39" s="12">
        <f ca="1">(IFERROR(INDEX(Raw!$C$1:$EE$33,MATCH($C39,Raw!$C$1:$C$33,0),MATCH(BD$36,Raw!$C$1:$EE$1,0)),"-"))</f>
        <v>0.80058188246163664</v>
      </c>
      <c r="BE39" s="12">
        <f ca="1">(IFERROR(INDEX(Raw!$C$1:$EE$33,MATCH($C39,Raw!$C$1:$C$33,0),MATCH(BE$36,Raw!$C$1:$EE$1,0)),"-"))</f>
        <v>0.19573812735509555</v>
      </c>
      <c r="BF39" s="12">
        <f ca="1">(IFERROR(INDEX(Raw!$C$1:$EE$33,MATCH($C39,Raw!$C$1:$C$33,0),MATCH(BF$36,Raw!$C$1:$EE$1,0)),"-"))</f>
        <v>0.99756532810171894</v>
      </c>
      <c r="BG39" s="12">
        <f ca="1">(IFERROR(INDEX(Raw!$C$1:$EE$33,MATCH($C39,Raw!$C$1:$C$33,0),MATCH(BG$36,Raw!$C$1:$EE$1,0)),"-"))</f>
        <v>0.52325751114889874</v>
      </c>
      <c r="BH39" s="12">
        <f ca="1">(IFERROR(INDEX(Raw!$C$1:$EE$33,MATCH($C39,Raw!$C$1:$C$33,0),MATCH(BH$36,Raw!$C$1:$EE$1,0)),"-"))</f>
        <v>0.24868728299008158</v>
      </c>
      <c r="BI39" s="12">
        <f ca="1">(IFERROR(INDEX(Raw!$C$1:$EE$33,MATCH($C39,Raw!$C$1:$C$33,0),MATCH(BI$36,Raw!$C$1:$EE$1,0)),"-"))</f>
        <v>0.72945414256776619</v>
      </c>
      <c r="BJ39" s="12">
        <f ca="1">(IFERROR(INDEX(Raw!$C$1:$EE$33,MATCH($C39,Raw!$C$1:$C$33,0),MATCH(BJ$36,Raw!$C$1:$EE$1,0)),"-"))</f>
        <v>0.43969633207371661</v>
      </c>
      <c r="BK39" s="12">
        <f ca="1">(IFERROR(INDEX(Raw!$C$1:$EE$33,MATCH($C39,Raw!$C$1:$C$33,0),MATCH(BK$36,Raw!$C$1:$EE$1,0)),"-"))</f>
        <v>0.43242940710275912</v>
      </c>
      <c r="BL39" s="12">
        <f ca="1">(IFERROR(INDEX(Raw!$C$1:$EE$33,MATCH($C39,Raw!$C$1:$C$33,0),MATCH(BL$36,Raw!$C$1:$EE$1,0)),"-"))</f>
        <v>0.46162435480538733</v>
      </c>
      <c r="BM39" s="12">
        <f ca="1">(IFERROR(INDEX(Raw!$C$1:$EE$33,MATCH($C39,Raw!$C$1:$C$33,0),MATCH(BM$36,Raw!$C$1:$EE$1,0)),"-"))</f>
        <v>3.2188707376029968E-2</v>
      </c>
      <c r="BN39" s="12">
        <f ca="1">(IFERROR(INDEX(Raw!$C$1:$EE$33,MATCH($C39,Raw!$C$1:$C$33,0),MATCH(BN$36,Raw!$C$1:$EE$1,0)),"-"))</f>
        <v>0.99773331834304402</v>
      </c>
      <c r="BO39" s="12">
        <f ca="1">(IFERROR(INDEX(Raw!$C$1:$EE$33,MATCH($C39,Raw!$C$1:$C$33,0),MATCH(BO$36,Raw!$C$1:$EE$1,0)),"-"))</f>
        <v>0.68256329738892119</v>
      </c>
      <c r="BP39" s="12">
        <f ca="1">(IFERROR(INDEX(Raw!$C$1:$EE$33,MATCH($C39,Raw!$C$1:$C$33,0),MATCH(BP$36,Raw!$C$1:$EE$1,0)),"-"))</f>
        <v>0.93141228044447544</v>
      </c>
      <c r="BQ39" s="12">
        <f ca="1">(IFERROR(INDEX(Raw!$C$1:$EE$33,MATCH($C39,Raw!$C$1:$C$33,0),MATCH(BQ$36,Raw!$C$1:$EE$1,0)),"-"))</f>
        <v>0.17442009623724153</v>
      </c>
      <c r="BR39" s="12">
        <f ca="1">(IFERROR(INDEX(Raw!$C$1:$EE$33,MATCH($C39,Raw!$C$1:$C$33,0),MATCH(BR$36,Raw!$C$1:$EE$1,0)),"-"))</f>
        <v>0.38433707748442059</v>
      </c>
      <c r="BS39" s="12">
        <f ca="1">(IFERROR(INDEX(Raw!$C$1:$EE$33,MATCH($C39,Raw!$C$1:$C$33,0),MATCH(BS$36,Raw!$C$1:$EE$1,0)),"-"))</f>
        <v>9.4778388354151977E-3</v>
      </c>
      <c r="BT39" s="12">
        <f ca="1">(IFERROR(INDEX(Raw!$C$1:$EE$33,MATCH($C39,Raw!$C$1:$C$33,0),MATCH(BT$36,Raw!$C$1:$EE$1,0)),"-"))</f>
        <v>0.34958315126078443</v>
      </c>
      <c r="BU39" s="12">
        <f ca="1">(IFERROR(INDEX(Raw!$C$1:$EE$33,MATCH($C39,Raw!$C$1:$C$33,0),MATCH(BU$36,Raw!$C$1:$EE$1,0)),"-"))</f>
        <v>0.84376370876741658</v>
      </c>
      <c r="BV39" s="12">
        <f ca="1">(IFERROR(INDEX(Raw!$C$1:$EE$33,MATCH($C39,Raw!$C$1:$C$33,0),MATCH(BV$36,Raw!$C$1:$EE$1,0)),"-"))</f>
        <v>0.9374377077521826</v>
      </c>
      <c r="BW39" s="12">
        <f ca="1">(IFERROR(INDEX(Raw!$C$1:$EE$33,MATCH($C39,Raw!$C$1:$C$33,0),MATCH(BW$36,Raw!$C$1:$EE$1,0)),"-"))</f>
        <v>0.68688400150006279</v>
      </c>
      <c r="BX39" s="12">
        <f ca="1">(IFERROR(INDEX(Raw!$C$1:$EE$33,MATCH($C39,Raw!$C$1:$C$33,0),MATCH(BX$36,Raw!$C$1:$EE$1,0)),"-"))</f>
        <v>0.25349349643628838</v>
      </c>
      <c r="BY39" s="12">
        <f ca="1">(IFERROR(INDEX(Raw!$C$1:$EE$33,MATCH($C39,Raw!$C$1:$C$33,0),MATCH(BY$36,Raw!$C$1:$EE$1,0)),"-"))</f>
        <v>0.77225271940800322</v>
      </c>
      <c r="BZ39" s="12">
        <f ca="1">(IFERROR(INDEX(Raw!$C$1:$EE$33,MATCH($C39,Raw!$C$1:$C$33,0),MATCH(BZ$36,Raw!$C$1:$EE$1,0)),"-"))</f>
        <v>0.38613583804745355</v>
      </c>
      <c r="CA39" s="12">
        <f ca="1">(IFERROR(INDEX(Raw!$C$1:$EE$33,MATCH($C39,Raw!$C$1:$C$33,0),MATCH(CA$36,Raw!$C$1:$EE$1,0)),"-"))</f>
        <v>0.28648591814405966</v>
      </c>
      <c r="CB39" s="12">
        <f ca="1">(IFERROR(INDEX(Raw!$C$1:$EE$33,MATCH($C39,Raw!$C$1:$C$33,0),MATCH(CB$36,Raw!$C$1:$EE$1,0)),"-"))</f>
        <v>0.4957489194130581</v>
      </c>
      <c r="CC39" s="12">
        <f ca="1">(IFERROR(INDEX(Raw!$C$1:$EE$33,MATCH($C39,Raw!$C$1:$C$33,0),MATCH(CC$36,Raw!$C$1:$EE$1,0)),"-"))</f>
        <v>0.95060762437270929</v>
      </c>
      <c r="CD39" s="12">
        <f ca="1">(IFERROR(INDEX(Raw!$C$1:$EE$33,MATCH($C39,Raw!$C$1:$C$33,0),MATCH(CD$36,Raw!$C$1:$EE$1,0)),"-"))</f>
        <v>0.8656705956118681</v>
      </c>
      <c r="CE39" s="12">
        <f ca="1">(IFERROR(INDEX(Raw!$C$1:$EE$33,MATCH($C39,Raw!$C$1:$C$33,0),MATCH(CE$36,Raw!$C$1:$EE$1,0)),"-"))</f>
        <v>0.58033034236185876</v>
      </c>
      <c r="CF39" s="12">
        <f ca="1">(IFERROR(INDEX(Raw!$C$1:$EE$33,MATCH($C39,Raw!$C$1:$C$33,0),MATCH(CF$36,Raw!$C$1:$EE$1,0)),"-"))</f>
        <v>7.0293925772013321E-2</v>
      </c>
      <c r="CG39" s="12">
        <f ca="1">(IFERROR(INDEX(Raw!$C$1:$EE$33,MATCH($C39,Raw!$C$1:$C$33,0),MATCH(CG$36,Raw!$C$1:$EE$1,0)),"-"))</f>
        <v>0.20945798370707513</v>
      </c>
      <c r="CH39" s="12">
        <f ca="1">(IFERROR(INDEX(Raw!$C$1:$EE$33,MATCH($C39,Raw!$C$1:$C$33,0),MATCH(CH$36,Raw!$C$1:$EE$1,0)),"-"))</f>
        <v>0.62402914947865074</v>
      </c>
      <c r="CI39" s="12">
        <f ca="1">(IFERROR(INDEX(Raw!$C$1:$EE$33,MATCH($C39,Raw!$C$1:$C$33,0),MATCH(CI$36,Raw!$C$1:$EE$1,0)),"-"))</f>
        <v>0.22087529473161016</v>
      </c>
      <c r="CJ39" s="12">
        <f ca="1">(IFERROR(INDEX(Raw!$C$1:$EE$33,MATCH($C39,Raw!$C$1:$C$33,0),MATCH(CJ$36,Raw!$C$1:$EE$1,0)),"-"))</f>
        <v>0.92695577136482754</v>
      </c>
      <c r="CK39" s="12">
        <f ca="1">(IFERROR(INDEX(Raw!$C$1:$EE$33,MATCH($C39,Raw!$C$1:$C$33,0),MATCH(CK$36,Raw!$C$1:$EE$1,0)),"-"))</f>
        <v>0.29760259781402709</v>
      </c>
      <c r="CL39" s="12">
        <f ca="1">(IFERROR(INDEX(Raw!$C$1:$EE$33,MATCH($C39,Raw!$C$1:$C$33,0),MATCH(CL$36,Raw!$C$1:$EE$1,0)),"-"))</f>
        <v>5.7136033371669392E-2</v>
      </c>
      <c r="CM39" s="12">
        <f ca="1">(IFERROR(INDEX(Raw!$C$1:$EE$33,MATCH($C39,Raw!$C$1:$C$33,0),MATCH(CM$36,Raw!$C$1:$EE$1,0)),"-"))</f>
        <v>0.94532613746608862</v>
      </c>
      <c r="CN39" s="12">
        <f ca="1">(IFERROR(INDEX(Raw!$C$1:$EE$33,MATCH($C39,Raw!$C$1:$C$33,0),MATCH(CN$36,Raw!$C$1:$EE$1,0)),"-"))</f>
        <v>0.55061860889925696</v>
      </c>
      <c r="CO39" s="12">
        <f ca="1">(IFERROR(INDEX(Raw!$C$1:$EE$33,MATCH($C39,Raw!$C$1:$C$33,0),MATCH(CO$36,Raw!$C$1:$EE$1,0)),"-"))</f>
        <v>0.18883503091516718</v>
      </c>
      <c r="CP39" s="12">
        <f ca="1">(IFERROR(INDEX(Raw!$C$1:$EE$33,MATCH($C39,Raw!$C$1:$C$33,0),MATCH(CP$36,Raw!$C$1:$EE$1,0)),"-"))</f>
        <v>0.98756399727174882</v>
      </c>
      <c r="CQ39" s="12">
        <f ca="1">(IFERROR(INDEX(Raw!$C$1:$EE$33,MATCH($C39,Raw!$C$1:$C$33,0),MATCH(CQ$36,Raw!$C$1:$EE$1,0)),"-"))</f>
        <v>0.9970375703323523</v>
      </c>
      <c r="CR39" s="12">
        <f ca="1">(IFERROR(INDEX(Raw!$C$1:$EE$33,MATCH($C39,Raw!$C$1:$C$33,0),MATCH(CR$36,Raw!$C$1:$EE$1,0)),"-"))</f>
        <v>0.7189992621376321</v>
      </c>
      <c r="CS39" s="12">
        <f ca="1">(IFERROR(INDEX(Raw!$C$1:$EE$33,MATCH($C39,Raw!$C$1:$C$33,0),MATCH(CS$36,Raw!$C$1:$EE$1,0)),"-"))</f>
        <v>0.63880258030743375</v>
      </c>
      <c r="CT39" s="12">
        <f ca="1">(IFERROR(INDEX(Raw!$C$1:$EE$33,MATCH($C39,Raw!$C$1:$C$33,0),MATCH(CT$36,Raw!$C$1:$EE$1,0)),"-"))</f>
        <v>0.12436666174440369</v>
      </c>
      <c r="CU39" s="12">
        <f ca="1">(IFERROR(INDEX(Raw!$C$1:$EE$33,MATCH($C39,Raw!$C$1:$C$33,0),MATCH(CU$36,Raw!$C$1:$EE$1,0)),"-"))</f>
        <v>0.84321524625646649</v>
      </c>
      <c r="CV39" s="12">
        <f ca="1">(IFERROR(INDEX(Raw!$C$1:$EE$33,MATCH($C39,Raw!$C$1:$C$33,0),MATCH(CV$36,Raw!$C$1:$EE$1,0)),"-"))</f>
        <v>0.85691751065341593</v>
      </c>
      <c r="CW39" s="12">
        <f ca="1">(IFERROR(INDEX(Raw!$C$1:$EE$33,MATCH($C39,Raw!$C$1:$C$33,0),MATCH(CW$36,Raw!$C$1:$EE$1,0)),"-"))</f>
        <v>0.64527347288161729</v>
      </c>
      <c r="CX39" s="12">
        <f ca="1">(IFERROR(INDEX(Raw!$C$1:$EE$33,MATCH($C39,Raw!$C$1:$C$33,0),MATCH(CX$36,Raw!$C$1:$EE$1,0)),"-"))</f>
        <v>0.61182411940377079</v>
      </c>
      <c r="CY39" s="12">
        <f ca="1">(IFERROR(INDEX(Raw!$C$1:$EE$33,MATCH($C39,Raw!$C$1:$C$33,0),MATCH(CY$36,Raw!$C$1:$EE$1,0)),"-"))</f>
        <v>3.3127913128722097E-3</v>
      </c>
      <c r="CZ39" s="12">
        <f ca="1">(IFERROR(INDEX(Raw!$C$1:$EE$33,MATCH($C39,Raw!$C$1:$C$33,0),MATCH(CZ$36,Raw!$C$1:$EE$1,0)),"-"))</f>
        <v>0.73181158680827163</v>
      </c>
      <c r="DA39" s="12">
        <f ca="1">(IFERROR(INDEX(Raw!$C$1:$EE$33,MATCH($C39,Raw!$C$1:$C$33,0),MATCH(DA$36,Raw!$C$1:$EE$1,0)),"-"))</f>
        <v>0.26257613737320484</v>
      </c>
      <c r="DB39" s="12">
        <f ca="1">(IFERROR(INDEX(Raw!$C$1:$EE$33,MATCH($C39,Raw!$C$1:$C$33,0),MATCH(DB$36,Raw!$C$1:$EE$1,0)),"-"))</f>
        <v>0.2452963032545189</v>
      </c>
      <c r="DC39" s="12">
        <f ca="1">(IFERROR(INDEX(Raw!$C$1:$EE$33,MATCH($C39,Raw!$C$1:$C$33,0),MATCH(DC$36,Raw!$C$1:$EE$1,0)),"-"))</f>
        <v>0.93082387873832551</v>
      </c>
      <c r="DD39" s="12">
        <f ca="1">(IFERROR(INDEX(Raw!$C$1:$EE$33,MATCH($C39,Raw!$C$1:$C$33,0),MATCH(DD$36,Raw!$C$1:$EE$1,0)),"-"))</f>
        <v>3.7933646026239609E-2</v>
      </c>
      <c r="DE39" s="12">
        <f ca="1">(IFERROR(INDEX(Raw!$C$1:$EE$33,MATCH($C39,Raw!$C$1:$C$33,0),MATCH(DE$36,Raw!$C$1:$EE$1,0)),"-"))</f>
        <v>0.86837674622841465</v>
      </c>
      <c r="DF39" s="12">
        <f ca="1">(IFERROR(INDEX(Raw!$C$1:$EE$33,MATCH($C39,Raw!$C$1:$C$33,0),MATCH(DF$36,Raw!$C$1:$EE$1,0)),"-"))</f>
        <v>0.81790414278588586</v>
      </c>
      <c r="DG39" s="12">
        <f ca="1">(IFERROR(INDEX(Raw!$C$1:$EE$33,MATCH($C39,Raw!$C$1:$C$33,0),MATCH(DG$36,Raw!$C$1:$EE$1,0)),"-"))</f>
        <v>7.666294676778429E-2</v>
      </c>
      <c r="DH39" s="12">
        <f ca="1">(IFERROR(INDEX(Raw!$C$1:$EE$33,MATCH($C39,Raw!$C$1:$C$33,0),MATCH(DH$36,Raw!$C$1:$EE$1,0)),"-"))</f>
        <v>0.43458459240841718</v>
      </c>
      <c r="DI39" s="12">
        <f ca="1">(IFERROR(INDEX(Raw!$C$1:$EE$33,MATCH($C39,Raw!$C$1:$C$33,0),MATCH(DI$36,Raw!$C$1:$EE$1,0)),"-"))</f>
        <v>4.1722888121580315E-3</v>
      </c>
      <c r="DJ39" s="12">
        <f ca="1">(IFERROR(INDEX(Raw!$C$1:$EE$33,MATCH($C39,Raw!$C$1:$C$33,0),MATCH(DJ$36,Raw!$C$1:$EE$1,0)),"-"))</f>
        <v>0.1977303428471241</v>
      </c>
      <c r="DK39" s="12">
        <f ca="1">(IFERROR(INDEX(Raw!$C$1:$EE$33,MATCH($C39,Raw!$C$1:$C$33,0),MATCH(DK$36,Raw!$C$1:$EE$1,0)),"-"))</f>
        <v>0.61264025514432385</v>
      </c>
      <c r="DL39" s="12">
        <f ca="1">(IFERROR(INDEX(Raw!$C$1:$EE$33,MATCH($C39,Raw!$C$1:$C$33,0),MATCH(DL$36,Raw!$C$1:$EE$1,0)),"-"))</f>
        <v>2.3998131044633109E-2</v>
      </c>
      <c r="DM39" s="12">
        <f ca="1">(IFERROR(INDEX(Raw!$C$1:$EE$33,MATCH($C39,Raw!$C$1:$C$33,0),MATCH(DM$36,Raw!$C$1:$EE$1,0)),"-"))</f>
        <v>0.88149671218683723</v>
      </c>
      <c r="DN39" s="12">
        <f ca="1">(IFERROR(INDEX(Raw!$C$1:$EE$33,MATCH($C39,Raw!$C$1:$C$33,0),MATCH(DN$36,Raw!$C$1:$EE$1,0)),"-"))</f>
        <v>0.64308850814359264</v>
      </c>
      <c r="DO39" s="12">
        <f ca="1">(IFERROR(INDEX(Raw!$C$1:$EE$33,MATCH($C39,Raw!$C$1:$C$33,0),MATCH(DO$36,Raw!$C$1:$EE$1,0)),"-"))</f>
        <v>0.279262581147801</v>
      </c>
      <c r="DP39" s="12">
        <f ca="1">(IFERROR(INDEX(Raw!$C$1:$EE$33,MATCH($C39,Raw!$C$1:$C$33,0),MATCH(DP$36,Raw!$C$1:$EE$1,0)),"-"))</f>
        <v>5.7518558610357151E-2</v>
      </c>
      <c r="DQ39" s="12">
        <f ca="1">(IFERROR(INDEX(Raw!$C$1:$EE$33,MATCH($C39,Raw!$C$1:$C$33,0),MATCH(DQ$36,Raw!$C$1:$EE$1,0)),"-"))</f>
        <v>0.41749307737325447</v>
      </c>
      <c r="DR39" s="12">
        <f ca="1">(IFERROR(INDEX(Raw!$C$1:$EE$33,MATCH($C39,Raw!$C$1:$C$33,0),MATCH(DR$36,Raw!$C$1:$EE$1,0)),"-"))</f>
        <v>0.99529586050222774</v>
      </c>
      <c r="DS39" s="12">
        <f ca="1">(IFERROR(INDEX(Raw!$C$1:$EE$33,MATCH($C39,Raw!$C$1:$C$33,0),MATCH(DS$36,Raw!$C$1:$EE$1,0)),"-"))</f>
        <v>0.57049068729582153</v>
      </c>
      <c r="DT39" s="12">
        <f ca="1">(IFERROR(INDEX(Raw!$C$1:$EE$33,MATCH($C39,Raw!$C$1:$C$33,0),MATCH(DT$36,Raw!$C$1:$EE$1,0)),"-"))</f>
        <v>0.32780757346738465</v>
      </c>
      <c r="DU39" s="12">
        <f ca="1">(IFERROR(INDEX(Raw!$C$1:$EE$33,MATCH($C39,Raw!$C$1:$C$33,0),MATCH(DU$36,Raw!$C$1:$EE$1,0)),"-"))</f>
        <v>0.45704306306119791</v>
      </c>
      <c r="DV39" s="12">
        <f ca="1">(IFERROR(INDEX(Raw!$C$1:$EE$33,MATCH($C39,Raw!$C$1:$C$33,0),MATCH(DV$36,Raw!$C$1:$EE$1,0)),"-"))</f>
        <v>0.89011258295517981</v>
      </c>
      <c r="DW39" s="12">
        <f ca="1">(IFERROR(INDEX(Raw!$C$1:$EE$33,MATCH($C39,Raw!$C$1:$C$33,0),MATCH(DW$36,Raw!$C$1:$EE$1,0)),"-"))</f>
        <v>0.34643963129230426</v>
      </c>
      <c r="DX39" s="12">
        <f ca="1">(IFERROR(INDEX(Raw!$C$1:$EE$33,MATCH($C39,Raw!$C$1:$C$33,0),MATCH(DX$36,Raw!$C$1:$EE$1,0)),"-"))</f>
        <v>0.49277735594004013</v>
      </c>
      <c r="DY39" s="12">
        <f ca="1">(IFERROR(INDEX(Raw!$C$1:$EE$33,MATCH($C39,Raw!$C$1:$C$33,0),MATCH(DY$36,Raw!$C$1:$EE$1,0)),"-"))</f>
        <v>0.36200465655514658</v>
      </c>
      <c r="DZ39" s="12">
        <f ca="1">(IFERROR(INDEX(Raw!$C$1:$EE$33,MATCH($C39,Raw!$C$1:$C$33,0),MATCH(DZ$36,Raw!$C$1:$EE$1,0)),"-"))</f>
        <v>0.9161990408004832</v>
      </c>
      <c r="EA39" s="12">
        <f ca="1">(IFERROR(INDEX(Raw!$C$1:$EE$33,MATCH($C39,Raw!$C$1:$C$33,0),MATCH(EA$36,Raw!$C$1:$EE$1,0)),"-"))</f>
        <v>0.3187398555698514</v>
      </c>
      <c r="EB39" s="12">
        <f ca="1">(IFERROR(INDEX(Raw!$C$1:$EE$33,MATCH($C39,Raw!$C$1:$C$33,0),MATCH(EB$36,Raw!$C$1:$EE$1,0)),"-"))</f>
        <v>0.81861488717108888</v>
      </c>
      <c r="EC39" s="12">
        <f ca="1">(IFERROR(INDEX(Raw!$C$1:$EE$33,MATCH($C39,Raw!$C$1:$C$33,0),MATCH(EC$36,Raw!$C$1:$EE$1,0)),"-"))</f>
        <v>0.70541807400126499</v>
      </c>
      <c r="ED39" s="12">
        <f ca="1">(IFERROR(INDEX(Raw!$C$1:$EE$33,MATCH($C39,Raw!$C$1:$C$33,0),MATCH(ED$36,Raw!$C$1:$EE$1,0)),"-"))</f>
        <v>0.94392371285847665</v>
      </c>
      <c r="EE39" s="12">
        <f ca="1">(IFERROR(INDEX(Raw!$C$1:$EE$33,MATCH($C39,Raw!$C$1:$C$33,0),MATCH(EE$36,Raw!$C$1:$EE$1,0)),"-"))</f>
        <v>0.61823875134047379</v>
      </c>
    </row>
    <row r="40" spans="2:135" x14ac:dyDescent="0.4">
      <c r="B40" s="8" t="s">
        <v>81</v>
      </c>
      <c r="C40" s="37" t="s">
        <v>13</v>
      </c>
      <c r="D40" s="12">
        <f ca="1">(IFERROR(INDEX(Raw!$C$1:$EE$33,MATCH($C40,Raw!$C$1:$C$33,0),MATCH(D$36,Raw!$C$1:$EE$1,0)),"-"))</f>
        <v>19</v>
      </c>
      <c r="E40" s="12">
        <f ca="1">(IFERROR(INDEX(Raw!$C$1:$EE$33,MATCH($C40,Raw!$C$1:$C$33,0),MATCH(E$36,Raw!$C$1:$EE$1,0)),"-"))</f>
        <v>37</v>
      </c>
      <c r="F40" s="12">
        <f ca="1">(IFERROR(INDEX(Raw!$C$1:$EE$33,MATCH($C40,Raw!$C$1:$C$33,0),MATCH(F$36,Raw!$C$1:$EE$1,0)),"-"))</f>
        <v>86</v>
      </c>
      <c r="G40" s="12">
        <f ca="1">(IFERROR(INDEX(Raw!$C$1:$EE$33,MATCH($C40,Raw!$C$1:$C$33,0),MATCH(G$36,Raw!$C$1:$EE$1,0)),"-"))</f>
        <v>55</v>
      </c>
      <c r="H40" s="12">
        <f ca="1">(IFERROR(INDEX(Raw!$C$1:$EE$33,MATCH($C40,Raw!$C$1:$C$33,0),MATCH(H$36,Raw!$C$1:$EE$1,0)),"-"))</f>
        <v>64</v>
      </c>
      <c r="I40" s="12">
        <f ca="1">(IFERROR(INDEX(Raw!$C$1:$EE$33,MATCH($C40,Raw!$C$1:$C$33,0),MATCH(I$36,Raw!$C$1:$EE$1,0)),"-"))</f>
        <v>75</v>
      </c>
      <c r="J40" s="12">
        <f ca="1">(IFERROR(INDEX(Raw!$C$1:$EE$33,MATCH($C40,Raw!$C$1:$C$33,0),MATCH(J$36,Raw!$C$1:$EE$1,0)),"-"))</f>
        <v>46</v>
      </c>
      <c r="K40" s="12">
        <f ca="1">(IFERROR(INDEX(Raw!$C$1:$EE$33,MATCH($C40,Raw!$C$1:$C$33,0),MATCH(K$36,Raw!$C$1:$EE$1,0)),"-"))</f>
        <v>15</v>
      </c>
      <c r="L40" s="12">
        <f ca="1">(IFERROR(INDEX(Raw!$C$1:$EE$33,MATCH($C40,Raw!$C$1:$C$33,0),MATCH(L$36,Raw!$C$1:$EE$1,0)),"-"))</f>
        <v>11</v>
      </c>
      <c r="M40" s="12">
        <f ca="1">(IFERROR(INDEX(Raw!$C$1:$EE$33,MATCH($C40,Raw!$C$1:$C$33,0),MATCH(M$36,Raw!$C$1:$EE$1,0)),"-"))</f>
        <v>75</v>
      </c>
      <c r="N40" s="12">
        <f ca="1">(IFERROR(INDEX(Raw!$C$1:$EE$33,MATCH($C40,Raw!$C$1:$C$33,0),MATCH(N$36,Raw!$C$1:$EE$1,0)),"-"))</f>
        <v>18</v>
      </c>
      <c r="O40" s="12">
        <f ca="1">(IFERROR(INDEX(Raw!$C$1:$EE$33,MATCH($C40,Raw!$C$1:$C$33,0),MATCH(O$36,Raw!$C$1:$EE$1,0)),"-"))</f>
        <v>79</v>
      </c>
      <c r="P40" s="12">
        <f ca="1">(IFERROR(INDEX(Raw!$C$1:$EE$33,MATCH($C40,Raw!$C$1:$C$33,0),MATCH(P$36,Raw!$C$1:$EE$1,0)),"-"))</f>
        <v>27</v>
      </c>
      <c r="Q40" s="12">
        <f ca="1">(IFERROR(INDEX(Raw!$C$1:$EE$33,MATCH($C40,Raw!$C$1:$C$33,0),MATCH(Q$36,Raw!$C$1:$EE$1,0)),"-"))</f>
        <v>19</v>
      </c>
      <c r="R40" s="12">
        <f ca="1">(IFERROR(INDEX(Raw!$C$1:$EE$33,MATCH($C40,Raw!$C$1:$C$33,0),MATCH(R$36,Raw!$C$1:$EE$1,0)),"-"))</f>
        <v>11</v>
      </c>
      <c r="S40" s="12">
        <f ca="1">(IFERROR(INDEX(Raw!$C$1:$EE$33,MATCH($C40,Raw!$C$1:$C$33,0),MATCH(S$36,Raw!$C$1:$EE$1,0)),"-"))</f>
        <v>77</v>
      </c>
      <c r="T40" s="12">
        <f ca="1">(IFERROR(INDEX(Raw!$C$1:$EE$33,MATCH($C40,Raw!$C$1:$C$33,0),MATCH(T$36,Raw!$C$1:$EE$1,0)),"-"))</f>
        <v>92</v>
      </c>
      <c r="U40" s="12">
        <f ca="1">(IFERROR(INDEX(Raw!$C$1:$EE$33,MATCH($C40,Raw!$C$1:$C$33,0),MATCH(U$36,Raw!$C$1:$EE$1,0)),"-"))</f>
        <v>65</v>
      </c>
      <c r="V40" s="12">
        <f ca="1">(IFERROR(INDEX(Raw!$C$1:$EE$33,MATCH($C40,Raw!$C$1:$C$33,0),MATCH(V$36,Raw!$C$1:$EE$1,0)),"-"))</f>
        <v>81</v>
      </c>
      <c r="W40" s="12">
        <f ca="1">(IFERROR(INDEX(Raw!$C$1:$EE$33,MATCH($C40,Raw!$C$1:$C$33,0),MATCH(W$36,Raw!$C$1:$EE$1,0)),"-"))</f>
        <v>8</v>
      </c>
      <c r="X40" s="12">
        <f ca="1">(IFERROR(INDEX(Raw!$C$1:$EE$33,MATCH($C40,Raw!$C$1:$C$33,0),MATCH(X$36,Raw!$C$1:$EE$1,0)),"-"))</f>
        <v>80</v>
      </c>
      <c r="Y40" s="12">
        <f ca="1">(IFERROR(INDEX(Raw!$C$1:$EE$33,MATCH($C40,Raw!$C$1:$C$33,0),MATCH(Y$36,Raw!$C$1:$EE$1,0)),"-"))</f>
        <v>71</v>
      </c>
      <c r="Z40" s="12">
        <f ca="1">(IFERROR(INDEX(Raw!$C$1:$EE$33,MATCH($C40,Raw!$C$1:$C$33,0),MATCH(Z$36,Raw!$C$1:$EE$1,0)),"-"))</f>
        <v>99</v>
      </c>
      <c r="AA40" s="12">
        <f ca="1">(IFERROR(INDEX(Raw!$C$1:$EE$33,MATCH($C40,Raw!$C$1:$C$33,0),MATCH(AA$36,Raw!$C$1:$EE$1,0)),"-"))</f>
        <v>68</v>
      </c>
      <c r="AB40" s="12">
        <f ca="1">(IFERROR(INDEX(Raw!$C$1:$EE$33,MATCH($C40,Raw!$C$1:$C$33,0),MATCH(AB$36,Raw!$C$1:$EE$1,0)),"-"))</f>
        <v>40</v>
      </c>
      <c r="AC40" s="12">
        <f ca="1">(IFERROR(INDEX(Raw!$C$1:$EE$33,MATCH($C40,Raw!$C$1:$C$33,0),MATCH(AC$36,Raw!$C$1:$EE$1,0)),"-"))</f>
        <v>76</v>
      </c>
      <c r="AD40" s="12">
        <f ca="1">(IFERROR(INDEX(Raw!$C$1:$EE$33,MATCH($C40,Raw!$C$1:$C$33,0),MATCH(AD$36,Raw!$C$1:$EE$1,0)),"-"))</f>
        <v>33</v>
      </c>
      <c r="AE40" s="12">
        <f ca="1">(IFERROR(INDEX(Raw!$C$1:$EE$33,MATCH($C40,Raw!$C$1:$C$33,0),MATCH(AE$36,Raw!$C$1:$EE$1,0)),"-"))</f>
        <v>39</v>
      </c>
      <c r="AF40" s="12">
        <f ca="1">(IFERROR(INDEX(Raw!$C$1:$EE$33,MATCH($C40,Raw!$C$1:$C$33,0),MATCH(AF$36,Raw!$C$1:$EE$1,0)),"-"))</f>
        <v>70</v>
      </c>
      <c r="AG40" s="12">
        <f ca="1">(IFERROR(INDEX(Raw!$C$1:$EE$33,MATCH($C40,Raw!$C$1:$C$33,0),MATCH(AG$36,Raw!$C$1:$EE$1,0)),"-"))</f>
        <v>42</v>
      </c>
      <c r="AH40" s="12">
        <f ca="1">(IFERROR(INDEX(Raw!$C$1:$EE$33,MATCH($C40,Raw!$C$1:$C$33,0),MATCH(AH$36,Raw!$C$1:$EE$1,0)),"-"))</f>
        <v>12</v>
      </c>
      <c r="AI40" s="12">
        <f ca="1">(IFERROR(INDEX(Raw!$C$1:$EE$33,MATCH($C40,Raw!$C$1:$C$33,0),MATCH(AI$36,Raw!$C$1:$EE$1,0)),"-"))</f>
        <v>63</v>
      </c>
      <c r="AJ40" s="12">
        <f ca="1">(IFERROR(INDEX(Raw!$C$1:$EE$33,MATCH($C40,Raw!$C$1:$C$33,0),MATCH(AJ$36,Raw!$C$1:$EE$1,0)),"-"))</f>
        <v>100</v>
      </c>
      <c r="AK40" s="12">
        <f ca="1">(IFERROR(INDEX(Raw!$C$1:$EE$33,MATCH($C40,Raw!$C$1:$C$33,0),MATCH(AK$36,Raw!$C$1:$EE$1,0)),"-"))</f>
        <v>40</v>
      </c>
      <c r="AL40" s="12">
        <f ca="1">(IFERROR(INDEX(Raw!$C$1:$EE$33,MATCH($C40,Raw!$C$1:$C$33,0),MATCH(AL$36,Raw!$C$1:$EE$1,0)),"-"))</f>
        <v>71</v>
      </c>
      <c r="AM40" s="12">
        <f ca="1">(IFERROR(INDEX(Raw!$C$1:$EE$33,MATCH($C40,Raw!$C$1:$C$33,0),MATCH(AM$36,Raw!$C$1:$EE$1,0)),"-"))</f>
        <v>50</v>
      </c>
      <c r="AN40" s="12">
        <f ca="1">(IFERROR(INDEX(Raw!$C$1:$EE$33,MATCH($C40,Raw!$C$1:$C$33,0),MATCH(AN$36,Raw!$C$1:$EE$1,0)),"-"))</f>
        <v>98</v>
      </c>
      <c r="AO40" s="12">
        <f ca="1">(IFERROR(INDEX(Raw!$C$1:$EE$33,MATCH($C40,Raw!$C$1:$C$33,0),MATCH(AO$36,Raw!$C$1:$EE$1,0)),"-"))</f>
        <v>83</v>
      </c>
      <c r="AP40" s="12">
        <f ca="1">(IFERROR(INDEX(Raw!$C$1:$EE$33,MATCH($C40,Raw!$C$1:$C$33,0),MATCH(AP$36,Raw!$C$1:$EE$1,0)),"-"))</f>
        <v>31</v>
      </c>
      <c r="AQ40" s="12">
        <f ca="1">(IFERROR(INDEX(Raw!$C$1:$EE$33,MATCH($C40,Raw!$C$1:$C$33,0),MATCH(AQ$36,Raw!$C$1:$EE$1,0)),"-"))</f>
        <v>21</v>
      </c>
      <c r="AR40" s="12">
        <f ca="1">(IFERROR(INDEX(Raw!$C$1:$EE$33,MATCH($C40,Raw!$C$1:$C$33,0),MATCH(AR$36,Raw!$C$1:$EE$1,0)),"-"))</f>
        <v>61</v>
      </c>
      <c r="AS40" s="12">
        <f ca="1">(IFERROR(INDEX(Raw!$C$1:$EE$33,MATCH($C40,Raw!$C$1:$C$33,0),MATCH(AS$36,Raw!$C$1:$EE$1,0)),"-"))</f>
        <v>33</v>
      </c>
      <c r="AT40" s="12">
        <f ca="1">(IFERROR(INDEX(Raw!$C$1:$EE$33,MATCH($C40,Raw!$C$1:$C$33,0),MATCH(AT$36,Raw!$C$1:$EE$1,0)),"-"))</f>
        <v>92</v>
      </c>
      <c r="AU40" s="12">
        <f ca="1">(IFERROR(INDEX(Raw!$C$1:$EE$33,MATCH($C40,Raw!$C$1:$C$33,0),MATCH(AU$36,Raw!$C$1:$EE$1,0)),"-"))</f>
        <v>41</v>
      </c>
      <c r="AV40" s="12">
        <f ca="1">(IFERROR(INDEX(Raw!$C$1:$EE$33,MATCH($C40,Raw!$C$1:$C$33,0),MATCH(AV$36,Raw!$C$1:$EE$1,0)),"-"))</f>
        <v>2</v>
      </c>
      <c r="AW40" s="12">
        <f ca="1">(IFERROR(INDEX(Raw!$C$1:$EE$33,MATCH($C40,Raw!$C$1:$C$33,0),MATCH(AW$36,Raw!$C$1:$EE$1,0)),"-"))</f>
        <v>15</v>
      </c>
      <c r="AX40" s="12">
        <f ca="1">(IFERROR(INDEX(Raw!$C$1:$EE$33,MATCH($C40,Raw!$C$1:$C$33,0),MATCH(AX$36,Raw!$C$1:$EE$1,0)),"-"))</f>
        <v>26</v>
      </c>
      <c r="AY40" s="12">
        <f ca="1">(IFERROR(INDEX(Raw!$C$1:$EE$33,MATCH($C40,Raw!$C$1:$C$33,0),MATCH(AY$36,Raw!$C$1:$EE$1,0)),"-"))</f>
        <v>39</v>
      </c>
      <c r="AZ40" s="12">
        <f ca="1">(IFERROR(INDEX(Raw!$C$1:$EE$33,MATCH($C40,Raw!$C$1:$C$33,0),MATCH(AZ$36,Raw!$C$1:$EE$1,0)),"-"))</f>
        <v>27</v>
      </c>
      <c r="BA40" s="12">
        <f ca="1">(IFERROR(INDEX(Raw!$C$1:$EE$33,MATCH($C40,Raw!$C$1:$C$33,0),MATCH(BA$36,Raw!$C$1:$EE$1,0)),"-"))</f>
        <v>59</v>
      </c>
      <c r="BB40" s="12">
        <f ca="1">(IFERROR(INDEX(Raw!$C$1:$EE$33,MATCH($C40,Raw!$C$1:$C$33,0),MATCH(BB$36,Raw!$C$1:$EE$1,0)),"-"))</f>
        <v>96</v>
      </c>
      <c r="BC40" s="12">
        <f ca="1">(IFERROR(INDEX(Raw!$C$1:$EE$33,MATCH($C40,Raw!$C$1:$C$33,0),MATCH(BC$36,Raw!$C$1:$EE$1,0)),"-"))</f>
        <v>96</v>
      </c>
      <c r="BD40" s="12">
        <f ca="1">(IFERROR(INDEX(Raw!$C$1:$EE$33,MATCH($C40,Raw!$C$1:$C$33,0),MATCH(BD$36,Raw!$C$1:$EE$1,0)),"-"))</f>
        <v>33</v>
      </c>
      <c r="BE40" s="12">
        <f ca="1">(IFERROR(INDEX(Raw!$C$1:$EE$33,MATCH($C40,Raw!$C$1:$C$33,0),MATCH(BE$36,Raw!$C$1:$EE$1,0)),"-"))</f>
        <v>96</v>
      </c>
      <c r="BF40" s="12">
        <f ca="1">(IFERROR(INDEX(Raw!$C$1:$EE$33,MATCH($C40,Raw!$C$1:$C$33,0),MATCH(BF$36,Raw!$C$1:$EE$1,0)),"-"))</f>
        <v>35</v>
      </c>
      <c r="BG40" s="12">
        <f ca="1">(IFERROR(INDEX(Raw!$C$1:$EE$33,MATCH($C40,Raw!$C$1:$C$33,0),MATCH(BG$36,Raw!$C$1:$EE$1,0)),"-"))</f>
        <v>49</v>
      </c>
      <c r="BH40" s="12">
        <f ca="1">(IFERROR(INDEX(Raw!$C$1:$EE$33,MATCH($C40,Raw!$C$1:$C$33,0),MATCH(BH$36,Raw!$C$1:$EE$1,0)),"-"))</f>
        <v>10</v>
      </c>
      <c r="BI40" s="12">
        <f ca="1">(IFERROR(INDEX(Raw!$C$1:$EE$33,MATCH($C40,Raw!$C$1:$C$33,0),MATCH(BI$36,Raw!$C$1:$EE$1,0)),"-"))</f>
        <v>55</v>
      </c>
      <c r="BJ40" s="12">
        <f ca="1">(IFERROR(INDEX(Raw!$C$1:$EE$33,MATCH($C40,Raw!$C$1:$C$33,0),MATCH(BJ$36,Raw!$C$1:$EE$1,0)),"-"))</f>
        <v>50</v>
      </c>
      <c r="BK40" s="12">
        <f ca="1">(IFERROR(INDEX(Raw!$C$1:$EE$33,MATCH($C40,Raw!$C$1:$C$33,0),MATCH(BK$36,Raw!$C$1:$EE$1,0)),"-"))</f>
        <v>3</v>
      </c>
      <c r="BL40" s="12">
        <f ca="1">(IFERROR(INDEX(Raw!$C$1:$EE$33,MATCH($C40,Raw!$C$1:$C$33,0),MATCH(BL$36,Raw!$C$1:$EE$1,0)),"-"))</f>
        <v>22</v>
      </c>
      <c r="BM40" s="12">
        <f ca="1">(IFERROR(INDEX(Raw!$C$1:$EE$33,MATCH($C40,Raw!$C$1:$C$33,0),MATCH(BM$36,Raw!$C$1:$EE$1,0)),"-"))</f>
        <v>17</v>
      </c>
      <c r="BN40" s="12">
        <f ca="1">(IFERROR(INDEX(Raw!$C$1:$EE$33,MATCH($C40,Raw!$C$1:$C$33,0),MATCH(BN$36,Raw!$C$1:$EE$1,0)),"-"))</f>
        <v>44</v>
      </c>
      <c r="BO40" s="12">
        <f ca="1">(IFERROR(INDEX(Raw!$C$1:$EE$33,MATCH($C40,Raw!$C$1:$C$33,0),MATCH(BO$36,Raw!$C$1:$EE$1,0)),"-"))</f>
        <v>77</v>
      </c>
      <c r="BP40" s="12">
        <f ca="1">(IFERROR(INDEX(Raw!$C$1:$EE$33,MATCH($C40,Raw!$C$1:$C$33,0),MATCH(BP$36,Raw!$C$1:$EE$1,0)),"-"))</f>
        <v>57</v>
      </c>
      <c r="BQ40" s="12">
        <f ca="1">(IFERROR(INDEX(Raw!$C$1:$EE$33,MATCH($C40,Raw!$C$1:$C$33,0),MATCH(BQ$36,Raw!$C$1:$EE$1,0)),"-"))</f>
        <v>1</v>
      </c>
      <c r="BR40" s="12">
        <f ca="1">(IFERROR(INDEX(Raw!$C$1:$EE$33,MATCH($C40,Raw!$C$1:$C$33,0),MATCH(BR$36,Raw!$C$1:$EE$1,0)),"-"))</f>
        <v>82</v>
      </c>
      <c r="BS40" s="12">
        <f ca="1">(IFERROR(INDEX(Raw!$C$1:$EE$33,MATCH($C40,Raw!$C$1:$C$33,0),MATCH(BS$36,Raw!$C$1:$EE$1,0)),"-"))</f>
        <v>42</v>
      </c>
      <c r="BT40" s="12">
        <f ca="1">(IFERROR(INDEX(Raw!$C$1:$EE$33,MATCH($C40,Raw!$C$1:$C$33,0),MATCH(BT$36,Raw!$C$1:$EE$1,0)),"-"))</f>
        <v>63</v>
      </c>
      <c r="BU40" s="12">
        <f ca="1">(IFERROR(INDEX(Raw!$C$1:$EE$33,MATCH($C40,Raw!$C$1:$C$33,0),MATCH(BU$36,Raw!$C$1:$EE$1,0)),"-"))</f>
        <v>50</v>
      </c>
      <c r="BV40" s="12">
        <f ca="1">(IFERROR(INDEX(Raw!$C$1:$EE$33,MATCH($C40,Raw!$C$1:$C$33,0),MATCH(BV$36,Raw!$C$1:$EE$1,0)),"-"))</f>
        <v>83</v>
      </c>
      <c r="BW40" s="12">
        <f ca="1">(IFERROR(INDEX(Raw!$C$1:$EE$33,MATCH($C40,Raw!$C$1:$C$33,0),MATCH(BW$36,Raw!$C$1:$EE$1,0)),"-"))</f>
        <v>6</v>
      </c>
      <c r="BX40" s="12">
        <f ca="1">(IFERROR(INDEX(Raw!$C$1:$EE$33,MATCH($C40,Raw!$C$1:$C$33,0),MATCH(BX$36,Raw!$C$1:$EE$1,0)),"-"))</f>
        <v>56</v>
      </c>
      <c r="BY40" s="12">
        <f ca="1">(IFERROR(INDEX(Raw!$C$1:$EE$33,MATCH($C40,Raw!$C$1:$C$33,0),MATCH(BY$36,Raw!$C$1:$EE$1,0)),"-"))</f>
        <v>54</v>
      </c>
      <c r="BZ40" s="12">
        <f ca="1">(IFERROR(INDEX(Raw!$C$1:$EE$33,MATCH($C40,Raw!$C$1:$C$33,0),MATCH(BZ$36,Raw!$C$1:$EE$1,0)),"-"))</f>
        <v>75</v>
      </c>
      <c r="CA40" s="12">
        <f ca="1">(IFERROR(INDEX(Raw!$C$1:$EE$33,MATCH($C40,Raw!$C$1:$C$33,0),MATCH(CA$36,Raw!$C$1:$EE$1,0)),"-"))</f>
        <v>91</v>
      </c>
      <c r="CB40" s="12">
        <f ca="1">(IFERROR(INDEX(Raw!$C$1:$EE$33,MATCH($C40,Raw!$C$1:$C$33,0),MATCH(CB$36,Raw!$C$1:$EE$1,0)),"-"))</f>
        <v>96</v>
      </c>
      <c r="CC40" s="12">
        <f ca="1">(IFERROR(INDEX(Raw!$C$1:$EE$33,MATCH($C40,Raw!$C$1:$C$33,0),MATCH(CC$36,Raw!$C$1:$EE$1,0)),"-"))</f>
        <v>84</v>
      </c>
      <c r="CD40" s="12">
        <f ca="1">(IFERROR(INDEX(Raw!$C$1:$EE$33,MATCH($C40,Raw!$C$1:$C$33,0),MATCH(CD$36,Raw!$C$1:$EE$1,0)),"-"))</f>
        <v>61</v>
      </c>
      <c r="CE40" s="12">
        <f ca="1">(IFERROR(INDEX(Raw!$C$1:$EE$33,MATCH($C40,Raw!$C$1:$C$33,0),MATCH(CE$36,Raw!$C$1:$EE$1,0)),"-"))</f>
        <v>42</v>
      </c>
      <c r="CF40" s="12">
        <f ca="1">(IFERROR(INDEX(Raw!$C$1:$EE$33,MATCH($C40,Raw!$C$1:$C$33,0),MATCH(CF$36,Raw!$C$1:$EE$1,0)),"-"))</f>
        <v>64</v>
      </c>
      <c r="CG40" s="12">
        <f ca="1">(IFERROR(INDEX(Raw!$C$1:$EE$33,MATCH($C40,Raw!$C$1:$C$33,0),MATCH(CG$36,Raw!$C$1:$EE$1,0)),"-"))</f>
        <v>81</v>
      </c>
      <c r="CH40" s="12">
        <f ca="1">(IFERROR(INDEX(Raw!$C$1:$EE$33,MATCH($C40,Raw!$C$1:$C$33,0),MATCH(CH$36,Raw!$C$1:$EE$1,0)),"-"))</f>
        <v>100</v>
      </c>
      <c r="CI40" s="12">
        <f ca="1">(IFERROR(INDEX(Raw!$C$1:$EE$33,MATCH($C40,Raw!$C$1:$C$33,0),MATCH(CI$36,Raw!$C$1:$EE$1,0)),"-"))</f>
        <v>68</v>
      </c>
      <c r="CJ40" s="12">
        <f ca="1">(IFERROR(INDEX(Raw!$C$1:$EE$33,MATCH($C40,Raw!$C$1:$C$33,0),MATCH(CJ$36,Raw!$C$1:$EE$1,0)),"-"))</f>
        <v>60</v>
      </c>
      <c r="CK40" s="12">
        <f ca="1">(IFERROR(INDEX(Raw!$C$1:$EE$33,MATCH($C40,Raw!$C$1:$C$33,0),MATCH(CK$36,Raw!$C$1:$EE$1,0)),"-"))</f>
        <v>47</v>
      </c>
      <c r="CL40" s="12">
        <f ca="1">(IFERROR(INDEX(Raw!$C$1:$EE$33,MATCH($C40,Raw!$C$1:$C$33,0),MATCH(CL$36,Raw!$C$1:$EE$1,0)),"-"))</f>
        <v>50</v>
      </c>
      <c r="CM40" s="12">
        <f ca="1">(IFERROR(INDEX(Raw!$C$1:$EE$33,MATCH($C40,Raw!$C$1:$C$33,0),MATCH(CM$36,Raw!$C$1:$EE$1,0)),"-"))</f>
        <v>31</v>
      </c>
      <c r="CN40" s="12">
        <f ca="1">(IFERROR(INDEX(Raw!$C$1:$EE$33,MATCH($C40,Raw!$C$1:$C$33,0),MATCH(CN$36,Raw!$C$1:$EE$1,0)),"-"))</f>
        <v>34</v>
      </c>
      <c r="CO40" s="12">
        <f ca="1">(IFERROR(INDEX(Raw!$C$1:$EE$33,MATCH($C40,Raw!$C$1:$C$33,0),MATCH(CO$36,Raw!$C$1:$EE$1,0)),"-"))</f>
        <v>66</v>
      </c>
      <c r="CP40" s="12">
        <f ca="1">(IFERROR(INDEX(Raw!$C$1:$EE$33,MATCH($C40,Raw!$C$1:$C$33,0),MATCH(CP$36,Raw!$C$1:$EE$1,0)),"-"))</f>
        <v>12</v>
      </c>
      <c r="CQ40" s="12">
        <f ca="1">(IFERROR(INDEX(Raw!$C$1:$EE$33,MATCH($C40,Raw!$C$1:$C$33,0),MATCH(CQ$36,Raw!$C$1:$EE$1,0)),"-"))</f>
        <v>89</v>
      </c>
      <c r="CR40" s="12">
        <f ca="1">(IFERROR(INDEX(Raw!$C$1:$EE$33,MATCH($C40,Raw!$C$1:$C$33,0),MATCH(CR$36,Raw!$C$1:$EE$1,0)),"-"))</f>
        <v>46</v>
      </c>
      <c r="CS40" s="12">
        <f ca="1">(IFERROR(INDEX(Raw!$C$1:$EE$33,MATCH($C40,Raw!$C$1:$C$33,0),MATCH(CS$36,Raw!$C$1:$EE$1,0)),"-"))</f>
        <v>75</v>
      </c>
      <c r="CT40" s="12">
        <f ca="1">(IFERROR(INDEX(Raw!$C$1:$EE$33,MATCH($C40,Raw!$C$1:$C$33,0),MATCH(CT$36,Raw!$C$1:$EE$1,0)),"-"))</f>
        <v>8</v>
      </c>
      <c r="CU40" s="12">
        <f ca="1">(IFERROR(INDEX(Raw!$C$1:$EE$33,MATCH($C40,Raw!$C$1:$C$33,0),MATCH(CU$36,Raw!$C$1:$EE$1,0)),"-"))</f>
        <v>42</v>
      </c>
      <c r="CV40" s="12">
        <f ca="1">(IFERROR(INDEX(Raw!$C$1:$EE$33,MATCH($C40,Raw!$C$1:$C$33,0),MATCH(CV$36,Raw!$C$1:$EE$1,0)),"-"))</f>
        <v>51</v>
      </c>
      <c r="CW40" s="12">
        <f ca="1">(IFERROR(INDEX(Raw!$C$1:$EE$33,MATCH($C40,Raw!$C$1:$C$33,0),MATCH(CW$36,Raw!$C$1:$EE$1,0)),"-"))</f>
        <v>88</v>
      </c>
      <c r="CX40" s="12">
        <f ca="1">(IFERROR(INDEX(Raw!$C$1:$EE$33,MATCH($C40,Raw!$C$1:$C$33,0),MATCH(CX$36,Raw!$C$1:$EE$1,0)),"-"))</f>
        <v>85</v>
      </c>
      <c r="CY40" s="12">
        <f ca="1">(IFERROR(INDEX(Raw!$C$1:$EE$33,MATCH($C40,Raw!$C$1:$C$33,0),MATCH(CY$36,Raw!$C$1:$EE$1,0)),"-"))</f>
        <v>74</v>
      </c>
      <c r="CZ40" s="12">
        <f ca="1">(IFERROR(INDEX(Raw!$C$1:$EE$33,MATCH($C40,Raw!$C$1:$C$33,0),MATCH(CZ$36,Raw!$C$1:$EE$1,0)),"-"))</f>
        <v>78</v>
      </c>
      <c r="DA40" s="12">
        <f ca="1">(IFERROR(INDEX(Raw!$C$1:$EE$33,MATCH($C40,Raw!$C$1:$C$33,0),MATCH(DA$36,Raw!$C$1:$EE$1,0)),"-"))</f>
        <v>16</v>
      </c>
      <c r="DB40" s="12">
        <f ca="1">(IFERROR(INDEX(Raw!$C$1:$EE$33,MATCH($C40,Raw!$C$1:$C$33,0),MATCH(DB$36,Raw!$C$1:$EE$1,0)),"-"))</f>
        <v>86</v>
      </c>
      <c r="DC40" s="12">
        <f ca="1">(IFERROR(INDEX(Raw!$C$1:$EE$33,MATCH($C40,Raw!$C$1:$C$33,0),MATCH(DC$36,Raw!$C$1:$EE$1,0)),"-"))</f>
        <v>5</v>
      </c>
      <c r="DD40" s="12">
        <f ca="1">(IFERROR(INDEX(Raw!$C$1:$EE$33,MATCH($C40,Raw!$C$1:$C$33,0),MATCH(DD$36,Raw!$C$1:$EE$1,0)),"-"))</f>
        <v>61</v>
      </c>
      <c r="DE40" s="12">
        <f ca="1">(IFERROR(INDEX(Raw!$C$1:$EE$33,MATCH($C40,Raw!$C$1:$C$33,0),MATCH(DE$36,Raw!$C$1:$EE$1,0)),"-"))</f>
        <v>42</v>
      </c>
      <c r="DF40" s="12">
        <f ca="1">(IFERROR(INDEX(Raw!$C$1:$EE$33,MATCH($C40,Raw!$C$1:$C$33,0),MATCH(DF$36,Raw!$C$1:$EE$1,0)),"-"))</f>
        <v>47</v>
      </c>
      <c r="DG40" s="12">
        <f ca="1">(IFERROR(INDEX(Raw!$C$1:$EE$33,MATCH($C40,Raw!$C$1:$C$33,0),MATCH(DG$36,Raw!$C$1:$EE$1,0)),"-"))</f>
        <v>87</v>
      </c>
      <c r="DH40" s="12">
        <f ca="1">(IFERROR(INDEX(Raw!$C$1:$EE$33,MATCH($C40,Raw!$C$1:$C$33,0),MATCH(DH$36,Raw!$C$1:$EE$1,0)),"-"))</f>
        <v>36</v>
      </c>
      <c r="DI40" s="12">
        <f ca="1">(IFERROR(INDEX(Raw!$C$1:$EE$33,MATCH($C40,Raw!$C$1:$C$33,0),MATCH(DI$36,Raw!$C$1:$EE$1,0)),"-"))</f>
        <v>26</v>
      </c>
      <c r="DJ40" s="12">
        <f ca="1">(IFERROR(INDEX(Raw!$C$1:$EE$33,MATCH($C40,Raw!$C$1:$C$33,0),MATCH(DJ$36,Raw!$C$1:$EE$1,0)),"-"))</f>
        <v>40</v>
      </c>
      <c r="DK40" s="12">
        <f ca="1">(IFERROR(INDEX(Raw!$C$1:$EE$33,MATCH($C40,Raw!$C$1:$C$33,0),MATCH(DK$36,Raw!$C$1:$EE$1,0)),"-"))</f>
        <v>55</v>
      </c>
      <c r="DL40" s="12">
        <f ca="1">(IFERROR(INDEX(Raw!$C$1:$EE$33,MATCH($C40,Raw!$C$1:$C$33,0),MATCH(DL$36,Raw!$C$1:$EE$1,0)),"-"))</f>
        <v>18</v>
      </c>
      <c r="DM40" s="12">
        <f ca="1">(IFERROR(INDEX(Raw!$C$1:$EE$33,MATCH($C40,Raw!$C$1:$C$33,0),MATCH(DM$36,Raw!$C$1:$EE$1,0)),"-"))</f>
        <v>43</v>
      </c>
      <c r="DN40" s="12">
        <f ca="1">(IFERROR(INDEX(Raw!$C$1:$EE$33,MATCH($C40,Raw!$C$1:$C$33,0),MATCH(DN$36,Raw!$C$1:$EE$1,0)),"-"))</f>
        <v>57</v>
      </c>
      <c r="DO40" s="12">
        <f ca="1">(IFERROR(INDEX(Raw!$C$1:$EE$33,MATCH($C40,Raw!$C$1:$C$33,0),MATCH(DO$36,Raw!$C$1:$EE$1,0)),"-"))</f>
        <v>70</v>
      </c>
      <c r="DP40" s="12">
        <f ca="1">(IFERROR(INDEX(Raw!$C$1:$EE$33,MATCH($C40,Raw!$C$1:$C$33,0),MATCH(DP$36,Raw!$C$1:$EE$1,0)),"-"))</f>
        <v>9</v>
      </c>
      <c r="DQ40" s="12">
        <f ca="1">(IFERROR(INDEX(Raw!$C$1:$EE$33,MATCH($C40,Raw!$C$1:$C$33,0),MATCH(DQ$36,Raw!$C$1:$EE$1,0)),"-"))</f>
        <v>28</v>
      </c>
      <c r="DR40" s="12">
        <f ca="1">(IFERROR(INDEX(Raw!$C$1:$EE$33,MATCH($C40,Raw!$C$1:$C$33,0),MATCH(DR$36,Raw!$C$1:$EE$1,0)),"-"))</f>
        <v>42</v>
      </c>
      <c r="DS40" s="12">
        <f ca="1">(IFERROR(INDEX(Raw!$C$1:$EE$33,MATCH($C40,Raw!$C$1:$C$33,0),MATCH(DS$36,Raw!$C$1:$EE$1,0)),"-"))</f>
        <v>48</v>
      </c>
      <c r="DT40" s="12">
        <f ca="1">(IFERROR(INDEX(Raw!$C$1:$EE$33,MATCH($C40,Raw!$C$1:$C$33,0),MATCH(DT$36,Raw!$C$1:$EE$1,0)),"-"))</f>
        <v>24</v>
      </c>
      <c r="DU40" s="12">
        <f ca="1">(IFERROR(INDEX(Raw!$C$1:$EE$33,MATCH($C40,Raw!$C$1:$C$33,0),MATCH(DU$36,Raw!$C$1:$EE$1,0)),"-"))</f>
        <v>64</v>
      </c>
      <c r="DV40" s="12">
        <f ca="1">(IFERROR(INDEX(Raw!$C$1:$EE$33,MATCH($C40,Raw!$C$1:$C$33,0),MATCH(DV$36,Raw!$C$1:$EE$1,0)),"-"))</f>
        <v>92</v>
      </c>
      <c r="DW40" s="12">
        <f ca="1">(IFERROR(INDEX(Raw!$C$1:$EE$33,MATCH($C40,Raw!$C$1:$C$33,0),MATCH(DW$36,Raw!$C$1:$EE$1,0)),"-"))</f>
        <v>64</v>
      </c>
      <c r="DX40" s="12">
        <f ca="1">(IFERROR(INDEX(Raw!$C$1:$EE$33,MATCH($C40,Raw!$C$1:$C$33,0),MATCH(DX$36,Raw!$C$1:$EE$1,0)),"-"))</f>
        <v>69</v>
      </c>
      <c r="DY40" s="12">
        <f ca="1">(IFERROR(INDEX(Raw!$C$1:$EE$33,MATCH($C40,Raw!$C$1:$C$33,0),MATCH(DY$36,Raw!$C$1:$EE$1,0)),"-"))</f>
        <v>42</v>
      </c>
      <c r="DZ40" s="12">
        <f ca="1">(IFERROR(INDEX(Raw!$C$1:$EE$33,MATCH($C40,Raw!$C$1:$C$33,0),MATCH(DZ$36,Raw!$C$1:$EE$1,0)),"-"))</f>
        <v>29</v>
      </c>
      <c r="EA40" s="12">
        <f ca="1">(IFERROR(INDEX(Raw!$C$1:$EE$33,MATCH($C40,Raw!$C$1:$C$33,0),MATCH(EA$36,Raw!$C$1:$EE$1,0)),"-"))</f>
        <v>34</v>
      </c>
      <c r="EB40" s="12">
        <f ca="1">(IFERROR(INDEX(Raw!$C$1:$EE$33,MATCH($C40,Raw!$C$1:$C$33,0),MATCH(EB$36,Raw!$C$1:$EE$1,0)),"-"))</f>
        <v>18</v>
      </c>
      <c r="EC40" s="12">
        <f ca="1">(IFERROR(INDEX(Raw!$C$1:$EE$33,MATCH($C40,Raw!$C$1:$C$33,0),MATCH(EC$36,Raw!$C$1:$EE$1,0)),"-"))</f>
        <v>97</v>
      </c>
      <c r="ED40" s="12">
        <f ca="1">(IFERROR(INDEX(Raw!$C$1:$EE$33,MATCH($C40,Raw!$C$1:$C$33,0),MATCH(ED$36,Raw!$C$1:$EE$1,0)),"-"))</f>
        <v>17</v>
      </c>
      <c r="EE40" s="12">
        <f ca="1">(IFERROR(INDEX(Raw!$C$1:$EE$33,MATCH($C40,Raw!$C$1:$C$33,0),MATCH(EE$36,Raw!$C$1:$EE$1,0)),"-"))</f>
        <v>88</v>
      </c>
    </row>
    <row r="41" spans="2:135" x14ac:dyDescent="0.4">
      <c r="B41" s="8" t="s">
        <v>81</v>
      </c>
      <c r="C41" s="37" t="s">
        <v>36</v>
      </c>
      <c r="D41" s="12">
        <f ca="1">(IFERROR(INDEX(Raw!$C$1:$EE$33,MATCH($C41,Raw!$C$1:$C$33,0),MATCH(D$36,Raw!$C$1:$EE$1,0)),"-"))</f>
        <v>42</v>
      </c>
      <c r="E41" s="12">
        <f ca="1">(IFERROR(INDEX(Raw!$C$1:$EE$33,MATCH($C41,Raw!$C$1:$C$33,0),MATCH(E$36,Raw!$C$1:$EE$1,0)),"-"))</f>
        <v>26</v>
      </c>
      <c r="F41" s="12">
        <f ca="1">(IFERROR(INDEX(Raw!$C$1:$EE$33,MATCH($C41,Raw!$C$1:$C$33,0),MATCH(F$36,Raw!$C$1:$EE$1,0)),"-"))</f>
        <v>21</v>
      </c>
      <c r="G41" s="12">
        <f ca="1">(IFERROR(INDEX(Raw!$C$1:$EE$33,MATCH($C41,Raw!$C$1:$C$33,0),MATCH(G$36,Raw!$C$1:$EE$1,0)),"-"))</f>
        <v>30</v>
      </c>
      <c r="H41" s="12">
        <f ca="1">(IFERROR(INDEX(Raw!$C$1:$EE$33,MATCH($C41,Raw!$C$1:$C$33,0),MATCH(H$36,Raw!$C$1:$EE$1,0)),"-"))</f>
        <v>27</v>
      </c>
      <c r="I41" s="12">
        <f ca="1">(IFERROR(INDEX(Raw!$C$1:$EE$33,MATCH($C41,Raw!$C$1:$C$33,0),MATCH(I$36,Raw!$C$1:$EE$1,0)),"-"))</f>
        <v>34</v>
      </c>
      <c r="J41" s="12">
        <f ca="1">(IFERROR(INDEX(Raw!$C$1:$EE$33,MATCH($C41,Raw!$C$1:$C$33,0),MATCH(J$36,Raw!$C$1:$EE$1,0)),"-"))</f>
        <v>30</v>
      </c>
      <c r="K41" s="12">
        <f ca="1">(IFERROR(INDEX(Raw!$C$1:$EE$33,MATCH($C41,Raw!$C$1:$C$33,0),MATCH(K$36,Raw!$C$1:$EE$1,0)),"-"))</f>
        <v>26</v>
      </c>
      <c r="L41" s="12">
        <f ca="1">(IFERROR(INDEX(Raw!$C$1:$EE$33,MATCH($C41,Raw!$C$1:$C$33,0),MATCH(L$36,Raw!$C$1:$EE$1,0)),"-"))</f>
        <v>23</v>
      </c>
      <c r="M41" s="12">
        <f ca="1">(IFERROR(INDEX(Raw!$C$1:$EE$33,MATCH($C41,Raw!$C$1:$C$33,0),MATCH(M$36,Raw!$C$1:$EE$1,0)),"-"))</f>
        <v>42</v>
      </c>
      <c r="N41" s="12">
        <f ca="1">(IFERROR(INDEX(Raw!$C$1:$EE$33,MATCH($C41,Raw!$C$1:$C$33,0),MATCH(N$36,Raw!$C$1:$EE$1,0)),"-"))</f>
        <v>36</v>
      </c>
      <c r="O41" s="12">
        <f ca="1">(IFERROR(INDEX(Raw!$C$1:$EE$33,MATCH($C41,Raw!$C$1:$C$33,0),MATCH(O$36,Raw!$C$1:$EE$1,0)),"-"))</f>
        <v>42</v>
      </c>
      <c r="P41" s="12">
        <f ca="1">(IFERROR(INDEX(Raw!$C$1:$EE$33,MATCH($C41,Raw!$C$1:$C$33,0),MATCH(P$36,Raw!$C$1:$EE$1,0)),"-"))</f>
        <v>25</v>
      </c>
      <c r="Q41" s="12">
        <f ca="1">(IFERROR(INDEX(Raw!$C$1:$EE$33,MATCH($C41,Raw!$C$1:$C$33,0),MATCH(Q$36,Raw!$C$1:$EE$1,0)),"-"))</f>
        <v>45</v>
      </c>
      <c r="R41" s="12">
        <f ca="1">(IFERROR(INDEX(Raw!$C$1:$EE$33,MATCH($C41,Raw!$C$1:$C$33,0),MATCH(R$36,Raw!$C$1:$EE$1,0)),"-"))</f>
        <v>34</v>
      </c>
      <c r="S41" s="12">
        <f ca="1">(IFERROR(INDEX(Raw!$C$1:$EE$33,MATCH($C41,Raw!$C$1:$C$33,0),MATCH(S$36,Raw!$C$1:$EE$1,0)),"-"))</f>
        <v>27</v>
      </c>
      <c r="T41" s="12">
        <f ca="1">(IFERROR(INDEX(Raw!$C$1:$EE$33,MATCH($C41,Raw!$C$1:$C$33,0),MATCH(T$36,Raw!$C$1:$EE$1,0)),"-"))</f>
        <v>28</v>
      </c>
      <c r="U41" s="12">
        <f ca="1">(IFERROR(INDEX(Raw!$C$1:$EE$33,MATCH($C41,Raw!$C$1:$C$33,0),MATCH(U$36,Raw!$C$1:$EE$1,0)),"-"))</f>
        <v>42</v>
      </c>
      <c r="V41" s="12">
        <f ca="1">(IFERROR(INDEX(Raw!$C$1:$EE$33,MATCH($C41,Raw!$C$1:$C$33,0),MATCH(V$36,Raw!$C$1:$EE$1,0)),"-"))</f>
        <v>30</v>
      </c>
      <c r="W41" s="12">
        <f ca="1">(IFERROR(INDEX(Raw!$C$1:$EE$33,MATCH($C41,Raw!$C$1:$C$33,0),MATCH(W$36,Raw!$C$1:$EE$1,0)),"-"))</f>
        <v>44</v>
      </c>
      <c r="X41" s="12">
        <f ca="1">(IFERROR(INDEX(Raw!$C$1:$EE$33,MATCH($C41,Raw!$C$1:$C$33,0),MATCH(X$36,Raw!$C$1:$EE$1,0)),"-"))</f>
        <v>27</v>
      </c>
      <c r="Y41" s="12">
        <f ca="1">(IFERROR(INDEX(Raw!$C$1:$EE$33,MATCH($C41,Raw!$C$1:$C$33,0),MATCH(Y$36,Raw!$C$1:$EE$1,0)),"-"))</f>
        <v>30</v>
      </c>
      <c r="Z41" s="12">
        <f ca="1">(IFERROR(INDEX(Raw!$C$1:$EE$33,MATCH($C41,Raw!$C$1:$C$33,0),MATCH(Z$36,Raw!$C$1:$EE$1,0)),"-"))</f>
        <v>38</v>
      </c>
      <c r="AA41" s="12">
        <f ca="1">(IFERROR(INDEX(Raw!$C$1:$EE$33,MATCH($C41,Raw!$C$1:$C$33,0),MATCH(AA$36,Raw!$C$1:$EE$1,0)),"-"))</f>
        <v>31</v>
      </c>
      <c r="AB41" s="12">
        <f ca="1">(IFERROR(INDEX(Raw!$C$1:$EE$33,MATCH($C41,Raw!$C$1:$C$33,0),MATCH(AB$36,Raw!$C$1:$EE$1,0)),"-"))</f>
        <v>24</v>
      </c>
      <c r="AC41" s="12">
        <f ca="1">(IFERROR(INDEX(Raw!$C$1:$EE$33,MATCH($C41,Raw!$C$1:$C$33,0),MATCH(AC$36,Raw!$C$1:$EE$1,0)),"-"))</f>
        <v>45</v>
      </c>
      <c r="AD41" s="12">
        <f ca="1">(IFERROR(INDEX(Raw!$C$1:$EE$33,MATCH($C41,Raw!$C$1:$C$33,0),MATCH(AD$36,Raw!$C$1:$EE$1,0)),"-"))</f>
        <v>37</v>
      </c>
      <c r="AE41" s="12">
        <f ca="1">(IFERROR(INDEX(Raw!$C$1:$EE$33,MATCH($C41,Raw!$C$1:$C$33,0),MATCH(AE$36,Raw!$C$1:$EE$1,0)),"-"))</f>
        <v>26</v>
      </c>
      <c r="AF41" s="12">
        <f ca="1">(IFERROR(INDEX(Raw!$C$1:$EE$33,MATCH($C41,Raw!$C$1:$C$33,0),MATCH(AF$36,Raw!$C$1:$EE$1,0)),"-"))</f>
        <v>20</v>
      </c>
      <c r="AG41" s="12">
        <f ca="1">(IFERROR(INDEX(Raw!$C$1:$EE$33,MATCH($C41,Raw!$C$1:$C$33,0),MATCH(AG$36,Raw!$C$1:$EE$1,0)),"-"))</f>
        <v>41</v>
      </c>
      <c r="AH41" s="12">
        <f ca="1">(IFERROR(INDEX(Raw!$C$1:$EE$33,MATCH($C41,Raw!$C$1:$C$33,0),MATCH(AH$36,Raw!$C$1:$EE$1,0)),"-"))</f>
        <v>43</v>
      </c>
      <c r="AI41" s="12">
        <f ca="1">(IFERROR(INDEX(Raw!$C$1:$EE$33,MATCH($C41,Raw!$C$1:$C$33,0),MATCH(AI$36,Raw!$C$1:$EE$1,0)),"-"))</f>
        <v>25</v>
      </c>
      <c r="AJ41" s="12">
        <f ca="1">(IFERROR(INDEX(Raw!$C$1:$EE$33,MATCH($C41,Raw!$C$1:$C$33,0),MATCH(AJ$36,Raw!$C$1:$EE$1,0)),"-"))</f>
        <v>35</v>
      </c>
      <c r="AK41" s="12">
        <f ca="1">(IFERROR(INDEX(Raw!$C$1:$EE$33,MATCH($C41,Raw!$C$1:$C$33,0),MATCH(AK$36,Raw!$C$1:$EE$1,0)),"-"))</f>
        <v>23</v>
      </c>
      <c r="AL41" s="12">
        <f ca="1">(IFERROR(INDEX(Raw!$C$1:$EE$33,MATCH($C41,Raw!$C$1:$C$33,0),MATCH(AL$36,Raw!$C$1:$EE$1,0)),"-"))</f>
        <v>25</v>
      </c>
      <c r="AM41" s="12">
        <f ca="1">(IFERROR(INDEX(Raw!$C$1:$EE$33,MATCH($C41,Raw!$C$1:$C$33,0),MATCH(AM$36,Raw!$C$1:$EE$1,0)),"-"))</f>
        <v>22</v>
      </c>
      <c r="AN41" s="12">
        <f ca="1">(IFERROR(INDEX(Raw!$C$1:$EE$33,MATCH($C41,Raw!$C$1:$C$33,0),MATCH(AN$36,Raw!$C$1:$EE$1,0)),"-"))</f>
        <v>21</v>
      </c>
      <c r="AO41" s="12">
        <f ca="1">(IFERROR(INDEX(Raw!$C$1:$EE$33,MATCH($C41,Raw!$C$1:$C$33,0),MATCH(AO$36,Raw!$C$1:$EE$1,0)),"-"))</f>
        <v>32</v>
      </c>
      <c r="AP41" s="12">
        <f ca="1">(IFERROR(INDEX(Raw!$C$1:$EE$33,MATCH($C41,Raw!$C$1:$C$33,0),MATCH(AP$36,Raw!$C$1:$EE$1,0)),"-"))</f>
        <v>24</v>
      </c>
      <c r="AQ41" s="12">
        <f ca="1">(IFERROR(INDEX(Raw!$C$1:$EE$33,MATCH($C41,Raw!$C$1:$C$33,0),MATCH(AQ$36,Raw!$C$1:$EE$1,0)),"-"))</f>
        <v>22</v>
      </c>
      <c r="AR41" s="12">
        <f ca="1">(IFERROR(INDEX(Raw!$C$1:$EE$33,MATCH($C41,Raw!$C$1:$C$33,0),MATCH(AR$36,Raw!$C$1:$EE$1,0)),"-"))</f>
        <v>43</v>
      </c>
      <c r="AS41" s="12">
        <f ca="1">(IFERROR(INDEX(Raw!$C$1:$EE$33,MATCH($C41,Raw!$C$1:$C$33,0),MATCH(AS$36,Raw!$C$1:$EE$1,0)),"-"))</f>
        <v>34</v>
      </c>
      <c r="AT41" s="12">
        <f ca="1">(IFERROR(INDEX(Raw!$C$1:$EE$33,MATCH($C41,Raw!$C$1:$C$33,0),MATCH(AT$36,Raw!$C$1:$EE$1,0)),"-"))</f>
        <v>44</v>
      </c>
      <c r="AU41" s="12">
        <f ca="1">(IFERROR(INDEX(Raw!$C$1:$EE$33,MATCH($C41,Raw!$C$1:$C$33,0),MATCH(AU$36,Raw!$C$1:$EE$1,0)),"-"))</f>
        <v>28</v>
      </c>
      <c r="AV41" s="12">
        <f ca="1">(IFERROR(INDEX(Raw!$C$1:$EE$33,MATCH($C41,Raw!$C$1:$C$33,0),MATCH(AV$36,Raw!$C$1:$EE$1,0)),"-"))</f>
        <v>22</v>
      </c>
      <c r="AW41" s="12">
        <f ca="1">(IFERROR(INDEX(Raw!$C$1:$EE$33,MATCH($C41,Raw!$C$1:$C$33,0),MATCH(AW$36,Raw!$C$1:$EE$1,0)),"-"))</f>
        <v>31</v>
      </c>
      <c r="AX41" s="12">
        <f ca="1">(IFERROR(INDEX(Raw!$C$1:$EE$33,MATCH($C41,Raw!$C$1:$C$33,0),MATCH(AX$36,Raw!$C$1:$EE$1,0)),"-"))</f>
        <v>41</v>
      </c>
      <c r="AY41" s="12">
        <f ca="1">(IFERROR(INDEX(Raw!$C$1:$EE$33,MATCH($C41,Raw!$C$1:$C$33,0),MATCH(AY$36,Raw!$C$1:$EE$1,0)),"-"))</f>
        <v>36</v>
      </c>
      <c r="AZ41" s="12">
        <f ca="1">(IFERROR(INDEX(Raw!$C$1:$EE$33,MATCH($C41,Raw!$C$1:$C$33,0),MATCH(AZ$36,Raw!$C$1:$EE$1,0)),"-"))</f>
        <v>44</v>
      </c>
      <c r="BA41" s="12">
        <f ca="1">(IFERROR(INDEX(Raw!$C$1:$EE$33,MATCH($C41,Raw!$C$1:$C$33,0),MATCH(BA$36,Raw!$C$1:$EE$1,0)),"-"))</f>
        <v>39</v>
      </c>
      <c r="BB41" s="12">
        <f ca="1">(IFERROR(INDEX(Raw!$C$1:$EE$33,MATCH($C41,Raw!$C$1:$C$33,0),MATCH(BB$36,Raw!$C$1:$EE$1,0)),"-"))</f>
        <v>21</v>
      </c>
      <c r="BC41" s="12">
        <f ca="1">(IFERROR(INDEX(Raw!$C$1:$EE$33,MATCH($C41,Raw!$C$1:$C$33,0),MATCH(BC$36,Raw!$C$1:$EE$1,0)),"-"))</f>
        <v>33</v>
      </c>
      <c r="BD41" s="12">
        <f ca="1">(IFERROR(INDEX(Raw!$C$1:$EE$33,MATCH($C41,Raw!$C$1:$C$33,0),MATCH(BD$36,Raw!$C$1:$EE$1,0)),"-"))</f>
        <v>44</v>
      </c>
      <c r="BE41" s="12">
        <f ca="1">(IFERROR(INDEX(Raw!$C$1:$EE$33,MATCH($C41,Raw!$C$1:$C$33,0),MATCH(BE$36,Raw!$C$1:$EE$1,0)),"-"))</f>
        <v>35</v>
      </c>
      <c r="BF41" s="12">
        <f ca="1">(IFERROR(INDEX(Raw!$C$1:$EE$33,MATCH($C41,Raw!$C$1:$C$33,0),MATCH(BF$36,Raw!$C$1:$EE$1,0)),"-"))</f>
        <v>25</v>
      </c>
      <c r="BG41" s="12">
        <f ca="1">(IFERROR(INDEX(Raw!$C$1:$EE$33,MATCH($C41,Raw!$C$1:$C$33,0),MATCH(BG$36,Raw!$C$1:$EE$1,0)),"-"))</f>
        <v>22</v>
      </c>
      <c r="BH41" s="12">
        <f ca="1">(IFERROR(INDEX(Raw!$C$1:$EE$33,MATCH($C41,Raw!$C$1:$C$33,0),MATCH(BH$36,Raw!$C$1:$EE$1,0)),"-"))</f>
        <v>38</v>
      </c>
      <c r="BI41" s="12">
        <f ca="1">(IFERROR(INDEX(Raw!$C$1:$EE$33,MATCH($C41,Raw!$C$1:$C$33,0),MATCH(BI$36,Raw!$C$1:$EE$1,0)),"-"))</f>
        <v>33</v>
      </c>
      <c r="BJ41" s="12">
        <f ca="1">(IFERROR(INDEX(Raw!$C$1:$EE$33,MATCH($C41,Raw!$C$1:$C$33,0),MATCH(BJ$36,Raw!$C$1:$EE$1,0)),"-"))</f>
        <v>35</v>
      </c>
      <c r="BK41" s="12">
        <f ca="1">(IFERROR(INDEX(Raw!$C$1:$EE$33,MATCH($C41,Raw!$C$1:$C$33,0),MATCH(BK$36,Raw!$C$1:$EE$1,0)),"-"))</f>
        <v>21</v>
      </c>
      <c r="BL41" s="12">
        <f ca="1">(IFERROR(INDEX(Raw!$C$1:$EE$33,MATCH($C41,Raw!$C$1:$C$33,0),MATCH(BL$36,Raw!$C$1:$EE$1,0)),"-"))</f>
        <v>45</v>
      </c>
      <c r="BM41" s="12">
        <f ca="1">(IFERROR(INDEX(Raw!$C$1:$EE$33,MATCH($C41,Raw!$C$1:$C$33,0),MATCH(BM$36,Raw!$C$1:$EE$1,0)),"-"))</f>
        <v>38</v>
      </c>
      <c r="BN41" s="12">
        <f ca="1">(IFERROR(INDEX(Raw!$C$1:$EE$33,MATCH($C41,Raw!$C$1:$C$33,0),MATCH(BN$36,Raw!$C$1:$EE$1,0)),"-"))</f>
        <v>43</v>
      </c>
      <c r="BO41" s="12">
        <f ca="1">(IFERROR(INDEX(Raw!$C$1:$EE$33,MATCH($C41,Raw!$C$1:$C$33,0),MATCH(BO$36,Raw!$C$1:$EE$1,0)),"-"))</f>
        <v>42</v>
      </c>
      <c r="BP41" s="12">
        <f ca="1">(IFERROR(INDEX(Raw!$C$1:$EE$33,MATCH($C41,Raw!$C$1:$C$33,0),MATCH(BP$36,Raw!$C$1:$EE$1,0)),"-"))</f>
        <v>21</v>
      </c>
      <c r="BQ41" s="12">
        <f ca="1">(IFERROR(INDEX(Raw!$C$1:$EE$33,MATCH($C41,Raw!$C$1:$C$33,0),MATCH(BQ$36,Raw!$C$1:$EE$1,0)),"-"))</f>
        <v>23</v>
      </c>
      <c r="BR41" s="12">
        <f ca="1">(IFERROR(INDEX(Raw!$C$1:$EE$33,MATCH($C41,Raw!$C$1:$C$33,0),MATCH(BR$36,Raw!$C$1:$EE$1,0)),"-"))</f>
        <v>22</v>
      </c>
      <c r="BS41" s="12">
        <f ca="1">(IFERROR(INDEX(Raw!$C$1:$EE$33,MATCH($C41,Raw!$C$1:$C$33,0),MATCH(BS$36,Raw!$C$1:$EE$1,0)),"-"))</f>
        <v>39</v>
      </c>
      <c r="BT41" s="12">
        <f ca="1">(IFERROR(INDEX(Raw!$C$1:$EE$33,MATCH($C41,Raw!$C$1:$C$33,0),MATCH(BT$36,Raw!$C$1:$EE$1,0)),"-"))</f>
        <v>39</v>
      </c>
      <c r="BU41" s="12">
        <f ca="1">(IFERROR(INDEX(Raw!$C$1:$EE$33,MATCH($C41,Raw!$C$1:$C$33,0),MATCH(BU$36,Raw!$C$1:$EE$1,0)),"-"))</f>
        <v>38</v>
      </c>
      <c r="BV41" s="12">
        <f ca="1">(IFERROR(INDEX(Raw!$C$1:$EE$33,MATCH($C41,Raw!$C$1:$C$33,0),MATCH(BV$36,Raw!$C$1:$EE$1,0)),"-"))</f>
        <v>29</v>
      </c>
      <c r="BW41" s="12">
        <f ca="1">(IFERROR(INDEX(Raw!$C$1:$EE$33,MATCH($C41,Raw!$C$1:$C$33,0),MATCH(BW$36,Raw!$C$1:$EE$1,0)),"-"))</f>
        <v>40</v>
      </c>
      <c r="BX41" s="12">
        <f ca="1">(IFERROR(INDEX(Raw!$C$1:$EE$33,MATCH($C41,Raw!$C$1:$C$33,0),MATCH(BX$36,Raw!$C$1:$EE$1,0)),"-"))</f>
        <v>33</v>
      </c>
      <c r="BY41" s="12">
        <f ca="1">(IFERROR(INDEX(Raw!$C$1:$EE$33,MATCH($C41,Raw!$C$1:$C$33,0),MATCH(BY$36,Raw!$C$1:$EE$1,0)),"-"))</f>
        <v>26</v>
      </c>
      <c r="BZ41" s="12">
        <f ca="1">(IFERROR(INDEX(Raw!$C$1:$EE$33,MATCH($C41,Raw!$C$1:$C$33,0),MATCH(BZ$36,Raw!$C$1:$EE$1,0)),"-"))</f>
        <v>30</v>
      </c>
      <c r="CA41" s="12">
        <f ca="1">(IFERROR(INDEX(Raw!$C$1:$EE$33,MATCH($C41,Raw!$C$1:$C$33,0),MATCH(CA$36,Raw!$C$1:$EE$1,0)),"-"))</f>
        <v>27</v>
      </c>
      <c r="CB41" s="12">
        <f ca="1">(IFERROR(INDEX(Raw!$C$1:$EE$33,MATCH($C41,Raw!$C$1:$C$33,0),MATCH(CB$36,Raw!$C$1:$EE$1,0)),"-"))</f>
        <v>32</v>
      </c>
      <c r="CC41" s="12">
        <f ca="1">(IFERROR(INDEX(Raw!$C$1:$EE$33,MATCH($C41,Raw!$C$1:$C$33,0),MATCH(CC$36,Raw!$C$1:$EE$1,0)),"-"))</f>
        <v>42</v>
      </c>
      <c r="CD41" s="12">
        <f ca="1">(IFERROR(INDEX(Raw!$C$1:$EE$33,MATCH($C41,Raw!$C$1:$C$33,0),MATCH(CD$36,Raw!$C$1:$EE$1,0)),"-"))</f>
        <v>20</v>
      </c>
      <c r="CE41" s="12">
        <f ca="1">(IFERROR(INDEX(Raw!$C$1:$EE$33,MATCH($C41,Raw!$C$1:$C$33,0),MATCH(CE$36,Raw!$C$1:$EE$1,0)),"-"))</f>
        <v>26</v>
      </c>
      <c r="CF41" s="12">
        <f ca="1">(IFERROR(INDEX(Raw!$C$1:$EE$33,MATCH($C41,Raw!$C$1:$C$33,0),MATCH(CF$36,Raw!$C$1:$EE$1,0)),"-"))</f>
        <v>38</v>
      </c>
      <c r="CG41" s="12">
        <f ca="1">(IFERROR(INDEX(Raw!$C$1:$EE$33,MATCH($C41,Raw!$C$1:$C$33,0),MATCH(CG$36,Raw!$C$1:$EE$1,0)),"-"))</f>
        <v>44</v>
      </c>
      <c r="CH41" s="12">
        <f ca="1">(IFERROR(INDEX(Raw!$C$1:$EE$33,MATCH($C41,Raw!$C$1:$C$33,0),MATCH(CH$36,Raw!$C$1:$EE$1,0)),"-"))</f>
        <v>27</v>
      </c>
      <c r="CI41" s="12">
        <f ca="1">(IFERROR(INDEX(Raw!$C$1:$EE$33,MATCH($C41,Raw!$C$1:$C$33,0),MATCH(CI$36,Raw!$C$1:$EE$1,0)),"-"))</f>
        <v>27</v>
      </c>
      <c r="CJ41" s="12">
        <f ca="1">(IFERROR(INDEX(Raw!$C$1:$EE$33,MATCH($C41,Raw!$C$1:$C$33,0),MATCH(CJ$36,Raw!$C$1:$EE$1,0)),"-"))</f>
        <v>31</v>
      </c>
      <c r="CK41" s="12">
        <f ca="1">(IFERROR(INDEX(Raw!$C$1:$EE$33,MATCH($C41,Raw!$C$1:$C$33,0),MATCH(CK$36,Raw!$C$1:$EE$1,0)),"-"))</f>
        <v>33</v>
      </c>
      <c r="CL41" s="12">
        <f ca="1">(IFERROR(INDEX(Raw!$C$1:$EE$33,MATCH($C41,Raw!$C$1:$C$33,0),MATCH(CL$36,Raw!$C$1:$EE$1,0)),"-"))</f>
        <v>43</v>
      </c>
      <c r="CM41" s="12">
        <f ca="1">(IFERROR(INDEX(Raw!$C$1:$EE$33,MATCH($C41,Raw!$C$1:$C$33,0),MATCH(CM$36,Raw!$C$1:$EE$1,0)),"-"))</f>
        <v>41</v>
      </c>
      <c r="CN41" s="12">
        <f ca="1">(IFERROR(INDEX(Raw!$C$1:$EE$33,MATCH($C41,Raw!$C$1:$C$33,0),MATCH(CN$36,Raw!$C$1:$EE$1,0)),"-"))</f>
        <v>28</v>
      </c>
      <c r="CO41" s="12">
        <f ca="1">(IFERROR(INDEX(Raw!$C$1:$EE$33,MATCH($C41,Raw!$C$1:$C$33,0),MATCH(CO$36,Raw!$C$1:$EE$1,0)),"-"))</f>
        <v>43</v>
      </c>
      <c r="CP41" s="12">
        <f ca="1">(IFERROR(INDEX(Raw!$C$1:$EE$33,MATCH($C41,Raw!$C$1:$C$33,0),MATCH(CP$36,Raw!$C$1:$EE$1,0)),"-"))</f>
        <v>44</v>
      </c>
      <c r="CQ41" s="12">
        <f ca="1">(IFERROR(INDEX(Raw!$C$1:$EE$33,MATCH($C41,Raw!$C$1:$C$33,0),MATCH(CQ$36,Raw!$C$1:$EE$1,0)),"-"))</f>
        <v>38</v>
      </c>
      <c r="CR41" s="12">
        <f ca="1">(IFERROR(INDEX(Raw!$C$1:$EE$33,MATCH($C41,Raw!$C$1:$C$33,0),MATCH(CR$36,Raw!$C$1:$EE$1,0)),"-"))</f>
        <v>32</v>
      </c>
      <c r="CS41" s="12">
        <f ca="1">(IFERROR(INDEX(Raw!$C$1:$EE$33,MATCH($C41,Raw!$C$1:$C$33,0),MATCH(CS$36,Raw!$C$1:$EE$1,0)),"-"))</f>
        <v>29</v>
      </c>
      <c r="CT41" s="12">
        <f ca="1">(IFERROR(INDEX(Raw!$C$1:$EE$33,MATCH($C41,Raw!$C$1:$C$33,0),MATCH(CT$36,Raw!$C$1:$EE$1,0)),"-"))</f>
        <v>43</v>
      </c>
      <c r="CU41" s="12">
        <f ca="1">(IFERROR(INDEX(Raw!$C$1:$EE$33,MATCH($C41,Raw!$C$1:$C$33,0),MATCH(CU$36,Raw!$C$1:$EE$1,0)),"-"))</f>
        <v>36</v>
      </c>
      <c r="CV41" s="12">
        <f ca="1">(IFERROR(INDEX(Raw!$C$1:$EE$33,MATCH($C41,Raw!$C$1:$C$33,0),MATCH(CV$36,Raw!$C$1:$EE$1,0)),"-"))</f>
        <v>37</v>
      </c>
      <c r="CW41" s="12">
        <f ca="1">(IFERROR(INDEX(Raw!$C$1:$EE$33,MATCH($C41,Raw!$C$1:$C$33,0),MATCH(CW$36,Raw!$C$1:$EE$1,0)),"-"))</f>
        <v>42</v>
      </c>
      <c r="CX41" s="12">
        <f ca="1">(IFERROR(INDEX(Raw!$C$1:$EE$33,MATCH($C41,Raw!$C$1:$C$33,0),MATCH(CX$36,Raw!$C$1:$EE$1,0)),"-"))</f>
        <v>31</v>
      </c>
      <c r="CY41" s="12">
        <f ca="1">(IFERROR(INDEX(Raw!$C$1:$EE$33,MATCH($C41,Raw!$C$1:$C$33,0),MATCH(CY$36,Raw!$C$1:$EE$1,0)),"-"))</f>
        <v>31</v>
      </c>
      <c r="CZ41" s="12">
        <f ca="1">(IFERROR(INDEX(Raw!$C$1:$EE$33,MATCH($C41,Raw!$C$1:$C$33,0),MATCH(CZ$36,Raw!$C$1:$EE$1,0)),"-"))</f>
        <v>34</v>
      </c>
      <c r="DA41" s="12">
        <f ca="1">(IFERROR(INDEX(Raw!$C$1:$EE$33,MATCH($C41,Raw!$C$1:$C$33,0),MATCH(DA$36,Raw!$C$1:$EE$1,0)),"-"))</f>
        <v>34</v>
      </c>
      <c r="DB41" s="12">
        <f ca="1">(IFERROR(INDEX(Raw!$C$1:$EE$33,MATCH($C41,Raw!$C$1:$C$33,0),MATCH(DB$36,Raw!$C$1:$EE$1,0)),"-"))</f>
        <v>28</v>
      </c>
      <c r="DC41" s="12">
        <f ca="1">(IFERROR(INDEX(Raw!$C$1:$EE$33,MATCH($C41,Raw!$C$1:$C$33,0),MATCH(DC$36,Raw!$C$1:$EE$1,0)),"-"))</f>
        <v>29</v>
      </c>
      <c r="DD41" s="12">
        <f ca="1">(IFERROR(INDEX(Raw!$C$1:$EE$33,MATCH($C41,Raw!$C$1:$C$33,0),MATCH(DD$36,Raw!$C$1:$EE$1,0)),"-"))</f>
        <v>33</v>
      </c>
      <c r="DE41" s="12">
        <f ca="1">(IFERROR(INDEX(Raw!$C$1:$EE$33,MATCH($C41,Raw!$C$1:$C$33,0),MATCH(DE$36,Raw!$C$1:$EE$1,0)),"-"))</f>
        <v>32</v>
      </c>
      <c r="DF41" s="12">
        <f ca="1">(IFERROR(INDEX(Raw!$C$1:$EE$33,MATCH($C41,Raw!$C$1:$C$33,0),MATCH(DF$36,Raw!$C$1:$EE$1,0)),"-"))</f>
        <v>33</v>
      </c>
      <c r="DG41" s="12">
        <f ca="1">(IFERROR(INDEX(Raw!$C$1:$EE$33,MATCH($C41,Raw!$C$1:$C$33,0),MATCH(DG$36,Raw!$C$1:$EE$1,0)),"-"))</f>
        <v>43</v>
      </c>
      <c r="DH41" s="12">
        <f ca="1">(IFERROR(INDEX(Raw!$C$1:$EE$33,MATCH($C41,Raw!$C$1:$C$33,0),MATCH(DH$36,Raw!$C$1:$EE$1,0)),"-"))</f>
        <v>37</v>
      </c>
      <c r="DI41" s="12">
        <f ca="1">(IFERROR(INDEX(Raw!$C$1:$EE$33,MATCH($C41,Raw!$C$1:$C$33,0),MATCH(DI$36,Raw!$C$1:$EE$1,0)),"-"))</f>
        <v>25</v>
      </c>
      <c r="DJ41" s="12">
        <f ca="1">(IFERROR(INDEX(Raw!$C$1:$EE$33,MATCH($C41,Raw!$C$1:$C$33,0),MATCH(DJ$36,Raw!$C$1:$EE$1,0)),"-"))</f>
        <v>28</v>
      </c>
      <c r="DK41" s="12">
        <f ca="1">(IFERROR(INDEX(Raw!$C$1:$EE$33,MATCH($C41,Raw!$C$1:$C$33,0),MATCH(DK$36,Raw!$C$1:$EE$1,0)),"-"))</f>
        <v>36</v>
      </c>
      <c r="DL41" s="12">
        <f ca="1">(IFERROR(INDEX(Raw!$C$1:$EE$33,MATCH($C41,Raw!$C$1:$C$33,0),MATCH(DL$36,Raw!$C$1:$EE$1,0)),"-"))</f>
        <v>33</v>
      </c>
      <c r="DM41" s="12">
        <f ca="1">(IFERROR(INDEX(Raw!$C$1:$EE$33,MATCH($C41,Raw!$C$1:$C$33,0),MATCH(DM$36,Raw!$C$1:$EE$1,0)),"-"))</f>
        <v>24</v>
      </c>
      <c r="DN41" s="12">
        <f ca="1">(IFERROR(INDEX(Raw!$C$1:$EE$33,MATCH($C41,Raw!$C$1:$C$33,0),MATCH(DN$36,Raw!$C$1:$EE$1,0)),"-"))</f>
        <v>36</v>
      </c>
      <c r="DO41" s="12">
        <f ca="1">(IFERROR(INDEX(Raw!$C$1:$EE$33,MATCH($C41,Raw!$C$1:$C$33,0),MATCH(DO$36,Raw!$C$1:$EE$1,0)),"-"))</f>
        <v>41</v>
      </c>
      <c r="DP41" s="12">
        <f ca="1">(IFERROR(INDEX(Raw!$C$1:$EE$33,MATCH($C41,Raw!$C$1:$C$33,0),MATCH(DP$36,Raw!$C$1:$EE$1,0)),"-"))</f>
        <v>27</v>
      </c>
      <c r="DQ41" s="12">
        <f ca="1">(IFERROR(INDEX(Raw!$C$1:$EE$33,MATCH($C41,Raw!$C$1:$C$33,0),MATCH(DQ$36,Raw!$C$1:$EE$1,0)),"-"))</f>
        <v>38</v>
      </c>
      <c r="DR41" s="12">
        <f ca="1">(IFERROR(INDEX(Raw!$C$1:$EE$33,MATCH($C41,Raw!$C$1:$C$33,0),MATCH(DR$36,Raw!$C$1:$EE$1,0)),"-"))</f>
        <v>39</v>
      </c>
      <c r="DS41" s="12">
        <f ca="1">(IFERROR(INDEX(Raw!$C$1:$EE$33,MATCH($C41,Raw!$C$1:$C$33,0),MATCH(DS$36,Raw!$C$1:$EE$1,0)),"-"))</f>
        <v>26</v>
      </c>
      <c r="DT41" s="12">
        <f ca="1">(IFERROR(INDEX(Raw!$C$1:$EE$33,MATCH($C41,Raw!$C$1:$C$33,0),MATCH(DT$36,Raw!$C$1:$EE$1,0)),"-"))</f>
        <v>25</v>
      </c>
      <c r="DU41" s="12">
        <f ca="1">(IFERROR(INDEX(Raw!$C$1:$EE$33,MATCH($C41,Raw!$C$1:$C$33,0),MATCH(DU$36,Raw!$C$1:$EE$1,0)),"-"))</f>
        <v>33</v>
      </c>
      <c r="DV41" s="12">
        <f ca="1">(IFERROR(INDEX(Raw!$C$1:$EE$33,MATCH($C41,Raw!$C$1:$C$33,0),MATCH(DV$36,Raw!$C$1:$EE$1,0)),"-"))</f>
        <v>37</v>
      </c>
      <c r="DW41" s="12">
        <f ca="1">(IFERROR(INDEX(Raw!$C$1:$EE$33,MATCH($C41,Raw!$C$1:$C$33,0),MATCH(DW$36,Raw!$C$1:$EE$1,0)),"-"))</f>
        <v>28</v>
      </c>
      <c r="DX41" s="12">
        <f ca="1">(IFERROR(INDEX(Raw!$C$1:$EE$33,MATCH($C41,Raw!$C$1:$C$33,0),MATCH(DX$36,Raw!$C$1:$EE$1,0)),"-"))</f>
        <v>23</v>
      </c>
      <c r="DY41" s="12">
        <f ca="1">(IFERROR(INDEX(Raw!$C$1:$EE$33,MATCH($C41,Raw!$C$1:$C$33,0),MATCH(DY$36,Raw!$C$1:$EE$1,0)),"-"))</f>
        <v>36</v>
      </c>
      <c r="DZ41" s="12">
        <f ca="1">(IFERROR(INDEX(Raw!$C$1:$EE$33,MATCH($C41,Raw!$C$1:$C$33,0),MATCH(DZ$36,Raw!$C$1:$EE$1,0)),"-"))</f>
        <v>32</v>
      </c>
      <c r="EA41" s="12">
        <f ca="1">(IFERROR(INDEX(Raw!$C$1:$EE$33,MATCH($C41,Raw!$C$1:$C$33,0),MATCH(EA$36,Raw!$C$1:$EE$1,0)),"-"))</f>
        <v>25</v>
      </c>
      <c r="EB41" s="12">
        <f ca="1">(IFERROR(INDEX(Raw!$C$1:$EE$33,MATCH($C41,Raw!$C$1:$C$33,0),MATCH(EB$36,Raw!$C$1:$EE$1,0)),"-"))</f>
        <v>30</v>
      </c>
      <c r="EC41" s="12">
        <f ca="1">(IFERROR(INDEX(Raw!$C$1:$EE$33,MATCH($C41,Raw!$C$1:$C$33,0),MATCH(EC$36,Raw!$C$1:$EE$1,0)),"-"))</f>
        <v>30</v>
      </c>
      <c r="ED41" s="12">
        <f ca="1">(IFERROR(INDEX(Raw!$C$1:$EE$33,MATCH($C41,Raw!$C$1:$C$33,0),MATCH(ED$36,Raw!$C$1:$EE$1,0)),"-"))</f>
        <v>27</v>
      </c>
      <c r="EE41" s="12">
        <f ca="1">(IFERROR(INDEX(Raw!$C$1:$EE$33,MATCH($C41,Raw!$C$1:$C$33,0),MATCH(EE$36,Raw!$C$1:$EE$1,0)),"-"))</f>
        <v>32</v>
      </c>
    </row>
    <row r="42" spans="2:135" x14ac:dyDescent="0.4">
      <c r="B42" s="8" t="s">
        <v>81</v>
      </c>
      <c r="C42" s="38" t="s">
        <v>25</v>
      </c>
      <c r="D42" s="12">
        <f ca="1">(IFERROR(INDEX(Raw!$C$1:$EE$33,MATCH($C42,Raw!$C$1:$C$33,0),MATCH(D$36,Raw!$C$1:$EE$1,0)),"-"))</f>
        <v>0.72483239836106872</v>
      </c>
      <c r="E42" s="12">
        <f ca="1">(IFERROR(INDEX(Raw!$C$1:$EE$33,MATCH($C42,Raw!$C$1:$C$33,0),MATCH(E$36,Raw!$C$1:$EE$1,0)),"-"))</f>
        <v>0.89528086621822167</v>
      </c>
      <c r="F42" s="12">
        <f ca="1">(IFERROR(INDEX(Raw!$C$1:$EE$33,MATCH($C42,Raw!$C$1:$C$33,0),MATCH(F$36,Raw!$C$1:$EE$1,0)),"-"))</f>
        <v>0.75325041981839802</v>
      </c>
      <c r="G42" s="12">
        <f ca="1">(IFERROR(INDEX(Raw!$C$1:$EE$33,MATCH($C42,Raw!$C$1:$C$33,0),MATCH(G$36,Raw!$C$1:$EE$1,0)),"-"))</f>
        <v>1.9951888228890713E-2</v>
      </c>
      <c r="H42" s="12">
        <f ca="1">(IFERROR(INDEX(Raw!$C$1:$EE$33,MATCH($C42,Raw!$C$1:$C$33,0),MATCH(H$36,Raw!$C$1:$EE$1,0)),"-"))</f>
        <v>6.8334072453607897E-2</v>
      </c>
      <c r="I42" s="12">
        <f ca="1">(IFERROR(INDEX(Raw!$C$1:$EE$33,MATCH($C42,Raw!$C$1:$C$33,0),MATCH(I$36,Raw!$C$1:$EE$1,0)),"-"))</f>
        <v>0.20283687046656307</v>
      </c>
      <c r="J42" s="12">
        <f ca="1">(IFERROR(INDEX(Raw!$C$1:$EE$33,MATCH($C42,Raw!$C$1:$C$33,0),MATCH(J$36,Raw!$C$1:$EE$1,0)),"-"))</f>
        <v>0.13501956771062296</v>
      </c>
      <c r="K42" s="12">
        <f ca="1">(IFERROR(INDEX(Raw!$C$1:$EE$33,MATCH($C42,Raw!$C$1:$C$33,0),MATCH(K$36,Raw!$C$1:$EE$1,0)),"-"))</f>
        <v>0.35516863921956832</v>
      </c>
      <c r="L42" s="12">
        <f ca="1">(IFERROR(INDEX(Raw!$C$1:$EE$33,MATCH($C42,Raw!$C$1:$C$33,0),MATCH(L$36,Raw!$C$1:$EE$1,0)),"-"))</f>
        <v>0.19609094406175798</v>
      </c>
      <c r="M42" s="12">
        <f ca="1">(IFERROR(INDEX(Raw!$C$1:$EE$33,MATCH($C42,Raw!$C$1:$C$33,0),MATCH(M$36,Raw!$C$1:$EE$1,0)),"-"))</f>
        <v>0.46905744833715812</v>
      </c>
      <c r="N42" s="12">
        <f ca="1">(IFERROR(INDEX(Raw!$C$1:$EE$33,MATCH($C42,Raw!$C$1:$C$33,0),MATCH(N$36,Raw!$C$1:$EE$1,0)),"-"))</f>
        <v>0.77988313816495047</v>
      </c>
      <c r="O42" s="12">
        <f ca="1">(IFERROR(INDEX(Raw!$C$1:$EE$33,MATCH($C42,Raw!$C$1:$C$33,0),MATCH(O$36,Raw!$C$1:$EE$1,0)),"-"))</f>
        <v>2.8006607198753697E-2</v>
      </c>
      <c r="P42" s="12">
        <f ca="1">(IFERROR(INDEX(Raw!$C$1:$EE$33,MATCH($C42,Raw!$C$1:$C$33,0),MATCH(P$36,Raw!$C$1:$EE$1,0)),"-"))</f>
        <v>0.99559092463784316</v>
      </c>
      <c r="Q42" s="12">
        <f ca="1">(IFERROR(INDEX(Raw!$C$1:$EE$33,MATCH($C42,Raw!$C$1:$C$33,0),MATCH(Q$36,Raw!$C$1:$EE$1,0)),"-"))</f>
        <v>0.7837084738658735</v>
      </c>
      <c r="R42" s="12">
        <f ca="1">(IFERROR(INDEX(Raw!$C$1:$EE$33,MATCH($C42,Raw!$C$1:$C$33,0),MATCH(R$36,Raw!$C$1:$EE$1,0)),"-"))</f>
        <v>0.53885019808699441</v>
      </c>
      <c r="S42" s="12">
        <f ca="1">(IFERROR(INDEX(Raw!$C$1:$EE$33,MATCH($C42,Raw!$C$1:$C$33,0),MATCH(S$36,Raw!$C$1:$EE$1,0)),"-"))</f>
        <v>0.82319015904682824</v>
      </c>
      <c r="T42" s="12">
        <f ca="1">(IFERROR(INDEX(Raw!$C$1:$EE$33,MATCH($C42,Raw!$C$1:$C$33,0),MATCH(T$36,Raw!$C$1:$EE$1,0)),"-"))</f>
        <v>0.45608134733518613</v>
      </c>
      <c r="U42" s="12">
        <f ca="1">(IFERROR(INDEX(Raw!$C$1:$EE$33,MATCH($C42,Raw!$C$1:$C$33,0),MATCH(U$36,Raw!$C$1:$EE$1,0)),"-"))</f>
        <v>0.17308297287495877</v>
      </c>
      <c r="V42" s="12">
        <f ca="1">(IFERROR(INDEX(Raw!$C$1:$EE$33,MATCH($C42,Raw!$C$1:$C$33,0),MATCH(V$36,Raw!$C$1:$EE$1,0)),"-"))</f>
        <v>0.2099941896840618</v>
      </c>
      <c r="W42" s="12">
        <f ca="1">(IFERROR(INDEX(Raw!$C$1:$EE$33,MATCH($C42,Raw!$C$1:$C$33,0),MATCH(W$36,Raw!$C$1:$EE$1,0)),"-"))</f>
        <v>0.25805187746617064</v>
      </c>
      <c r="X42" s="12">
        <f ca="1">(IFERROR(INDEX(Raw!$C$1:$EE$33,MATCH($C42,Raw!$C$1:$C$33,0),MATCH(X$36,Raw!$C$1:$EE$1,0)),"-"))</f>
        <v>0.88234799192284252</v>
      </c>
      <c r="Y42" s="12">
        <f ca="1">(IFERROR(INDEX(Raw!$C$1:$EE$33,MATCH($C42,Raw!$C$1:$C$33,0),MATCH(Y$36,Raw!$C$1:$EE$1,0)),"-"))</f>
        <v>0.57796630808503924</v>
      </c>
      <c r="Z42" s="12">
        <f ca="1">(IFERROR(INDEX(Raw!$C$1:$EE$33,MATCH($C42,Raw!$C$1:$C$33,0),MATCH(Z$36,Raw!$C$1:$EE$1,0)),"-"))</f>
        <v>0.40551048846650595</v>
      </c>
      <c r="AA42" s="12">
        <f ca="1">(IFERROR(INDEX(Raw!$C$1:$EE$33,MATCH($C42,Raw!$C$1:$C$33,0),MATCH(AA$36,Raw!$C$1:$EE$1,0)),"-"))</f>
        <v>0.68167858572144779</v>
      </c>
      <c r="AB42" s="12">
        <f ca="1">(IFERROR(INDEX(Raw!$C$1:$EE$33,MATCH($C42,Raw!$C$1:$C$33,0),MATCH(AB$36,Raw!$C$1:$EE$1,0)),"-"))</f>
        <v>0.15671325831233496</v>
      </c>
      <c r="AC42" s="12">
        <f ca="1">(IFERROR(INDEX(Raw!$C$1:$EE$33,MATCH($C42,Raw!$C$1:$C$33,0),MATCH(AC$36,Raw!$C$1:$EE$1,0)),"-"))</f>
        <v>0.14427425850951026</v>
      </c>
      <c r="AD42" s="12">
        <f ca="1">(IFERROR(INDEX(Raw!$C$1:$EE$33,MATCH($C42,Raw!$C$1:$C$33,0),MATCH(AD$36,Raw!$C$1:$EE$1,0)),"-"))</f>
        <v>0.34133931719184596</v>
      </c>
      <c r="AE42" s="12">
        <f ca="1">(IFERROR(INDEX(Raw!$C$1:$EE$33,MATCH($C42,Raw!$C$1:$C$33,0),MATCH(AE$36,Raw!$C$1:$EE$1,0)),"-"))</f>
        <v>0.1044147392754966</v>
      </c>
      <c r="AF42" s="12">
        <f ca="1">(IFERROR(INDEX(Raw!$C$1:$EE$33,MATCH($C42,Raw!$C$1:$C$33,0),MATCH(AF$36,Raw!$C$1:$EE$1,0)),"-"))</f>
        <v>0.89192092867477779</v>
      </c>
      <c r="AG42" s="12">
        <f ca="1">(IFERROR(INDEX(Raw!$C$1:$EE$33,MATCH($C42,Raw!$C$1:$C$33,0),MATCH(AG$36,Raw!$C$1:$EE$1,0)),"-"))</f>
        <v>0.72822658977509902</v>
      </c>
      <c r="AH42" s="12">
        <f ca="1">(IFERROR(INDEX(Raw!$C$1:$EE$33,MATCH($C42,Raw!$C$1:$C$33,0),MATCH(AH$36,Raw!$C$1:$EE$1,0)),"-"))</f>
        <v>0.60157100878131708</v>
      </c>
      <c r="AI42" s="12">
        <f ca="1">(IFERROR(INDEX(Raw!$C$1:$EE$33,MATCH($C42,Raw!$C$1:$C$33,0),MATCH(AI$36,Raw!$C$1:$EE$1,0)),"-"))</f>
        <v>0.29109840788535601</v>
      </c>
      <c r="AJ42" s="12">
        <f ca="1">(IFERROR(INDEX(Raw!$C$1:$EE$33,MATCH($C42,Raw!$C$1:$C$33,0),MATCH(AJ$36,Raw!$C$1:$EE$1,0)),"-"))</f>
        <v>0.63650649721135388</v>
      </c>
      <c r="AK42" s="12">
        <f ca="1">(IFERROR(INDEX(Raw!$C$1:$EE$33,MATCH($C42,Raw!$C$1:$C$33,0),MATCH(AK$36,Raw!$C$1:$EE$1,0)),"-"))</f>
        <v>0.48792694014217641</v>
      </c>
      <c r="AL42" s="12">
        <f ca="1">(IFERROR(INDEX(Raw!$C$1:$EE$33,MATCH($C42,Raw!$C$1:$C$33,0),MATCH(AL$36,Raw!$C$1:$EE$1,0)),"-"))</f>
        <v>0.11914635983536681</v>
      </c>
      <c r="AM42" s="12">
        <f ca="1">(IFERROR(INDEX(Raw!$C$1:$EE$33,MATCH($C42,Raw!$C$1:$C$33,0),MATCH(AM$36,Raw!$C$1:$EE$1,0)),"-"))</f>
        <v>0.78027704493026429</v>
      </c>
      <c r="AN42" s="12">
        <f ca="1">(IFERROR(INDEX(Raw!$C$1:$EE$33,MATCH($C42,Raw!$C$1:$C$33,0),MATCH(AN$36,Raw!$C$1:$EE$1,0)),"-"))</f>
        <v>0.46436447467782949</v>
      </c>
      <c r="AO42" s="12">
        <f ca="1">(IFERROR(INDEX(Raw!$C$1:$EE$33,MATCH($C42,Raw!$C$1:$C$33,0),MATCH(AO$36,Raw!$C$1:$EE$1,0)),"-"))</f>
        <v>0.98418939835137564</v>
      </c>
      <c r="AP42" s="12">
        <f ca="1">(IFERROR(INDEX(Raw!$C$1:$EE$33,MATCH($C42,Raw!$C$1:$C$33,0),MATCH(AP$36,Raw!$C$1:$EE$1,0)),"-"))</f>
        <v>0.3350139356228361</v>
      </c>
      <c r="AQ42" s="12">
        <f ca="1">(IFERROR(INDEX(Raw!$C$1:$EE$33,MATCH($C42,Raw!$C$1:$C$33,0),MATCH(AQ$36,Raw!$C$1:$EE$1,0)),"-"))</f>
        <v>0.19896997995924282</v>
      </c>
      <c r="AR42" s="12">
        <f ca="1">(IFERROR(INDEX(Raw!$C$1:$EE$33,MATCH($C42,Raw!$C$1:$C$33,0),MATCH(AR$36,Raw!$C$1:$EE$1,0)),"-"))</f>
        <v>4.8333675324913949E-2</v>
      </c>
      <c r="AS42" s="12">
        <f ca="1">(IFERROR(INDEX(Raw!$C$1:$EE$33,MATCH($C42,Raw!$C$1:$C$33,0),MATCH(AS$36,Raw!$C$1:$EE$1,0)),"-"))</f>
        <v>0.33419365928719191</v>
      </c>
      <c r="AT42" s="12">
        <f ca="1">(IFERROR(INDEX(Raw!$C$1:$EE$33,MATCH($C42,Raw!$C$1:$C$33,0),MATCH(AT$36,Raw!$C$1:$EE$1,0)),"-"))</f>
        <v>0.18834776931322939</v>
      </c>
      <c r="AU42" s="12">
        <f ca="1">(IFERROR(INDEX(Raw!$C$1:$EE$33,MATCH($C42,Raw!$C$1:$C$33,0),MATCH(AU$36,Raw!$C$1:$EE$1,0)),"-"))</f>
        <v>0.77972601834431066</v>
      </c>
      <c r="AV42" s="12">
        <f ca="1">(IFERROR(INDEX(Raw!$C$1:$EE$33,MATCH($C42,Raw!$C$1:$C$33,0),MATCH(AV$36,Raw!$C$1:$EE$1,0)),"-"))</f>
        <v>0.75523593182560034</v>
      </c>
      <c r="AW42" s="12">
        <f ca="1">(IFERROR(INDEX(Raw!$C$1:$EE$33,MATCH($C42,Raw!$C$1:$C$33,0),MATCH(AW$36,Raw!$C$1:$EE$1,0)),"-"))</f>
        <v>8.0238075679703869E-3</v>
      </c>
      <c r="AX42" s="12">
        <f ca="1">(IFERROR(INDEX(Raw!$C$1:$EE$33,MATCH($C42,Raw!$C$1:$C$33,0),MATCH(AX$36,Raw!$C$1:$EE$1,0)),"-"))</f>
        <v>0.89264559427644086</v>
      </c>
      <c r="AY42" s="12">
        <f ca="1">(IFERROR(INDEX(Raw!$C$1:$EE$33,MATCH($C42,Raw!$C$1:$C$33,0),MATCH(AY$36,Raw!$C$1:$EE$1,0)),"-"))</f>
        <v>0.61635759874420115</v>
      </c>
      <c r="AZ42" s="12">
        <f ca="1">(IFERROR(INDEX(Raw!$C$1:$EE$33,MATCH($C42,Raw!$C$1:$C$33,0),MATCH(AZ$36,Raw!$C$1:$EE$1,0)),"-"))</f>
        <v>0.533139969585813</v>
      </c>
      <c r="BA42" s="12">
        <f ca="1">(IFERROR(INDEX(Raw!$C$1:$EE$33,MATCH($C42,Raw!$C$1:$C$33,0),MATCH(BA$36,Raw!$C$1:$EE$1,0)),"-"))</f>
        <v>0.56712391181882382</v>
      </c>
      <c r="BB42" s="12">
        <f ca="1">(IFERROR(INDEX(Raw!$C$1:$EE$33,MATCH($C42,Raw!$C$1:$C$33,0),MATCH(BB$36,Raw!$C$1:$EE$1,0)),"-"))</f>
        <v>0.52887709007088346</v>
      </c>
      <c r="BC42" s="12">
        <f ca="1">(IFERROR(INDEX(Raw!$C$1:$EE$33,MATCH($C42,Raw!$C$1:$C$33,0),MATCH(BC$36,Raw!$C$1:$EE$1,0)),"-"))</f>
        <v>0.60981235065310879</v>
      </c>
      <c r="BD42" s="12">
        <f ca="1">(IFERROR(INDEX(Raw!$C$1:$EE$33,MATCH($C42,Raw!$C$1:$C$33,0),MATCH(BD$36,Raw!$C$1:$EE$1,0)),"-"))</f>
        <v>0.97340653803909438</v>
      </c>
      <c r="BE42" s="12">
        <f ca="1">(IFERROR(INDEX(Raw!$C$1:$EE$33,MATCH($C42,Raw!$C$1:$C$33,0),MATCH(BE$36,Raw!$C$1:$EE$1,0)),"-"))</f>
        <v>0.87194293343271112</v>
      </c>
      <c r="BF42" s="12">
        <f ca="1">(IFERROR(INDEX(Raw!$C$1:$EE$33,MATCH($C42,Raw!$C$1:$C$33,0),MATCH(BF$36,Raw!$C$1:$EE$1,0)),"-"))</f>
        <v>0.21082332234277867</v>
      </c>
      <c r="BG42" s="12">
        <f ca="1">(IFERROR(INDEX(Raw!$C$1:$EE$33,MATCH($C42,Raw!$C$1:$C$33,0),MATCH(BG$36,Raw!$C$1:$EE$1,0)),"-"))</f>
        <v>0.2639686509984065</v>
      </c>
      <c r="BH42" s="12">
        <f ca="1">(IFERROR(INDEX(Raw!$C$1:$EE$33,MATCH($C42,Raw!$C$1:$C$33,0),MATCH(BH$36,Raw!$C$1:$EE$1,0)),"-"))</f>
        <v>0.1832172083092054</v>
      </c>
      <c r="BI42" s="12">
        <f ca="1">(IFERROR(INDEX(Raw!$C$1:$EE$33,MATCH($C42,Raw!$C$1:$C$33,0),MATCH(BI$36,Raw!$C$1:$EE$1,0)),"-"))</f>
        <v>0.10775495032172877</v>
      </c>
      <c r="BJ42" s="12">
        <f ca="1">(IFERROR(INDEX(Raw!$C$1:$EE$33,MATCH($C42,Raw!$C$1:$C$33,0),MATCH(BJ$36,Raw!$C$1:$EE$1,0)),"-"))</f>
        <v>0.68156212016681228</v>
      </c>
      <c r="BK42" s="12">
        <f ca="1">(IFERROR(INDEX(Raw!$C$1:$EE$33,MATCH($C42,Raw!$C$1:$C$33,0),MATCH(BK$36,Raw!$C$1:$EE$1,0)),"-"))</f>
        <v>0.68834986094535044</v>
      </c>
      <c r="BL42" s="12">
        <f ca="1">(IFERROR(INDEX(Raw!$C$1:$EE$33,MATCH($C42,Raw!$C$1:$C$33,0),MATCH(BL$36,Raw!$C$1:$EE$1,0)),"-"))</f>
        <v>0.8769569429081967</v>
      </c>
      <c r="BM42" s="12">
        <f ca="1">(IFERROR(INDEX(Raw!$C$1:$EE$33,MATCH($C42,Raw!$C$1:$C$33,0),MATCH(BM$36,Raw!$C$1:$EE$1,0)),"-"))</f>
        <v>0.98662841110557187</v>
      </c>
      <c r="BN42" s="12">
        <f ca="1">(IFERROR(INDEX(Raw!$C$1:$EE$33,MATCH($C42,Raw!$C$1:$C$33,0),MATCH(BN$36,Raw!$C$1:$EE$1,0)),"-"))</f>
        <v>0.59077959266275681</v>
      </c>
      <c r="BO42" s="12">
        <f ca="1">(IFERROR(INDEX(Raw!$C$1:$EE$33,MATCH($C42,Raw!$C$1:$C$33,0),MATCH(BO$36,Raw!$C$1:$EE$1,0)),"-"))</f>
        <v>0.73674849174121082</v>
      </c>
      <c r="BP42" s="12">
        <f ca="1">(IFERROR(INDEX(Raw!$C$1:$EE$33,MATCH($C42,Raw!$C$1:$C$33,0),MATCH(BP$36,Raw!$C$1:$EE$1,0)),"-"))</f>
        <v>0.23506974170536687</v>
      </c>
      <c r="BQ42" s="12">
        <f ca="1">(IFERROR(INDEX(Raw!$C$1:$EE$33,MATCH($C42,Raw!$C$1:$C$33,0),MATCH(BQ$36,Raw!$C$1:$EE$1,0)),"-"))</f>
        <v>0.2840189976500791</v>
      </c>
      <c r="BR42" s="12">
        <f ca="1">(IFERROR(INDEX(Raw!$C$1:$EE$33,MATCH($C42,Raw!$C$1:$C$33,0),MATCH(BR$36,Raw!$C$1:$EE$1,0)),"-"))</f>
        <v>0.28306525518674208</v>
      </c>
      <c r="BS42" s="12">
        <f ca="1">(IFERROR(INDEX(Raw!$C$1:$EE$33,MATCH($C42,Raw!$C$1:$C$33,0),MATCH(BS$36,Raw!$C$1:$EE$1,0)),"-"))</f>
        <v>9.5910732022492562E-2</v>
      </c>
      <c r="BT42" s="12">
        <f ca="1">(IFERROR(INDEX(Raw!$C$1:$EE$33,MATCH($C42,Raw!$C$1:$C$33,0),MATCH(BT$36,Raw!$C$1:$EE$1,0)),"-"))</f>
        <v>0.75005327390148668</v>
      </c>
      <c r="BU42" s="12">
        <f ca="1">(IFERROR(INDEX(Raw!$C$1:$EE$33,MATCH($C42,Raw!$C$1:$C$33,0),MATCH(BU$36,Raw!$C$1:$EE$1,0)),"-"))</f>
        <v>0.8255605978503191</v>
      </c>
      <c r="BV42" s="12">
        <f ca="1">(IFERROR(INDEX(Raw!$C$1:$EE$33,MATCH($C42,Raw!$C$1:$C$33,0),MATCH(BV$36,Raw!$C$1:$EE$1,0)),"-"))</f>
        <v>0.66484178063781441</v>
      </c>
      <c r="BW42" s="12">
        <f ca="1">(IFERROR(INDEX(Raw!$C$1:$EE$33,MATCH($C42,Raw!$C$1:$C$33,0),MATCH(BW$36,Raw!$C$1:$EE$1,0)),"-"))</f>
        <v>0.85567120709477695</v>
      </c>
      <c r="BX42" s="12">
        <f ca="1">(IFERROR(INDEX(Raw!$C$1:$EE$33,MATCH($C42,Raw!$C$1:$C$33,0),MATCH(BX$36,Raw!$C$1:$EE$1,0)),"-"))</f>
        <v>0.422490893229992</v>
      </c>
      <c r="BY42" s="12">
        <f ca="1">(IFERROR(INDEX(Raw!$C$1:$EE$33,MATCH($C42,Raw!$C$1:$C$33,0),MATCH(BY$36,Raw!$C$1:$EE$1,0)),"-"))</f>
        <v>0.64942547348861379</v>
      </c>
      <c r="BZ42" s="12">
        <f ca="1">(IFERROR(INDEX(Raw!$C$1:$EE$33,MATCH($C42,Raw!$C$1:$C$33,0),MATCH(BZ$36,Raw!$C$1:$EE$1,0)),"-"))</f>
        <v>0.40983834877818071</v>
      </c>
      <c r="CA42" s="12">
        <f ca="1">(IFERROR(INDEX(Raw!$C$1:$EE$33,MATCH($C42,Raw!$C$1:$C$33,0),MATCH(CA$36,Raw!$C$1:$EE$1,0)),"-"))</f>
        <v>0.19859940162429379</v>
      </c>
      <c r="CB42" s="12">
        <f ca="1">(IFERROR(INDEX(Raw!$C$1:$EE$33,MATCH($C42,Raw!$C$1:$C$33,0),MATCH(CB$36,Raw!$C$1:$EE$1,0)),"-"))</f>
        <v>0.85495446460196067</v>
      </c>
      <c r="CC42" s="12">
        <f ca="1">(IFERROR(INDEX(Raw!$C$1:$EE$33,MATCH($C42,Raw!$C$1:$C$33,0),MATCH(CC$36,Raw!$C$1:$EE$1,0)),"-"))</f>
        <v>0.69221995979361406</v>
      </c>
      <c r="CD42" s="12">
        <f ca="1">(IFERROR(INDEX(Raw!$C$1:$EE$33,MATCH($C42,Raw!$C$1:$C$33,0),MATCH(CD$36,Raw!$C$1:$EE$1,0)),"-"))</f>
        <v>0.48829956579079759</v>
      </c>
      <c r="CE42" s="12">
        <f ca="1">(IFERROR(INDEX(Raw!$C$1:$EE$33,MATCH($C42,Raw!$C$1:$C$33,0),MATCH(CE$36,Raw!$C$1:$EE$1,0)),"-"))</f>
        <v>0.63922648599607745</v>
      </c>
      <c r="CF42" s="12">
        <f ca="1">(IFERROR(INDEX(Raw!$C$1:$EE$33,MATCH($C42,Raw!$C$1:$C$33,0),MATCH(CF$36,Raw!$C$1:$EE$1,0)),"-"))</f>
        <v>0.17086101842851287</v>
      </c>
      <c r="CG42" s="12">
        <f ca="1">(IFERROR(INDEX(Raw!$C$1:$EE$33,MATCH($C42,Raw!$C$1:$C$33,0),MATCH(CG$36,Raw!$C$1:$EE$1,0)),"-"))</f>
        <v>0.97257402301825291</v>
      </c>
      <c r="CH42" s="12">
        <f ca="1">(IFERROR(INDEX(Raw!$C$1:$EE$33,MATCH($C42,Raw!$C$1:$C$33,0),MATCH(CH$36,Raw!$C$1:$EE$1,0)),"-"))</f>
        <v>0.17167121928807361</v>
      </c>
      <c r="CI42" s="12">
        <f ca="1">(IFERROR(INDEX(Raw!$C$1:$EE$33,MATCH($C42,Raw!$C$1:$C$33,0),MATCH(CI$36,Raw!$C$1:$EE$1,0)),"-"))</f>
        <v>0.90726305474089486</v>
      </c>
      <c r="CJ42" s="12">
        <f ca="1">(IFERROR(INDEX(Raw!$C$1:$EE$33,MATCH($C42,Raw!$C$1:$C$33,0),MATCH(CJ$36,Raw!$C$1:$EE$1,0)),"-"))</f>
        <v>0.59614616474204207</v>
      </c>
      <c r="CK42" s="12">
        <f ca="1">(IFERROR(INDEX(Raw!$C$1:$EE$33,MATCH($C42,Raw!$C$1:$C$33,0),MATCH(CK$36,Raw!$C$1:$EE$1,0)),"-"))</f>
        <v>0.27359565320196189</v>
      </c>
      <c r="CL42" s="12">
        <f ca="1">(IFERROR(INDEX(Raw!$C$1:$EE$33,MATCH($C42,Raw!$C$1:$C$33,0),MATCH(CL$36,Raw!$C$1:$EE$1,0)),"-"))</f>
        <v>0.61263129707806185</v>
      </c>
      <c r="CM42" s="12">
        <f ca="1">(IFERROR(INDEX(Raw!$C$1:$EE$33,MATCH($C42,Raw!$C$1:$C$33,0),MATCH(CM$36,Raw!$C$1:$EE$1,0)),"-"))</f>
        <v>0.77877920482538832</v>
      </c>
      <c r="CN42" s="12">
        <f ca="1">(IFERROR(INDEX(Raw!$C$1:$EE$33,MATCH($C42,Raw!$C$1:$C$33,0),MATCH(CN$36,Raw!$C$1:$EE$1,0)),"-"))</f>
        <v>0.18658784754622615</v>
      </c>
      <c r="CO42" s="12">
        <f ca="1">(IFERROR(INDEX(Raw!$C$1:$EE$33,MATCH($C42,Raw!$C$1:$C$33,0),MATCH(CO$36,Raw!$C$1:$EE$1,0)),"-"))</f>
        <v>0.52826350952047041</v>
      </c>
      <c r="CP42" s="12">
        <f ca="1">(IFERROR(INDEX(Raw!$C$1:$EE$33,MATCH($C42,Raw!$C$1:$C$33,0),MATCH(CP$36,Raw!$C$1:$EE$1,0)),"-"))</f>
        <v>0.40658870815092851</v>
      </c>
      <c r="CQ42" s="12">
        <f ca="1">(IFERROR(INDEX(Raw!$C$1:$EE$33,MATCH($C42,Raw!$C$1:$C$33,0),MATCH(CQ$36,Raw!$C$1:$EE$1,0)),"-"))</f>
        <v>0.9471914799001957</v>
      </c>
      <c r="CR42" s="12">
        <f ca="1">(IFERROR(INDEX(Raw!$C$1:$EE$33,MATCH($C42,Raw!$C$1:$C$33,0),MATCH(CR$36,Raw!$C$1:$EE$1,0)),"-"))</f>
        <v>0.82455148197501149</v>
      </c>
      <c r="CS42" s="12">
        <f ca="1">(IFERROR(INDEX(Raw!$C$1:$EE$33,MATCH($C42,Raw!$C$1:$C$33,0),MATCH(CS$36,Raw!$C$1:$EE$1,0)),"-"))</f>
        <v>0.29539744995655592</v>
      </c>
      <c r="CT42" s="12">
        <f ca="1">(IFERROR(INDEX(Raw!$C$1:$EE$33,MATCH($C42,Raw!$C$1:$C$33,0),MATCH(CT$36,Raw!$C$1:$EE$1,0)),"-"))</f>
        <v>0.32542960322291226</v>
      </c>
      <c r="CU42" s="12">
        <f ca="1">(IFERROR(INDEX(Raw!$C$1:$EE$33,MATCH($C42,Raw!$C$1:$C$33,0),MATCH(CU$36,Raw!$C$1:$EE$1,0)),"-"))</f>
        <v>0.93440661518242707</v>
      </c>
      <c r="CV42" s="12">
        <f ca="1">(IFERROR(INDEX(Raw!$C$1:$EE$33,MATCH($C42,Raw!$C$1:$C$33,0),MATCH(CV$36,Raw!$C$1:$EE$1,0)),"-"))</f>
        <v>0.75712481697912692</v>
      </c>
      <c r="CW42" s="12">
        <f ca="1">(IFERROR(INDEX(Raw!$C$1:$EE$33,MATCH($C42,Raw!$C$1:$C$33,0),MATCH(CW$36,Raw!$C$1:$EE$1,0)),"-"))</f>
        <v>2.1676934505922674E-2</v>
      </c>
      <c r="CX42" s="12">
        <f ca="1">(IFERROR(INDEX(Raw!$C$1:$EE$33,MATCH($C42,Raw!$C$1:$C$33,0),MATCH(CX$36,Raw!$C$1:$EE$1,0)),"-"))</f>
        <v>0.20151178597245711</v>
      </c>
      <c r="CY42" s="12">
        <f ca="1">(IFERROR(INDEX(Raw!$C$1:$EE$33,MATCH($C42,Raw!$C$1:$C$33,0),MATCH(CY$36,Raw!$C$1:$EE$1,0)),"-"))</f>
        <v>9.6216783014474005E-2</v>
      </c>
      <c r="CZ42" s="12">
        <f ca="1">(IFERROR(INDEX(Raw!$C$1:$EE$33,MATCH($C42,Raw!$C$1:$C$33,0),MATCH(CZ$36,Raw!$C$1:$EE$1,0)),"-"))</f>
        <v>0.87148723923454874</v>
      </c>
      <c r="DA42" s="12">
        <f ca="1">(IFERROR(INDEX(Raw!$C$1:$EE$33,MATCH($C42,Raw!$C$1:$C$33,0),MATCH(DA$36,Raw!$C$1:$EE$1,0)),"-"))</f>
        <v>0.39623748896373279</v>
      </c>
      <c r="DB42" s="12">
        <f ca="1">(IFERROR(INDEX(Raw!$C$1:$EE$33,MATCH($C42,Raw!$C$1:$C$33,0),MATCH(DB$36,Raw!$C$1:$EE$1,0)),"-"))</f>
        <v>0.39081514682370111</v>
      </c>
      <c r="DC42" s="12">
        <f ca="1">(IFERROR(INDEX(Raw!$C$1:$EE$33,MATCH($C42,Raw!$C$1:$C$33,0),MATCH(DC$36,Raw!$C$1:$EE$1,0)),"-"))</f>
        <v>0.85263755017343912</v>
      </c>
      <c r="DD42" s="12">
        <f ca="1">(IFERROR(INDEX(Raw!$C$1:$EE$33,MATCH($C42,Raw!$C$1:$C$33,0),MATCH(DD$36,Raw!$C$1:$EE$1,0)),"-"))</f>
        <v>0.29733015653641992</v>
      </c>
      <c r="DE42" s="12">
        <f ca="1">(IFERROR(INDEX(Raw!$C$1:$EE$33,MATCH($C42,Raw!$C$1:$C$33,0),MATCH(DE$36,Raw!$C$1:$EE$1,0)),"-"))</f>
        <v>0.33702864233379159</v>
      </c>
      <c r="DF42" s="12">
        <f ca="1">(IFERROR(INDEX(Raw!$C$1:$EE$33,MATCH($C42,Raw!$C$1:$C$33,0),MATCH(DF$36,Raw!$C$1:$EE$1,0)),"-"))</f>
        <v>0.446862232975618</v>
      </c>
      <c r="DG42" s="12">
        <f ca="1">(IFERROR(INDEX(Raw!$C$1:$EE$33,MATCH($C42,Raw!$C$1:$C$33,0),MATCH(DG$36,Raw!$C$1:$EE$1,0)),"-"))</f>
        <v>0.57721501005743381</v>
      </c>
      <c r="DH42" s="12">
        <f ca="1">(IFERROR(INDEX(Raw!$C$1:$EE$33,MATCH($C42,Raw!$C$1:$C$33,0),MATCH(DH$36,Raw!$C$1:$EE$1,0)),"-"))</f>
        <v>0.10174664347484152</v>
      </c>
      <c r="DI42" s="12">
        <f ca="1">(IFERROR(INDEX(Raw!$C$1:$EE$33,MATCH($C42,Raw!$C$1:$C$33,0),MATCH(DI$36,Raw!$C$1:$EE$1,0)),"-"))</f>
        <v>0.91498310677313266</v>
      </c>
      <c r="DJ42" s="12">
        <f ca="1">(IFERROR(INDEX(Raw!$C$1:$EE$33,MATCH($C42,Raw!$C$1:$C$33,0),MATCH(DJ$36,Raw!$C$1:$EE$1,0)),"-"))</f>
        <v>0.52293301470236186</v>
      </c>
      <c r="DK42" s="12">
        <f ca="1">(IFERROR(INDEX(Raw!$C$1:$EE$33,MATCH($C42,Raw!$C$1:$C$33,0),MATCH(DK$36,Raw!$C$1:$EE$1,0)),"-"))</f>
        <v>0.71004744111194884</v>
      </c>
      <c r="DL42" s="12">
        <f ca="1">(IFERROR(INDEX(Raw!$C$1:$EE$33,MATCH($C42,Raw!$C$1:$C$33,0),MATCH(DL$36,Raw!$C$1:$EE$1,0)),"-"))</f>
        <v>0.74650977745021607</v>
      </c>
      <c r="DM42" s="12">
        <f ca="1">(IFERROR(INDEX(Raw!$C$1:$EE$33,MATCH($C42,Raw!$C$1:$C$33,0),MATCH(DM$36,Raw!$C$1:$EE$1,0)),"-"))</f>
        <v>0.94940325513457724</v>
      </c>
      <c r="DN42" s="12">
        <f ca="1">(IFERROR(INDEX(Raw!$C$1:$EE$33,MATCH($C42,Raw!$C$1:$C$33,0),MATCH(DN$36,Raw!$C$1:$EE$1,0)),"-"))</f>
        <v>0.4307517162559753</v>
      </c>
      <c r="DO42" s="12">
        <f ca="1">(IFERROR(INDEX(Raw!$C$1:$EE$33,MATCH($C42,Raw!$C$1:$C$33,0),MATCH(DO$36,Raw!$C$1:$EE$1,0)),"-"))</f>
        <v>41</v>
      </c>
      <c r="DP42" s="12">
        <f ca="1">(IFERROR(INDEX(Raw!$C$1:$EE$33,MATCH($C42,Raw!$C$1:$C$33,0),MATCH(DP$36,Raw!$C$1:$EE$1,0)),"-"))</f>
        <v>0.31812982188040118</v>
      </c>
      <c r="DQ42" s="12">
        <f ca="1">(IFERROR(INDEX(Raw!$C$1:$EE$33,MATCH($C42,Raw!$C$1:$C$33,0),MATCH(DQ$36,Raw!$C$1:$EE$1,0)),"-"))</f>
        <v>0.67597854777949684</v>
      </c>
      <c r="DR42" s="12">
        <f ca="1">(IFERROR(INDEX(Raw!$C$1:$EE$33,MATCH($C42,Raw!$C$1:$C$33,0),MATCH(DR$36,Raw!$C$1:$EE$1,0)),"-"))</f>
        <v>0.89632523313842416</v>
      </c>
      <c r="DS42" s="12">
        <f ca="1">(IFERROR(INDEX(Raw!$C$1:$EE$33,MATCH($C42,Raw!$C$1:$C$33,0),MATCH(DS$36,Raw!$C$1:$EE$1,0)),"-"))</f>
        <v>0.94080252190721447</v>
      </c>
      <c r="DT42" s="12">
        <f ca="1">(IFERROR(INDEX(Raw!$C$1:$EE$33,MATCH($C42,Raw!$C$1:$C$33,0),MATCH(DT$36,Raw!$C$1:$EE$1,0)),"-"))</f>
        <v>0.62175159299942973</v>
      </c>
      <c r="DU42" s="12">
        <f ca="1">(IFERROR(INDEX(Raw!$C$1:$EE$33,MATCH($C42,Raw!$C$1:$C$33,0),MATCH(DU$36,Raw!$C$1:$EE$1,0)),"-"))</f>
        <v>0.95329373624804759</v>
      </c>
      <c r="DV42" s="12">
        <f ca="1">(IFERROR(INDEX(Raw!$C$1:$EE$33,MATCH($C42,Raw!$C$1:$C$33,0),MATCH(DV$36,Raw!$C$1:$EE$1,0)),"-"))</f>
        <v>0.37428391510364056</v>
      </c>
      <c r="DW42" s="12">
        <f ca="1">(IFERROR(INDEX(Raw!$C$1:$EE$33,MATCH($C42,Raw!$C$1:$C$33,0),MATCH(DW$36,Raw!$C$1:$EE$1,0)),"-"))</f>
        <v>0.42288020325268039</v>
      </c>
      <c r="DX42" s="12">
        <f ca="1">(IFERROR(INDEX(Raw!$C$1:$EE$33,MATCH($C42,Raw!$C$1:$C$33,0),MATCH(DX$36,Raw!$C$1:$EE$1,0)),"-"))</f>
        <v>0.9845195521827339</v>
      </c>
      <c r="DY42" s="12">
        <f ca="1">(IFERROR(INDEX(Raw!$C$1:$EE$33,MATCH($C42,Raw!$C$1:$C$33,0),MATCH(DY$36,Raw!$C$1:$EE$1,0)),"-"))</f>
        <v>0.48035337374978382</v>
      </c>
      <c r="DZ42" s="12">
        <f ca="1">(IFERROR(INDEX(Raw!$C$1:$EE$33,MATCH($C42,Raw!$C$1:$C$33,0),MATCH(DZ$36,Raw!$C$1:$EE$1,0)),"-"))</f>
        <v>0.94638318199164395</v>
      </c>
      <c r="EA42" s="12">
        <f ca="1">(IFERROR(INDEX(Raw!$C$1:$EE$33,MATCH($C42,Raw!$C$1:$C$33,0),MATCH(EA$36,Raw!$C$1:$EE$1,0)),"-"))</f>
        <v>0.19437503565556469</v>
      </c>
      <c r="EB42" s="12">
        <f ca="1">(IFERROR(INDEX(Raw!$C$1:$EE$33,MATCH($C42,Raw!$C$1:$C$33,0),MATCH(EB$36,Raw!$C$1:$EE$1,0)),"-"))</f>
        <v>0.32010460942907848</v>
      </c>
      <c r="EC42" s="12">
        <f ca="1">(IFERROR(INDEX(Raw!$C$1:$EE$33,MATCH($C42,Raw!$C$1:$C$33,0),MATCH(EC$36,Raw!$C$1:$EE$1,0)),"-"))</f>
        <v>0.52042967652579786</v>
      </c>
      <c r="ED42" s="12">
        <f ca="1">(IFERROR(INDEX(Raw!$C$1:$EE$33,MATCH($C42,Raw!$C$1:$C$33,0),MATCH(ED$36,Raw!$C$1:$EE$1,0)),"-"))</f>
        <v>0.71160582797699523</v>
      </c>
      <c r="EE42" s="12">
        <f ca="1">(IFERROR(INDEX(Raw!$C$1:$EE$33,MATCH($C42,Raw!$C$1:$C$33,0),MATCH(EE$36,Raw!$C$1:$EE$1,0)),"-"))</f>
        <v>0.96190017011326412</v>
      </c>
    </row>
    <row r="44" spans="2:135" x14ac:dyDescent="0.4">
      <c r="B44" s="16" t="s">
        <v>180</v>
      </c>
    </row>
    <row r="45" spans="2:135" x14ac:dyDescent="0.4">
      <c r="B45" s="13" t="s">
        <v>84</v>
      </c>
      <c r="C45" s="39" t="s">
        <v>41</v>
      </c>
      <c r="D45" s="14" t="str">
        <f>IF(DATEVALUE(C46)&lt;DATEVALUE(C45),"Please check dates.","")</f>
        <v>Please check dates.</v>
      </c>
    </row>
    <row r="46" spans="2:135" x14ac:dyDescent="0.4">
      <c r="B46" s="13" t="s">
        <v>83</v>
      </c>
      <c r="C46" s="39" t="s">
        <v>80</v>
      </c>
      <c r="D46" s="14" t="str">
        <f>IFERROR("From "&amp;C45&amp;" to "&amp;C46&amp;": "&amp;TEXT((DATEVALUE(C46)-DATEVALUE(C45)-1),"MM")&amp;" months.", "")</f>
        <v/>
      </c>
    </row>
    <row r="47" spans="2:135" x14ac:dyDescent="0.4">
      <c r="B47" s="8" t="s">
        <v>81</v>
      </c>
      <c r="C47" s="39" t="s">
        <v>28</v>
      </c>
      <c r="D47" s="6"/>
    </row>
    <row r="48" spans="2:135" x14ac:dyDescent="0.4">
      <c r="C48" s="15" t="s">
        <v>40</v>
      </c>
      <c r="D48" s="15" t="s">
        <v>42</v>
      </c>
      <c r="E48" s="15" t="s">
        <v>43</v>
      </c>
      <c r="F48" s="15" t="s">
        <v>44</v>
      </c>
      <c r="G48" s="15" t="s">
        <v>45</v>
      </c>
      <c r="H48" s="15" t="s">
        <v>46</v>
      </c>
      <c r="I48" s="15" t="s">
        <v>47</v>
      </c>
      <c r="J48" s="15" t="s">
        <v>48</v>
      </c>
      <c r="K48" s="15" t="s">
        <v>49</v>
      </c>
      <c r="L48" s="15" t="s">
        <v>50</v>
      </c>
      <c r="M48" s="15" t="s">
        <v>51</v>
      </c>
      <c r="N48" s="15" t="s">
        <v>52</v>
      </c>
      <c r="O48" s="15" t="s">
        <v>53</v>
      </c>
      <c r="P48" s="15" t="s">
        <v>54</v>
      </c>
      <c r="Q48" s="15" t="s">
        <v>55</v>
      </c>
      <c r="R48" s="15" t="s">
        <v>56</v>
      </c>
      <c r="S48" s="15" t="s">
        <v>57</v>
      </c>
      <c r="T48" s="15" t="s">
        <v>58</v>
      </c>
      <c r="U48" s="15" t="s">
        <v>59</v>
      </c>
      <c r="V48" s="15" t="s">
        <v>60</v>
      </c>
      <c r="W48" s="15" t="s">
        <v>61</v>
      </c>
      <c r="X48" s="15" t="s">
        <v>62</v>
      </c>
      <c r="Y48" s="15" t="s">
        <v>63</v>
      </c>
      <c r="Z48" s="15" t="s">
        <v>64</v>
      </c>
      <c r="AA48" s="15" t="s">
        <v>65</v>
      </c>
      <c r="AB48" s="15" t="s">
        <v>66</v>
      </c>
      <c r="AC48" s="15" t="s">
        <v>67</v>
      </c>
      <c r="AD48" s="15" t="s">
        <v>68</v>
      </c>
      <c r="AE48" s="15" t="s">
        <v>69</v>
      </c>
      <c r="AF48" s="15" t="s">
        <v>70</v>
      </c>
      <c r="AG48" s="15" t="s">
        <v>71</v>
      </c>
      <c r="AH48" s="15" t="s">
        <v>72</v>
      </c>
      <c r="AI48" s="15" t="s">
        <v>73</v>
      </c>
      <c r="AJ48" s="15" t="s">
        <v>74</v>
      </c>
      <c r="AK48" s="15" t="s">
        <v>75</v>
      </c>
      <c r="AL48" s="15" t="s">
        <v>76</v>
      </c>
      <c r="AM48" s="15" t="s">
        <v>77</v>
      </c>
      <c r="AN48" s="15" t="s">
        <v>78</v>
      </c>
      <c r="AO48" s="15" t="s">
        <v>85</v>
      </c>
      <c r="AP48" s="15" t="s">
        <v>86</v>
      </c>
      <c r="AQ48" s="15" t="s">
        <v>87</v>
      </c>
      <c r="AR48" s="15" t="s">
        <v>88</v>
      </c>
      <c r="AS48" s="15" t="s">
        <v>89</v>
      </c>
      <c r="AT48" s="15" t="s">
        <v>90</v>
      </c>
      <c r="AU48" s="15" t="s">
        <v>91</v>
      </c>
      <c r="AV48" s="15" t="s">
        <v>92</v>
      </c>
      <c r="AW48" s="15" t="s">
        <v>93</v>
      </c>
      <c r="AX48" s="15" t="s">
        <v>94</v>
      </c>
      <c r="AY48" s="15" t="s">
        <v>95</v>
      </c>
      <c r="AZ48" s="15" t="s">
        <v>96</v>
      </c>
      <c r="BA48" s="15" t="s">
        <v>97</v>
      </c>
      <c r="BB48" s="15" t="s">
        <v>98</v>
      </c>
      <c r="BC48" s="15" t="s">
        <v>99</v>
      </c>
      <c r="BD48" s="15" t="s">
        <v>100</v>
      </c>
      <c r="BE48" s="15" t="s">
        <v>101</v>
      </c>
      <c r="BF48" s="15" t="s">
        <v>102</v>
      </c>
      <c r="BG48" s="15" t="s">
        <v>103</v>
      </c>
      <c r="BH48" s="15" t="s">
        <v>104</v>
      </c>
      <c r="BI48" s="15" t="s">
        <v>105</v>
      </c>
      <c r="BJ48" s="15" t="s">
        <v>106</v>
      </c>
      <c r="BK48" s="15" t="s">
        <v>107</v>
      </c>
      <c r="BL48" s="15" t="s">
        <v>108</v>
      </c>
      <c r="BM48" s="15" t="s">
        <v>109</v>
      </c>
      <c r="BN48" s="15" t="s">
        <v>110</v>
      </c>
      <c r="BO48" s="15" t="s">
        <v>111</v>
      </c>
      <c r="BP48" s="15" t="s">
        <v>112</v>
      </c>
      <c r="BQ48" s="15" t="s">
        <v>113</v>
      </c>
      <c r="BR48" s="15" t="s">
        <v>114</v>
      </c>
      <c r="BS48" s="15" t="s">
        <v>115</v>
      </c>
      <c r="BT48" s="15" t="s">
        <v>116</v>
      </c>
      <c r="BU48" s="15" t="s">
        <v>117</v>
      </c>
      <c r="BV48" s="15" t="s">
        <v>118</v>
      </c>
      <c r="BW48" s="15" t="s">
        <v>119</v>
      </c>
      <c r="BX48" s="15" t="s">
        <v>120</v>
      </c>
      <c r="BY48" s="15" t="s">
        <v>121</v>
      </c>
      <c r="BZ48" s="15" t="s">
        <v>122</v>
      </c>
      <c r="CA48" s="15" t="s">
        <v>123</v>
      </c>
      <c r="CB48" s="15" t="s">
        <v>124</v>
      </c>
      <c r="CC48" s="15" t="s">
        <v>125</v>
      </c>
      <c r="CD48" s="15" t="s">
        <v>126</v>
      </c>
      <c r="CE48" s="15" t="s">
        <v>127</v>
      </c>
      <c r="CF48" s="15" t="s">
        <v>128</v>
      </c>
      <c r="CG48" s="15" t="s">
        <v>129</v>
      </c>
      <c r="CH48" s="15" t="s">
        <v>130</v>
      </c>
      <c r="CI48" s="15" t="s">
        <v>131</v>
      </c>
      <c r="CJ48" s="15" t="s">
        <v>132</v>
      </c>
      <c r="CK48" s="15" t="s">
        <v>133</v>
      </c>
      <c r="CL48" s="15" t="s">
        <v>134</v>
      </c>
      <c r="CM48" s="15" t="s">
        <v>135</v>
      </c>
      <c r="CN48" s="15" t="s">
        <v>136</v>
      </c>
      <c r="CO48" s="15" t="s">
        <v>137</v>
      </c>
      <c r="CP48" s="15" t="s">
        <v>138</v>
      </c>
      <c r="CQ48" s="15" t="s">
        <v>139</v>
      </c>
      <c r="CR48" s="15" t="s">
        <v>140</v>
      </c>
      <c r="CS48" s="15" t="s">
        <v>141</v>
      </c>
      <c r="CT48" s="15" t="s">
        <v>142</v>
      </c>
      <c r="CU48" s="15" t="s">
        <v>143</v>
      </c>
      <c r="CV48" s="15" t="s">
        <v>144</v>
      </c>
      <c r="CW48" s="15" t="s">
        <v>145</v>
      </c>
      <c r="CX48" s="15" t="s">
        <v>146</v>
      </c>
      <c r="CY48" s="15" t="s">
        <v>147</v>
      </c>
      <c r="CZ48" s="15" t="s">
        <v>148</v>
      </c>
      <c r="DA48" s="15" t="s">
        <v>149</v>
      </c>
      <c r="DB48" s="15" t="s">
        <v>150</v>
      </c>
      <c r="DC48" s="15" t="s">
        <v>151</v>
      </c>
      <c r="DD48" s="15" t="s">
        <v>152</v>
      </c>
      <c r="DE48" s="15" t="s">
        <v>153</v>
      </c>
      <c r="DF48" s="15" t="s">
        <v>154</v>
      </c>
      <c r="DG48" s="15" t="s">
        <v>155</v>
      </c>
      <c r="DH48" s="15" t="s">
        <v>156</v>
      </c>
      <c r="DI48" s="15" t="s">
        <v>157</v>
      </c>
      <c r="DJ48" s="15" t="s">
        <v>158</v>
      </c>
      <c r="DK48" s="15" t="s">
        <v>159</v>
      </c>
      <c r="DL48" s="15" t="s">
        <v>160</v>
      </c>
      <c r="DM48" s="15" t="s">
        <v>161</v>
      </c>
      <c r="DN48" s="15" t="s">
        <v>162</v>
      </c>
      <c r="DO48" s="15" t="s">
        <v>163</v>
      </c>
      <c r="DP48" s="15" t="s">
        <v>164</v>
      </c>
      <c r="DQ48" s="15" t="s">
        <v>165</v>
      </c>
      <c r="DR48" s="15" t="s">
        <v>166</v>
      </c>
      <c r="DS48" s="15" t="s">
        <v>167</v>
      </c>
      <c r="DT48" s="15" t="s">
        <v>168</v>
      </c>
      <c r="DU48" s="15" t="s">
        <v>169</v>
      </c>
      <c r="DV48" s="15" t="s">
        <v>170</v>
      </c>
      <c r="DW48" s="15" t="s">
        <v>171</v>
      </c>
      <c r="DX48" s="15" t="s">
        <v>172</v>
      </c>
      <c r="DY48" s="15" t="s">
        <v>173</v>
      </c>
      <c r="DZ48" s="15" t="s">
        <v>174</v>
      </c>
      <c r="EA48" s="15" t="s">
        <v>175</v>
      </c>
      <c r="EB48" s="15" t="s">
        <v>176</v>
      </c>
      <c r="EC48" s="15" t="s">
        <v>177</v>
      </c>
      <c r="ED48" s="15" t="s">
        <v>178</v>
      </c>
      <c r="EE48" s="15" t="s">
        <v>179</v>
      </c>
    </row>
    <row r="49" spans="1:135" x14ac:dyDescent="0.4">
      <c r="C49" s="5" t="s">
        <v>40</v>
      </c>
      <c r="D49" s="5" t="str">
        <f>IF(ISBLANK(C45), "", C45)</f>
        <v>Jan-20</v>
      </c>
      <c r="E49" s="5" t="str">
        <f ca="1">IFERROR(IF(DATEVALUE(D$49)=DATEVALUE($EE$1),"",(IF($D$49="","",IF(DATEVALUE(D49)=DATEVALUE($C$46),"",(TEXT(DATE(YEAR(D49),MONTH(D49)+1,DAY(D49)),"Mmm-yy")))))), "")</f>
        <v>Feb-20</v>
      </c>
      <c r="F49" s="5" t="str">
        <f t="shared" ref="F49:BQ49" ca="1" si="123">IFERROR(IF(DATEVALUE(E$49)=DATEVALUE($EE$1),"",(IF($D$49="","",IF(DATEVALUE(E49)=DATEVALUE($C$46),"",(TEXT(DATE(YEAR(E49),MONTH(E49)+1,DAY(E49)),"Mmm-yy")))))), "")</f>
        <v>Mar-20</v>
      </c>
      <c r="G49" s="5" t="str">
        <f t="shared" ca="1" si="123"/>
        <v>Apr-20</v>
      </c>
      <c r="H49" s="5" t="str">
        <f t="shared" ca="1" si="123"/>
        <v>May-20</v>
      </c>
      <c r="I49" s="5" t="str">
        <f t="shared" ca="1" si="123"/>
        <v>Jun-20</v>
      </c>
      <c r="J49" s="5" t="str">
        <f t="shared" ca="1" si="123"/>
        <v>Jul-20</v>
      </c>
      <c r="K49" s="5" t="str">
        <f t="shared" ca="1" si="123"/>
        <v>Aug-20</v>
      </c>
      <c r="L49" s="5" t="str">
        <f t="shared" ca="1" si="123"/>
        <v>Sep-20</v>
      </c>
      <c r="M49" s="5" t="str">
        <f t="shared" ca="1" si="123"/>
        <v>Oct-20</v>
      </c>
      <c r="N49" s="5" t="str">
        <f t="shared" ca="1" si="123"/>
        <v>Nov-20</v>
      </c>
      <c r="O49" s="5" t="str">
        <f t="shared" ca="1" si="123"/>
        <v>Dec-20</v>
      </c>
      <c r="P49" s="5" t="str">
        <f t="shared" ca="1" si="123"/>
        <v>Jan-21</v>
      </c>
      <c r="Q49" s="5" t="str">
        <f t="shared" ca="1" si="123"/>
        <v>Feb-21</v>
      </c>
      <c r="R49" s="5" t="str">
        <f t="shared" ca="1" si="123"/>
        <v>Mar-21</v>
      </c>
      <c r="S49" s="5" t="str">
        <f t="shared" ca="1" si="123"/>
        <v>Apr-21</v>
      </c>
      <c r="T49" s="5" t="str">
        <f t="shared" ca="1" si="123"/>
        <v>May-21</v>
      </c>
      <c r="U49" s="5" t="str">
        <f t="shared" ca="1" si="123"/>
        <v>Jun-21</v>
      </c>
      <c r="V49" s="5" t="str">
        <f t="shared" ca="1" si="123"/>
        <v>Jul-21</v>
      </c>
      <c r="W49" s="5" t="str">
        <f t="shared" ca="1" si="123"/>
        <v>Aug-21</v>
      </c>
      <c r="X49" s="5" t="str">
        <f t="shared" ca="1" si="123"/>
        <v>Sep-21</v>
      </c>
      <c r="Y49" s="5" t="str">
        <f t="shared" ca="1" si="123"/>
        <v>Oct-21</v>
      </c>
      <c r="Z49" s="5" t="str">
        <f t="shared" ca="1" si="123"/>
        <v>Nov-21</v>
      </c>
      <c r="AA49" s="5" t="str">
        <f t="shared" ca="1" si="123"/>
        <v>Dec-21</v>
      </c>
      <c r="AB49" s="5" t="str">
        <f t="shared" ca="1" si="123"/>
        <v>Jan-22</v>
      </c>
      <c r="AC49" s="5" t="str">
        <f t="shared" ca="1" si="123"/>
        <v>Feb-22</v>
      </c>
      <c r="AD49" s="5" t="str">
        <f t="shared" ca="1" si="123"/>
        <v>Mar-22</v>
      </c>
      <c r="AE49" s="5" t="str">
        <f t="shared" ca="1" si="123"/>
        <v>Apr-22</v>
      </c>
      <c r="AF49" s="5" t="str">
        <f t="shared" ca="1" si="123"/>
        <v>May-22</v>
      </c>
      <c r="AG49" s="5" t="str">
        <f t="shared" ca="1" si="123"/>
        <v>Jun-22</v>
      </c>
      <c r="AH49" s="5" t="str">
        <f t="shared" ca="1" si="123"/>
        <v>Jul-22</v>
      </c>
      <c r="AI49" s="5" t="str">
        <f t="shared" ca="1" si="123"/>
        <v>Aug-22</v>
      </c>
      <c r="AJ49" s="5" t="str">
        <f t="shared" ca="1" si="123"/>
        <v>Sep-22</v>
      </c>
      <c r="AK49" s="5" t="str">
        <f t="shared" ca="1" si="123"/>
        <v>Oct-22</v>
      </c>
      <c r="AL49" s="5" t="str">
        <f t="shared" ca="1" si="123"/>
        <v>Nov-22</v>
      </c>
      <c r="AM49" s="5" t="str">
        <f t="shared" ca="1" si="123"/>
        <v>Dec-22</v>
      </c>
      <c r="AN49" s="5" t="str">
        <f t="shared" ca="1" si="123"/>
        <v>Jan-23</v>
      </c>
      <c r="AO49" s="5" t="str">
        <f t="shared" ca="1" si="123"/>
        <v>Feb-23</v>
      </c>
      <c r="AP49" s="5" t="str">
        <f t="shared" ca="1" si="123"/>
        <v>Mar-23</v>
      </c>
      <c r="AQ49" s="5" t="str">
        <f t="shared" ca="1" si="123"/>
        <v>Apr-23</v>
      </c>
      <c r="AR49" s="5" t="str">
        <f t="shared" ca="1" si="123"/>
        <v>May-23</v>
      </c>
      <c r="AS49" s="5" t="str">
        <f t="shared" ca="1" si="123"/>
        <v>Jun-23</v>
      </c>
      <c r="AT49" s="5" t="str">
        <f t="shared" ca="1" si="123"/>
        <v>Jul-23</v>
      </c>
      <c r="AU49" s="5" t="str">
        <f t="shared" ca="1" si="123"/>
        <v>Aug-23</v>
      </c>
      <c r="AV49" s="5" t="str">
        <f t="shared" ca="1" si="123"/>
        <v>Sep-23</v>
      </c>
      <c r="AW49" s="5" t="str">
        <f t="shared" ca="1" si="123"/>
        <v>Oct-23</v>
      </c>
      <c r="AX49" s="5" t="str">
        <f t="shared" ca="1" si="123"/>
        <v>Nov-23</v>
      </c>
      <c r="AY49" s="5" t="str">
        <f t="shared" ca="1" si="123"/>
        <v>Dec-23</v>
      </c>
      <c r="AZ49" s="5" t="str">
        <f t="shared" ca="1" si="123"/>
        <v>Jan-24</v>
      </c>
      <c r="BA49" s="5" t="str">
        <f t="shared" ca="1" si="123"/>
        <v>Feb-24</v>
      </c>
      <c r="BB49" s="5" t="str">
        <f t="shared" ca="1" si="123"/>
        <v>Mar-24</v>
      </c>
      <c r="BC49" s="5" t="str">
        <f t="shared" ca="1" si="123"/>
        <v>Apr-24</v>
      </c>
      <c r="BD49" s="5" t="str">
        <f t="shared" ca="1" si="123"/>
        <v>May-24</v>
      </c>
      <c r="BE49" s="5" t="str">
        <f t="shared" ca="1" si="123"/>
        <v>Jun-24</v>
      </c>
      <c r="BF49" s="5" t="str">
        <f t="shared" ca="1" si="123"/>
        <v>Jul-24</v>
      </c>
      <c r="BG49" s="5" t="str">
        <f t="shared" ca="1" si="123"/>
        <v>Aug-24</v>
      </c>
      <c r="BH49" s="5" t="str">
        <f t="shared" ca="1" si="123"/>
        <v>Sep-24</v>
      </c>
      <c r="BI49" s="5" t="str">
        <f t="shared" ca="1" si="123"/>
        <v>Oct-24</v>
      </c>
      <c r="BJ49" s="5" t="str">
        <f t="shared" ca="1" si="123"/>
        <v>Nov-24</v>
      </c>
      <c r="BK49" s="5" t="str">
        <f t="shared" ca="1" si="123"/>
        <v>Dec-24</v>
      </c>
      <c r="BL49" s="5" t="str">
        <f t="shared" ca="1" si="123"/>
        <v>Jan-25</v>
      </c>
      <c r="BM49" s="5" t="str">
        <f t="shared" ca="1" si="123"/>
        <v>Feb-25</v>
      </c>
      <c r="BN49" s="5" t="str">
        <f t="shared" ca="1" si="123"/>
        <v>Mar-25</v>
      </c>
      <c r="BO49" s="5" t="str">
        <f t="shared" ca="1" si="123"/>
        <v>Apr-25</v>
      </c>
      <c r="BP49" s="5" t="str">
        <f t="shared" ca="1" si="123"/>
        <v>May-25</v>
      </c>
      <c r="BQ49" s="5" t="str">
        <f t="shared" ca="1" si="123"/>
        <v>Jun-25</v>
      </c>
      <c r="BR49" s="5" t="str">
        <f t="shared" ref="BR49:EC49" ca="1" si="124">IFERROR(IF(DATEVALUE(BQ$49)=DATEVALUE($EE$1),"",(IF($D$49="","",IF(DATEVALUE(BQ49)=DATEVALUE($C$46),"",(TEXT(DATE(YEAR(BQ49),MONTH(BQ49)+1,DAY(BQ49)),"Mmm-yy")))))), "")</f>
        <v>Jul-25</v>
      </c>
      <c r="BS49" s="5" t="str">
        <f t="shared" ca="1" si="124"/>
        <v>Aug-25</v>
      </c>
      <c r="BT49" s="5" t="str">
        <f t="shared" ca="1" si="124"/>
        <v>Sep-25</v>
      </c>
      <c r="BU49" s="5" t="str">
        <f t="shared" ca="1" si="124"/>
        <v>Oct-25</v>
      </c>
      <c r="BV49" s="5" t="str">
        <f t="shared" ca="1" si="124"/>
        <v>Nov-25</v>
      </c>
      <c r="BW49" s="5" t="str">
        <f t="shared" ca="1" si="124"/>
        <v>Dec-25</v>
      </c>
      <c r="BX49" s="5" t="str">
        <f t="shared" ca="1" si="124"/>
        <v>Jan-26</v>
      </c>
      <c r="BY49" s="5" t="str">
        <f t="shared" ca="1" si="124"/>
        <v>Feb-26</v>
      </c>
      <c r="BZ49" s="5" t="str">
        <f t="shared" ca="1" si="124"/>
        <v>Mar-26</v>
      </c>
      <c r="CA49" s="5" t="str">
        <f t="shared" ca="1" si="124"/>
        <v>Apr-26</v>
      </c>
      <c r="CB49" s="5" t="str">
        <f t="shared" ca="1" si="124"/>
        <v>May-26</v>
      </c>
      <c r="CC49" s="5" t="str">
        <f t="shared" ca="1" si="124"/>
        <v>Jun-26</v>
      </c>
      <c r="CD49" s="5" t="str">
        <f t="shared" ca="1" si="124"/>
        <v>Jul-26</v>
      </c>
      <c r="CE49" s="5" t="str">
        <f t="shared" ca="1" si="124"/>
        <v>Aug-26</v>
      </c>
      <c r="CF49" s="5" t="str">
        <f t="shared" ca="1" si="124"/>
        <v>Sep-26</v>
      </c>
      <c r="CG49" s="5" t="str">
        <f t="shared" ca="1" si="124"/>
        <v>Oct-26</v>
      </c>
      <c r="CH49" s="5" t="str">
        <f t="shared" ca="1" si="124"/>
        <v>Nov-26</v>
      </c>
      <c r="CI49" s="5" t="str">
        <f t="shared" ca="1" si="124"/>
        <v>Dec-26</v>
      </c>
      <c r="CJ49" s="5" t="str">
        <f t="shared" ca="1" si="124"/>
        <v>Jan-27</v>
      </c>
      <c r="CK49" s="5" t="str">
        <f t="shared" ca="1" si="124"/>
        <v>Feb-27</v>
      </c>
      <c r="CL49" s="5" t="str">
        <f t="shared" ca="1" si="124"/>
        <v>Mar-27</v>
      </c>
      <c r="CM49" s="5" t="str">
        <f t="shared" ca="1" si="124"/>
        <v>Apr-27</v>
      </c>
      <c r="CN49" s="5" t="str">
        <f t="shared" ca="1" si="124"/>
        <v>May-27</v>
      </c>
      <c r="CO49" s="5" t="str">
        <f t="shared" ca="1" si="124"/>
        <v>Jun-27</v>
      </c>
      <c r="CP49" s="5" t="str">
        <f t="shared" ca="1" si="124"/>
        <v>Jul-27</v>
      </c>
      <c r="CQ49" s="5" t="str">
        <f t="shared" ca="1" si="124"/>
        <v>Aug-27</v>
      </c>
      <c r="CR49" s="5" t="str">
        <f t="shared" ca="1" si="124"/>
        <v>Sep-27</v>
      </c>
      <c r="CS49" s="5" t="str">
        <f t="shared" ca="1" si="124"/>
        <v>Oct-27</v>
      </c>
      <c r="CT49" s="5" t="str">
        <f t="shared" ca="1" si="124"/>
        <v>Nov-27</v>
      </c>
      <c r="CU49" s="5" t="str">
        <f t="shared" ca="1" si="124"/>
        <v>Dec-27</v>
      </c>
      <c r="CV49" s="5" t="str">
        <f t="shared" ca="1" si="124"/>
        <v>Jan-28</v>
      </c>
      <c r="CW49" s="5" t="str">
        <f t="shared" ca="1" si="124"/>
        <v>Feb-28</v>
      </c>
      <c r="CX49" s="5" t="str">
        <f t="shared" ca="1" si="124"/>
        <v>Mar-28</v>
      </c>
      <c r="CY49" s="5" t="str">
        <f t="shared" ca="1" si="124"/>
        <v>Apr-28</v>
      </c>
      <c r="CZ49" s="5" t="str">
        <f t="shared" ca="1" si="124"/>
        <v>May-28</v>
      </c>
      <c r="DA49" s="5" t="str">
        <f t="shared" ca="1" si="124"/>
        <v>Jun-28</v>
      </c>
      <c r="DB49" s="5" t="str">
        <f t="shared" ca="1" si="124"/>
        <v>Jul-28</v>
      </c>
      <c r="DC49" s="5" t="str">
        <f t="shared" ca="1" si="124"/>
        <v>Aug-28</v>
      </c>
      <c r="DD49" s="5" t="str">
        <f t="shared" ca="1" si="124"/>
        <v>Sep-28</v>
      </c>
      <c r="DE49" s="5" t="str">
        <f t="shared" ca="1" si="124"/>
        <v>Oct-28</v>
      </c>
      <c r="DF49" s="5" t="str">
        <f t="shared" ca="1" si="124"/>
        <v>Nov-28</v>
      </c>
      <c r="DG49" s="5" t="str">
        <f t="shared" ca="1" si="124"/>
        <v>Dec-28</v>
      </c>
      <c r="DH49" s="5" t="str">
        <f t="shared" ca="1" si="124"/>
        <v>Jan-29</v>
      </c>
      <c r="DI49" s="5" t="str">
        <f t="shared" ca="1" si="124"/>
        <v>Feb-29</v>
      </c>
      <c r="DJ49" s="5" t="str">
        <f t="shared" ca="1" si="124"/>
        <v>Mar-29</v>
      </c>
      <c r="DK49" s="5" t="str">
        <f t="shared" ca="1" si="124"/>
        <v>Apr-29</v>
      </c>
      <c r="DL49" s="5" t="str">
        <f t="shared" ca="1" si="124"/>
        <v>May-29</v>
      </c>
      <c r="DM49" s="5" t="str">
        <f t="shared" ca="1" si="124"/>
        <v>Jun-29</v>
      </c>
      <c r="DN49" s="5" t="str">
        <f t="shared" ca="1" si="124"/>
        <v>Jul-29</v>
      </c>
      <c r="DO49" s="5" t="str">
        <f t="shared" ca="1" si="124"/>
        <v>Aug-29</v>
      </c>
      <c r="DP49" s="5" t="str">
        <f t="shared" ca="1" si="124"/>
        <v>Sep-29</v>
      </c>
      <c r="DQ49" s="5" t="str">
        <f t="shared" ca="1" si="124"/>
        <v>Oct-29</v>
      </c>
      <c r="DR49" s="5" t="str">
        <f t="shared" ca="1" si="124"/>
        <v>Nov-29</v>
      </c>
      <c r="DS49" s="5" t="str">
        <f t="shared" ca="1" si="124"/>
        <v>Dec-29</v>
      </c>
      <c r="DT49" s="5" t="str">
        <f t="shared" ca="1" si="124"/>
        <v>Jan-30</v>
      </c>
      <c r="DU49" s="5" t="str">
        <f t="shared" ca="1" si="124"/>
        <v>Feb-30</v>
      </c>
      <c r="DV49" s="5" t="str">
        <f t="shared" ca="1" si="124"/>
        <v>Mar-30</v>
      </c>
      <c r="DW49" s="5" t="str">
        <f t="shared" ca="1" si="124"/>
        <v>Apr-30</v>
      </c>
      <c r="DX49" s="5" t="str">
        <f t="shared" ca="1" si="124"/>
        <v>May-30</v>
      </c>
      <c r="DY49" s="5" t="str">
        <f t="shared" ca="1" si="124"/>
        <v>Jun-30</v>
      </c>
      <c r="DZ49" s="5" t="str">
        <f t="shared" ca="1" si="124"/>
        <v>Jul-30</v>
      </c>
      <c r="EA49" s="5" t="str">
        <f t="shared" ca="1" si="124"/>
        <v>Aug-30</v>
      </c>
      <c r="EB49" s="5" t="str">
        <f t="shared" ca="1" si="124"/>
        <v>Sep-30</v>
      </c>
      <c r="EC49" s="5" t="str">
        <f t="shared" ca="1" si="124"/>
        <v/>
      </c>
      <c r="ED49" s="5" t="str">
        <f t="shared" ref="ED49:EE49" ca="1" si="125">IFERROR(IF(DATEVALUE(EC$49)=DATEVALUE($EE$1),"",(IF($D$49="","",IF(DATEVALUE(EC49)=DATEVALUE($C$46),"",(TEXT(DATE(YEAR(EC49),MONTH(EC49)+1,DAY(EC49)),"Mmm-yy")))))), "")</f>
        <v/>
      </c>
      <c r="EE49" s="5" t="str">
        <f t="shared" ca="1" si="125"/>
        <v/>
      </c>
    </row>
    <row r="50" spans="1:135" x14ac:dyDescent="0.4">
      <c r="C50" s="17" t="str">
        <f>C47</f>
        <v>KPI 9 %</v>
      </c>
      <c r="D50" s="12">
        <f ca="1">IFERROR((IF(D$49+1&gt;$D$45,"",IF(ISBLANK(D49),"",(IFERROR(INDEX(Raw!$C$1:$EE$33,MATCH($C$47,Raw!$C$1:$C$33,0),MATCH(D$36,Raw!$C$1:$EE$1,0)),"-"))))), "")</f>
        <v>0.45432669505472378</v>
      </c>
      <c r="E50" s="12">
        <f ca="1">IFERROR((IF(E$49+1&gt;$D$45,"",IF(ISBLANK(E49),"",(IFERROR(INDEX(Raw!$C$1:$EE$33,MATCH($C$47,Raw!$C$1:$C$33,0),MATCH(E$36,Raw!$C$1:$EE$1,0)),"-"))))), "")</f>
        <v>0.77478422847105832</v>
      </c>
      <c r="F50" s="12">
        <f ca="1">IFERROR((IF(F$49+1&gt;$D$45,"",IF(ISBLANK(F49),"",(IFERROR(INDEX(Raw!$C$1:$EE$33,MATCH($C$47,Raw!$C$1:$C$33,0),MATCH(F$36,Raw!$C$1:$EE$1,0)),"-"))))), "")</f>
        <v>0.9810503773574405</v>
      </c>
      <c r="G50" s="12">
        <f ca="1">IFERROR((IF(G$49+1&gt;$D$45,"",IF(ISBLANK(G49),"",(IFERROR(INDEX(Raw!$C$1:$EE$33,MATCH($C$47,Raw!$C$1:$C$33,0),MATCH(G$36,Raw!$C$1:$EE$1,0)),"-"))))), "")</f>
        <v>0.22909456961590968</v>
      </c>
      <c r="H50" s="12">
        <f ca="1">IFERROR((IF(H$49+1&gt;$D$45,"",IF(ISBLANK(H49),"",(IFERROR(INDEX(Raw!$C$1:$EE$33,MATCH($C$47,Raw!$C$1:$C$33,0),MATCH(H$36,Raw!$C$1:$EE$1,0)),"-"))))), "")</f>
        <v>0.58598511179741375</v>
      </c>
      <c r="I50" s="12">
        <f ca="1">IFERROR((IF(I$49+1&gt;$D$45,"",IF(ISBLANK(I49),"",(IFERROR(INDEX(Raw!$C$1:$EE$33,MATCH($C$47,Raw!$C$1:$C$33,0),MATCH(I$36,Raw!$C$1:$EE$1,0)),"-"))))), "")</f>
        <v>4.7664701587642577E-2</v>
      </c>
      <c r="J50" s="12">
        <f ca="1">IFERROR((IF(J$49+1&gt;$D$45,"",IF(ISBLANK(J49),"",(IFERROR(INDEX(Raw!$C$1:$EE$33,MATCH($C$47,Raw!$C$1:$C$33,0),MATCH(J$36,Raw!$C$1:$EE$1,0)),"-"))))), "")</f>
        <v>0.32108978948166034</v>
      </c>
      <c r="K50" s="12">
        <f ca="1">IFERROR((IF(K$49+1&gt;$D$45,"",IF(ISBLANK(K49),"",(IFERROR(INDEX(Raw!$C$1:$EE$33,MATCH($C$47,Raw!$C$1:$C$33,0),MATCH(K$36,Raw!$C$1:$EE$1,0)),"-"))))), "")</f>
        <v>0.62709148181114516</v>
      </c>
      <c r="L50" s="12">
        <f ca="1">IFERROR((IF(L$49+1&gt;$D$45,"",IF(ISBLANK(L49),"",(IFERROR(INDEX(Raw!$C$1:$EE$33,MATCH($C$47,Raw!$C$1:$C$33,0),MATCH(L$36,Raw!$C$1:$EE$1,0)),"-"))))), "")</f>
        <v>0.60745707460436704</v>
      </c>
      <c r="M50" s="12">
        <f ca="1">IFERROR((IF(M$49+1&gt;$D$45,"",IF(ISBLANK(M49),"",(IFERROR(INDEX(Raw!$C$1:$EE$33,MATCH($C$47,Raw!$C$1:$C$33,0),MATCH(M$36,Raw!$C$1:$EE$1,0)),"-"))))), "")</f>
        <v>0.54142976386836206</v>
      </c>
      <c r="N50" s="12">
        <f ca="1">IFERROR((IF(N$49+1&gt;$D$45,"",IF(ISBLANK(N49),"",(IFERROR(INDEX(Raw!$C$1:$EE$33,MATCH($C$47,Raw!$C$1:$C$33,0),MATCH(N$36,Raw!$C$1:$EE$1,0)),"-"))))), "")</f>
        <v>0.7702791910940987</v>
      </c>
      <c r="O50" s="12">
        <f ca="1">IFERROR((IF(O$49+1&gt;$D$45,"",IF(ISBLANK(O49),"",(IFERROR(INDEX(Raw!$C$1:$EE$33,MATCH($C$47,Raw!$C$1:$C$33,0),MATCH(O$36,Raw!$C$1:$EE$1,0)),"-"))))), "")</f>
        <v>8.5123976567346271E-2</v>
      </c>
      <c r="P50" s="12">
        <f ca="1">IFERROR((IF(P$49+1&gt;$D$45,"",IF(ISBLANK(P49),"",(IFERROR(INDEX(Raw!$C$1:$EE$33,MATCH($C$47,Raw!$C$1:$C$33,0),MATCH(P$36,Raw!$C$1:$EE$1,0)),"-"))))), "")</f>
        <v>0.82520318483480593</v>
      </c>
      <c r="Q50" s="12">
        <f ca="1">IFERROR((IF(Q$49+1&gt;$D$45,"",IF(ISBLANK(Q49),"",(IFERROR(INDEX(Raw!$C$1:$EE$33,MATCH($C$47,Raw!$C$1:$C$33,0),MATCH(Q$36,Raw!$C$1:$EE$1,0)),"-"))))), "")</f>
        <v>0.63724537332298437</v>
      </c>
      <c r="R50" s="12">
        <f ca="1">IFERROR((IF(R$49+1&gt;$D$45,"",IF(ISBLANK(R49),"",(IFERROR(INDEX(Raw!$C$1:$EE$33,MATCH($C$47,Raw!$C$1:$C$33,0),MATCH(R$36,Raw!$C$1:$EE$1,0)),"-"))))), "")</f>
        <v>0.10002762966497947</v>
      </c>
      <c r="S50" s="12">
        <f ca="1">IFERROR((IF(S$49+1&gt;$D$45,"",IF(ISBLANK(S49),"",(IFERROR(INDEX(Raw!$C$1:$EE$33,MATCH($C$47,Raw!$C$1:$C$33,0),MATCH(S$36,Raw!$C$1:$EE$1,0)),"-"))))), "")</f>
        <v>0.89546528141623671</v>
      </c>
      <c r="T50" s="12">
        <f ca="1">IFERROR((IF(T$49+1&gt;$D$45,"",IF(ISBLANK(T49),"",(IFERROR(INDEX(Raw!$C$1:$EE$33,MATCH($C$47,Raw!$C$1:$C$33,0),MATCH(T$36,Raw!$C$1:$EE$1,0)),"-"))))), "")</f>
        <v>0.15305441452287905</v>
      </c>
      <c r="U50" s="12">
        <f ca="1">IFERROR((IF(U$49+1&gt;$D$45,"",IF(ISBLANK(U49),"",(IFERROR(INDEX(Raw!$C$1:$EE$33,MATCH($C$47,Raw!$C$1:$C$33,0),MATCH(U$36,Raw!$C$1:$EE$1,0)),"-"))))), "")</f>
        <v>0.34449976155250595</v>
      </c>
      <c r="V50" s="12">
        <f ca="1">IFERROR((IF(V$49+1&gt;$D$45,"",IF(ISBLANK(V49),"",(IFERROR(INDEX(Raw!$C$1:$EE$33,MATCH($C$47,Raw!$C$1:$C$33,0),MATCH(V$36,Raw!$C$1:$EE$1,0)),"-"))))), "")</f>
        <v>2.0147477130656455E-2</v>
      </c>
      <c r="W50" s="12">
        <f ca="1">IFERROR((IF(W$49+1&gt;$D$45,"",IF(ISBLANK(W49),"",(IFERROR(INDEX(Raw!$C$1:$EE$33,MATCH($C$47,Raw!$C$1:$C$33,0),MATCH(W$36,Raw!$C$1:$EE$1,0)),"-"))))), "")</f>
        <v>0.24497793989829564</v>
      </c>
      <c r="X50" s="12">
        <f ca="1">IFERROR((IF(X$49+1&gt;$D$45,"",IF(ISBLANK(X49),"",(IFERROR(INDEX(Raw!$C$1:$EE$33,MATCH($C$47,Raw!$C$1:$C$33,0),MATCH(X$36,Raw!$C$1:$EE$1,0)),"-"))))), "")</f>
        <v>8.7653508073254116E-2</v>
      </c>
      <c r="Y50" s="12">
        <f ca="1">IFERROR((IF(Y$49+1&gt;$D$45,"",IF(ISBLANK(Y49),"",(IFERROR(INDEX(Raw!$C$1:$EE$33,MATCH($C$47,Raw!$C$1:$C$33,0),MATCH(Y$36,Raw!$C$1:$EE$1,0)),"-"))))), "")</f>
        <v>0.91150598590449539</v>
      </c>
      <c r="Z50" s="12">
        <f ca="1">IFERROR((IF(Z$49+1&gt;$D$45,"",IF(ISBLANK(Z49),"",(IFERROR(INDEX(Raw!$C$1:$EE$33,MATCH($C$47,Raw!$C$1:$C$33,0),MATCH(Z$36,Raw!$C$1:$EE$1,0)),"-"))))), "")</f>
        <v>0.82564089435301835</v>
      </c>
      <c r="AA50" s="12">
        <f ca="1">IFERROR((IF(AA$49+1&gt;$D$45,"",IF(ISBLANK(AA49),"",(IFERROR(INDEX(Raw!$C$1:$EE$33,MATCH($C$47,Raw!$C$1:$C$33,0),MATCH(AA$36,Raw!$C$1:$EE$1,0)),"-"))))), "")</f>
        <v>8.1609090101872894E-2</v>
      </c>
      <c r="AB50" s="12">
        <f ca="1">IFERROR((IF(AB$49+1&gt;$D$45,"",IF(ISBLANK(AB49),"",(IFERROR(INDEX(Raw!$C$1:$EE$33,MATCH($C$47,Raw!$C$1:$C$33,0),MATCH(AB$36,Raw!$C$1:$EE$1,0)),"-"))))), "")</f>
        <v>0.12694245794753334</v>
      </c>
      <c r="AC50" s="12">
        <f ca="1">IFERROR((IF(AC$49+1&gt;$D$45,"",IF(ISBLANK(AC49),"",(IFERROR(INDEX(Raw!$C$1:$EE$33,MATCH($C$47,Raw!$C$1:$C$33,0),MATCH(AC$36,Raw!$C$1:$EE$1,0)),"-"))))), "")</f>
        <v>0.66304860877293392</v>
      </c>
      <c r="AD50" s="12">
        <f ca="1">IFERROR((IF(AD$49+1&gt;$D$45,"",IF(ISBLANK(AD49),"",(IFERROR(INDEX(Raw!$C$1:$EE$33,MATCH($C$47,Raw!$C$1:$C$33,0),MATCH(AD$36,Raw!$C$1:$EE$1,0)),"-"))))), "")</f>
        <v>0.96325723975760513</v>
      </c>
      <c r="AE50" s="12">
        <f ca="1">IFERROR((IF(AE$49+1&gt;$D$45,"",IF(ISBLANK(AE49),"",(IFERROR(INDEX(Raw!$C$1:$EE$33,MATCH($C$47,Raw!$C$1:$C$33,0),MATCH(AE$36,Raw!$C$1:$EE$1,0)),"-"))))), "")</f>
        <v>0.70501325029189021</v>
      </c>
      <c r="AF50" s="12">
        <f ca="1">IFERROR((IF(AF$49+1&gt;$D$45,"",IF(ISBLANK(AF49),"",(IFERROR(INDEX(Raw!$C$1:$EE$33,MATCH($C$47,Raw!$C$1:$C$33,0),MATCH(AF$36,Raw!$C$1:$EE$1,0)),"-"))))), "")</f>
        <v>0.77423413646433192</v>
      </c>
      <c r="AG50" s="12">
        <f ca="1">IFERROR((IF(AG$49+1&gt;$D$45,"",IF(ISBLANK(AG49),"",(IFERROR(INDEX(Raw!$C$1:$EE$33,MATCH($C$47,Raw!$C$1:$C$33,0),MATCH(AG$36,Raw!$C$1:$EE$1,0)),"-"))))), "")</f>
        <v>0.58940804172689498</v>
      </c>
      <c r="AH50" s="12">
        <f ca="1">IFERROR((IF(AH$49+1&gt;$D$45,"",IF(ISBLANK(AH49),"",(IFERROR(INDEX(Raw!$C$1:$EE$33,MATCH($C$47,Raw!$C$1:$C$33,0),MATCH(AH$36,Raw!$C$1:$EE$1,0)),"-"))))), "")</f>
        <v>0.23797091841883422</v>
      </c>
      <c r="AI50" s="12">
        <f ca="1">IFERROR((IF(AI$49+1&gt;$D$45,"",IF(ISBLANK(AI49),"",(IFERROR(INDEX(Raw!$C$1:$EE$33,MATCH($C$47,Raw!$C$1:$C$33,0),MATCH(AI$36,Raw!$C$1:$EE$1,0)),"-"))))), "")</f>
        <v>0.5054032715673048</v>
      </c>
      <c r="AJ50" s="12">
        <f ca="1">IFERROR((IF(AJ$49+1&gt;$D$45,"",IF(ISBLANK(AJ49),"",(IFERROR(INDEX(Raw!$C$1:$EE$33,MATCH($C$47,Raw!$C$1:$C$33,0),MATCH(AJ$36,Raw!$C$1:$EE$1,0)),"-"))))), "")</f>
        <v>0.92473131363533312</v>
      </c>
      <c r="AK50" s="12">
        <f ca="1">IFERROR((IF(AK$49+1&gt;$D$45,"",IF(ISBLANK(AK49),"",(IFERROR(INDEX(Raw!$C$1:$EE$33,MATCH($C$47,Raw!$C$1:$C$33,0),MATCH(AK$36,Raw!$C$1:$EE$1,0)),"-"))))), "")</f>
        <v>0.47603155718655765</v>
      </c>
      <c r="AL50" s="12">
        <f ca="1">IFERROR((IF(AL$49+1&gt;$D$45,"",IF(ISBLANK(AL49),"",(IFERROR(INDEX(Raw!$C$1:$EE$33,MATCH($C$47,Raw!$C$1:$C$33,0),MATCH(AL$36,Raw!$C$1:$EE$1,0)),"-"))))), "")</f>
        <v>9.3742627173325266E-2</v>
      </c>
      <c r="AM50" s="12">
        <f ca="1">IFERROR((IF(AM$49+1&gt;$D$45,"",IF(ISBLANK(AM49),"",(IFERROR(INDEX(Raw!$C$1:$EE$33,MATCH($C$47,Raw!$C$1:$C$33,0),MATCH(AM$36,Raw!$C$1:$EE$1,0)),"-"))))), "")</f>
        <v>4.3114004014346952E-2</v>
      </c>
      <c r="AN50" s="12">
        <f ca="1">IFERROR((IF(AN$49+1&gt;$D$45,"",IF(ISBLANK(AN49),"",(IFERROR(INDEX(Raw!$C$1:$EE$33,MATCH($C$47,Raw!$C$1:$C$33,0),MATCH(AN$36,Raw!$C$1:$EE$1,0)),"-"))))), "")</f>
        <v>0.49830262396019087</v>
      </c>
      <c r="AO50" s="12">
        <f ca="1">IFERROR((IF(AO$49+1&gt;$D$45,"",IF(ISBLANK(AO49),"",(IFERROR(INDEX(Raw!$C$1:$EE$33,MATCH($C$47,Raw!$C$1:$C$33,0),MATCH(AO$36,Raw!$C$1:$EE$1,0)),"-"))))), "")</f>
        <v>0.72434867072150677</v>
      </c>
      <c r="AP50" s="12">
        <f ca="1">IFERROR((IF(AP$49+1&gt;$D$45,"",IF(ISBLANK(AP49),"",(IFERROR(INDEX(Raw!$C$1:$EE$33,MATCH($C$47,Raw!$C$1:$C$33,0),MATCH(AP$36,Raw!$C$1:$EE$1,0)),"-"))))), "")</f>
        <v>4.3114685293138999E-2</v>
      </c>
      <c r="AQ50" s="12">
        <f ca="1">IFERROR((IF(AQ$49+1&gt;$D$45,"",IF(ISBLANK(AQ49),"",(IFERROR(INDEX(Raw!$C$1:$EE$33,MATCH($C$47,Raw!$C$1:$C$33,0),MATCH(AQ$36,Raw!$C$1:$EE$1,0)),"-"))))), "")</f>
        <v>0.95813433671475445</v>
      </c>
      <c r="AR50" s="12">
        <f ca="1">IFERROR((IF(AR$49+1&gt;$D$45,"",IF(ISBLANK(AR49),"",(IFERROR(INDEX(Raw!$C$1:$EE$33,MATCH($C$47,Raw!$C$1:$C$33,0),MATCH(AR$36,Raw!$C$1:$EE$1,0)),"-"))))), "")</f>
        <v>0.45886439918407407</v>
      </c>
      <c r="AS50" s="12">
        <f ca="1">IFERROR((IF(AS$49+1&gt;$D$45,"",IF(ISBLANK(AS49),"",(IFERROR(INDEX(Raw!$C$1:$EE$33,MATCH($C$47,Raw!$C$1:$C$33,0),MATCH(AS$36,Raw!$C$1:$EE$1,0)),"-"))))), "")</f>
        <v>0.11067450053399353</v>
      </c>
      <c r="AT50" s="12">
        <f ca="1">IFERROR((IF(AT$49+1&gt;$D$45,"",IF(ISBLANK(AT49),"",(IFERROR(INDEX(Raw!$C$1:$EE$33,MATCH($C$47,Raw!$C$1:$C$33,0),MATCH(AT$36,Raw!$C$1:$EE$1,0)),"-"))))), "")</f>
        <v>0.40485562397132313</v>
      </c>
      <c r="AU50" s="12">
        <f ca="1">IFERROR((IF(AU$49+1&gt;$D$45,"",IF(ISBLANK(AU49),"",(IFERROR(INDEX(Raw!$C$1:$EE$33,MATCH($C$47,Raw!$C$1:$C$33,0),MATCH(AU$36,Raw!$C$1:$EE$1,0)),"-"))))), "")</f>
        <v>0.71235502079819046</v>
      </c>
      <c r="AV50" s="12">
        <f ca="1">IFERROR((IF(AV$49+1&gt;$D$45,"",IF(ISBLANK(AV49),"",(IFERROR(INDEX(Raw!$C$1:$EE$33,MATCH($C$47,Raw!$C$1:$C$33,0),MATCH(AV$36,Raw!$C$1:$EE$1,0)),"-"))))), "")</f>
        <v>0.29029895827055918</v>
      </c>
      <c r="AW50" s="12">
        <f ca="1">IFERROR((IF(AW$49+1&gt;$D$45,"",IF(ISBLANK(AW49),"",(IFERROR(INDEX(Raw!$C$1:$EE$33,MATCH($C$47,Raw!$C$1:$C$33,0),MATCH(AW$36,Raw!$C$1:$EE$1,0)),"-"))))), "")</f>
        <v>0.26353232495323886</v>
      </c>
      <c r="AX50" s="12">
        <f ca="1">IFERROR((IF(AX$49+1&gt;$D$45,"",IF(ISBLANK(AX49),"",(IFERROR(INDEX(Raw!$C$1:$EE$33,MATCH($C$47,Raw!$C$1:$C$33,0),MATCH(AX$36,Raw!$C$1:$EE$1,0)),"-"))))), "")</f>
        <v>0.65380445376841434</v>
      </c>
      <c r="AY50" s="12">
        <f ca="1">IFERROR((IF(AY$49+1&gt;$D$45,"",IF(ISBLANK(AY49),"",(IFERROR(INDEX(Raw!$C$1:$EE$33,MATCH($C$47,Raw!$C$1:$C$33,0),MATCH(AY$36,Raw!$C$1:$EE$1,0)),"-"))))), "")</f>
        <v>0.21316025737866318</v>
      </c>
      <c r="AZ50" s="12">
        <f ca="1">IFERROR((IF(AZ$49+1&gt;$D$45,"",IF(ISBLANK(AZ49),"",(IFERROR(INDEX(Raw!$C$1:$EE$33,MATCH($C$47,Raw!$C$1:$C$33,0),MATCH(AZ$36,Raw!$C$1:$EE$1,0)),"-"))))), "")</f>
        <v>0.5419292561415755</v>
      </c>
      <c r="BA50" s="12">
        <f ca="1">IFERROR((IF(BA$49+1&gt;$D$45,"",IF(ISBLANK(BA49),"",(IFERROR(INDEX(Raw!$C$1:$EE$33,MATCH($C$47,Raw!$C$1:$C$33,0),MATCH(BA$36,Raw!$C$1:$EE$1,0)),"-"))))), "")</f>
        <v>0.99851399710003841</v>
      </c>
      <c r="BB50" s="12">
        <f ca="1">IFERROR((IF(BB$49+1&gt;$D$45,"",IF(ISBLANK(BB49),"",(IFERROR(INDEX(Raw!$C$1:$EE$33,MATCH($C$47,Raw!$C$1:$C$33,0),MATCH(BB$36,Raw!$C$1:$EE$1,0)),"-"))))), "")</f>
        <v>0.51258581691214977</v>
      </c>
      <c r="BC50" s="12">
        <f ca="1">IFERROR((IF(BC$49+1&gt;$D$45,"",IF(ISBLANK(BC49),"",(IFERROR(INDEX(Raw!$C$1:$EE$33,MATCH($C$47,Raw!$C$1:$C$33,0),MATCH(BC$36,Raw!$C$1:$EE$1,0)),"-"))))), "")</f>
        <v>0.32451574013096007</v>
      </c>
      <c r="BD50" s="12">
        <f ca="1">IFERROR((IF(BD$49+1&gt;$D$45,"",IF(ISBLANK(BD49),"",(IFERROR(INDEX(Raw!$C$1:$EE$33,MATCH($C$47,Raw!$C$1:$C$33,0),MATCH(BD$36,Raw!$C$1:$EE$1,0)),"-"))))), "")</f>
        <v>0.80058188246163664</v>
      </c>
      <c r="BE50" s="12">
        <f ca="1">IFERROR((IF(BE$49+1&gt;$D$45,"",IF(ISBLANK(BE49),"",(IFERROR(INDEX(Raw!$C$1:$EE$33,MATCH($C$47,Raw!$C$1:$C$33,0),MATCH(BE$36,Raw!$C$1:$EE$1,0)),"-"))))), "")</f>
        <v>0.19573812735509555</v>
      </c>
      <c r="BF50" s="12">
        <f ca="1">IFERROR((IF(BF$49+1&gt;$D$45,"",IF(ISBLANK(BF49),"",(IFERROR(INDEX(Raw!$C$1:$EE$33,MATCH($C$47,Raw!$C$1:$C$33,0),MATCH(BF$36,Raw!$C$1:$EE$1,0)),"-"))))), "")</f>
        <v>0.99756532810171894</v>
      </c>
      <c r="BG50" s="12">
        <f ca="1">IFERROR((IF(BG$49+1&gt;$D$45,"",IF(ISBLANK(BG49),"",(IFERROR(INDEX(Raw!$C$1:$EE$33,MATCH($C$47,Raw!$C$1:$C$33,0),MATCH(BG$36,Raw!$C$1:$EE$1,0)),"-"))))), "")</f>
        <v>0.52325751114889874</v>
      </c>
      <c r="BH50" s="12">
        <f ca="1">IFERROR((IF(BH$49+1&gt;$D$45,"",IF(ISBLANK(BH49),"",(IFERROR(INDEX(Raw!$C$1:$EE$33,MATCH($C$47,Raw!$C$1:$C$33,0),MATCH(BH$36,Raw!$C$1:$EE$1,0)),"-"))))), "")</f>
        <v>0.24868728299008158</v>
      </c>
      <c r="BI50" s="12">
        <f ca="1">IFERROR((IF(BI$49+1&gt;$D$45,"",IF(ISBLANK(BI49),"",(IFERROR(INDEX(Raw!$C$1:$EE$33,MATCH($C$47,Raw!$C$1:$C$33,0),MATCH(BI$36,Raw!$C$1:$EE$1,0)),"-"))))), "")</f>
        <v>0.72945414256776619</v>
      </c>
      <c r="BJ50" s="12">
        <f ca="1">IFERROR((IF(BJ$49+1&gt;$D$45,"",IF(ISBLANK(BJ49),"",(IFERROR(INDEX(Raw!$C$1:$EE$33,MATCH($C$47,Raw!$C$1:$C$33,0),MATCH(BJ$36,Raw!$C$1:$EE$1,0)),"-"))))), "")</f>
        <v>0.43969633207371661</v>
      </c>
      <c r="BK50" s="12">
        <f ca="1">IFERROR((IF(BK$49+1&gt;$D$45,"",IF(ISBLANK(BK49),"",(IFERROR(INDEX(Raw!$C$1:$EE$33,MATCH($C$47,Raw!$C$1:$C$33,0),MATCH(BK$36,Raw!$C$1:$EE$1,0)),"-"))))), "")</f>
        <v>0.43242940710275912</v>
      </c>
      <c r="BL50" s="12">
        <f ca="1">IFERROR((IF(BL$49+1&gt;$D$45,"",IF(ISBLANK(BL49),"",(IFERROR(INDEX(Raw!$C$1:$EE$33,MATCH($C$47,Raw!$C$1:$C$33,0),MATCH(BL$36,Raw!$C$1:$EE$1,0)),"-"))))), "")</f>
        <v>0.46162435480538733</v>
      </c>
      <c r="BM50" s="12">
        <f ca="1">IFERROR((IF(BM$49+1&gt;$D$45,"",IF(ISBLANK(BM49),"",(IFERROR(INDEX(Raw!$C$1:$EE$33,MATCH($C$47,Raw!$C$1:$C$33,0),MATCH(BM$36,Raw!$C$1:$EE$1,0)),"-"))))), "")</f>
        <v>3.2188707376029968E-2</v>
      </c>
      <c r="BN50" s="12">
        <f ca="1">IFERROR((IF(BN$49+1&gt;$D$45,"",IF(ISBLANK(BN49),"",(IFERROR(INDEX(Raw!$C$1:$EE$33,MATCH($C$47,Raw!$C$1:$C$33,0),MATCH(BN$36,Raw!$C$1:$EE$1,0)),"-"))))), "")</f>
        <v>0.99773331834304402</v>
      </c>
      <c r="BO50" s="12">
        <f ca="1">IFERROR((IF(BO$49+1&gt;$D$45,"",IF(ISBLANK(BO49),"",(IFERROR(INDEX(Raw!$C$1:$EE$33,MATCH($C$47,Raw!$C$1:$C$33,0),MATCH(BO$36,Raw!$C$1:$EE$1,0)),"-"))))), "")</f>
        <v>0.68256329738892119</v>
      </c>
      <c r="BP50" s="12">
        <f ca="1">IFERROR((IF(BP$49+1&gt;$D$45,"",IF(ISBLANK(BP49),"",(IFERROR(INDEX(Raw!$C$1:$EE$33,MATCH($C$47,Raw!$C$1:$C$33,0),MATCH(BP$36,Raw!$C$1:$EE$1,0)),"-"))))), "")</f>
        <v>0.93141228044447544</v>
      </c>
      <c r="BQ50" s="12">
        <f ca="1">IFERROR((IF(BQ$49+1&gt;$D$45,"",IF(ISBLANK(BQ49),"",(IFERROR(INDEX(Raw!$C$1:$EE$33,MATCH($C$47,Raw!$C$1:$C$33,0),MATCH(BQ$36,Raw!$C$1:$EE$1,0)),"-"))))), "")</f>
        <v>0.17442009623724153</v>
      </c>
      <c r="BR50" s="12">
        <f ca="1">IFERROR((IF(BR$49+1&gt;$D$45,"",IF(ISBLANK(BR49),"",(IFERROR(INDEX(Raw!$C$1:$EE$33,MATCH($C$47,Raw!$C$1:$C$33,0),MATCH(BR$36,Raw!$C$1:$EE$1,0)),"-"))))), "")</f>
        <v>0.38433707748442059</v>
      </c>
      <c r="BS50" s="12">
        <f ca="1">IFERROR((IF(BS$49+1&gt;$D$45,"",IF(ISBLANK(BS49),"",(IFERROR(INDEX(Raw!$C$1:$EE$33,MATCH($C$47,Raw!$C$1:$C$33,0),MATCH(BS$36,Raw!$C$1:$EE$1,0)),"-"))))), "")</f>
        <v>9.4778388354151977E-3</v>
      </c>
      <c r="BT50" s="12">
        <f ca="1">IFERROR((IF(BT$49+1&gt;$D$45,"",IF(ISBLANK(BT49),"",(IFERROR(INDEX(Raw!$C$1:$EE$33,MATCH($C$47,Raw!$C$1:$C$33,0),MATCH(BT$36,Raw!$C$1:$EE$1,0)),"-"))))), "")</f>
        <v>0.34958315126078443</v>
      </c>
      <c r="BU50" s="12">
        <f ca="1">IFERROR((IF(BU$49+1&gt;$D$45,"",IF(ISBLANK(BU49),"",(IFERROR(INDEX(Raw!$C$1:$EE$33,MATCH($C$47,Raw!$C$1:$C$33,0),MATCH(BU$36,Raw!$C$1:$EE$1,0)),"-"))))), "")</f>
        <v>0.84376370876741658</v>
      </c>
      <c r="BV50" s="12">
        <f ca="1">IFERROR((IF(BV$49+1&gt;$D$45,"",IF(ISBLANK(BV49),"",(IFERROR(INDEX(Raw!$C$1:$EE$33,MATCH($C$47,Raw!$C$1:$C$33,0),MATCH(BV$36,Raw!$C$1:$EE$1,0)),"-"))))), "")</f>
        <v>0.9374377077521826</v>
      </c>
      <c r="BW50" s="12">
        <f ca="1">IFERROR((IF(BW$49+1&gt;$D$45,"",IF(ISBLANK(BW49),"",(IFERROR(INDEX(Raw!$C$1:$EE$33,MATCH($C$47,Raw!$C$1:$C$33,0),MATCH(BW$36,Raw!$C$1:$EE$1,0)),"-"))))), "")</f>
        <v>0.68688400150006279</v>
      </c>
      <c r="BX50" s="12">
        <f ca="1">IFERROR((IF(BX$49+1&gt;$D$45,"",IF(ISBLANK(BX49),"",(IFERROR(INDEX(Raw!$C$1:$EE$33,MATCH($C$47,Raw!$C$1:$C$33,0),MATCH(BX$36,Raw!$C$1:$EE$1,0)),"-"))))), "")</f>
        <v>0.25349349643628838</v>
      </c>
      <c r="BY50" s="12">
        <f ca="1">IFERROR((IF(BY$49+1&gt;$D$45,"",IF(ISBLANK(BY49),"",(IFERROR(INDEX(Raw!$C$1:$EE$33,MATCH($C$47,Raw!$C$1:$C$33,0),MATCH(BY$36,Raw!$C$1:$EE$1,0)),"-"))))), "")</f>
        <v>0.77225271940800322</v>
      </c>
      <c r="BZ50" s="12">
        <f ca="1">IFERROR((IF(BZ$49+1&gt;$D$45,"",IF(ISBLANK(BZ49),"",(IFERROR(INDEX(Raw!$C$1:$EE$33,MATCH($C$47,Raw!$C$1:$C$33,0),MATCH(BZ$36,Raw!$C$1:$EE$1,0)),"-"))))), "")</f>
        <v>0.38613583804745355</v>
      </c>
      <c r="CA50" s="12">
        <f ca="1">IFERROR((IF(CA$49+1&gt;$D$45,"",IF(ISBLANK(CA49),"",(IFERROR(INDEX(Raw!$C$1:$EE$33,MATCH($C$47,Raw!$C$1:$C$33,0),MATCH(CA$36,Raw!$C$1:$EE$1,0)),"-"))))), "")</f>
        <v>0.28648591814405966</v>
      </c>
      <c r="CB50" s="12">
        <f ca="1">IFERROR((IF(CB$49+1&gt;$D$45,"",IF(ISBLANK(CB49),"",(IFERROR(INDEX(Raw!$C$1:$EE$33,MATCH($C$47,Raw!$C$1:$C$33,0),MATCH(CB$36,Raw!$C$1:$EE$1,0)),"-"))))), "")</f>
        <v>0.4957489194130581</v>
      </c>
      <c r="CC50" s="12">
        <f ca="1">IFERROR((IF(CC$49+1&gt;$D$45,"",IF(ISBLANK(CC49),"",(IFERROR(INDEX(Raw!$C$1:$EE$33,MATCH($C$47,Raw!$C$1:$C$33,0),MATCH(CC$36,Raw!$C$1:$EE$1,0)),"-"))))), "")</f>
        <v>0.95060762437270929</v>
      </c>
      <c r="CD50" s="12">
        <f ca="1">IFERROR((IF(CD$49+1&gt;$D$45,"",IF(ISBLANK(CD49),"",(IFERROR(INDEX(Raw!$C$1:$EE$33,MATCH($C$47,Raw!$C$1:$C$33,0),MATCH(CD$36,Raw!$C$1:$EE$1,0)),"-"))))), "")</f>
        <v>0.8656705956118681</v>
      </c>
      <c r="CE50" s="12">
        <f ca="1">IFERROR((IF(CE$49+1&gt;$D$45,"",IF(ISBLANK(CE49),"",(IFERROR(INDEX(Raw!$C$1:$EE$33,MATCH($C$47,Raw!$C$1:$C$33,0),MATCH(CE$36,Raw!$C$1:$EE$1,0)),"-"))))), "")</f>
        <v>0.58033034236185876</v>
      </c>
      <c r="CF50" s="12">
        <f ca="1">IFERROR((IF(CF$49+1&gt;$D$45,"",IF(ISBLANK(CF49),"",(IFERROR(INDEX(Raw!$C$1:$EE$33,MATCH($C$47,Raw!$C$1:$C$33,0),MATCH(CF$36,Raw!$C$1:$EE$1,0)),"-"))))), "")</f>
        <v>7.0293925772013321E-2</v>
      </c>
      <c r="CG50" s="12">
        <f ca="1">IFERROR((IF(CG$49+1&gt;$D$45,"",IF(ISBLANK(CG49),"",(IFERROR(INDEX(Raw!$C$1:$EE$33,MATCH($C$47,Raw!$C$1:$C$33,0),MATCH(CG$36,Raw!$C$1:$EE$1,0)),"-"))))), "")</f>
        <v>0.20945798370707513</v>
      </c>
      <c r="CH50" s="12">
        <f ca="1">IFERROR((IF(CH$49+1&gt;$D$45,"",IF(ISBLANK(CH49),"",(IFERROR(INDEX(Raw!$C$1:$EE$33,MATCH($C$47,Raw!$C$1:$C$33,0),MATCH(CH$36,Raw!$C$1:$EE$1,0)),"-"))))), "")</f>
        <v>0.62402914947865074</v>
      </c>
      <c r="CI50" s="12">
        <f ca="1">IFERROR((IF(CI$49+1&gt;$D$45,"",IF(ISBLANK(CI49),"",(IFERROR(INDEX(Raw!$C$1:$EE$33,MATCH($C$47,Raw!$C$1:$C$33,0),MATCH(CI$36,Raw!$C$1:$EE$1,0)),"-"))))), "")</f>
        <v>0.22087529473161016</v>
      </c>
      <c r="CJ50" s="12">
        <f ca="1">IFERROR((IF(CJ$49+1&gt;$D$45,"",IF(ISBLANK(CJ49),"",(IFERROR(INDEX(Raw!$C$1:$EE$33,MATCH($C$47,Raw!$C$1:$C$33,0),MATCH(CJ$36,Raw!$C$1:$EE$1,0)),"-"))))), "")</f>
        <v>0.92695577136482754</v>
      </c>
      <c r="CK50" s="12">
        <f ca="1">IFERROR((IF(CK$49+1&gt;$D$45,"",IF(ISBLANK(CK49),"",(IFERROR(INDEX(Raw!$C$1:$EE$33,MATCH($C$47,Raw!$C$1:$C$33,0),MATCH(CK$36,Raw!$C$1:$EE$1,0)),"-"))))), "")</f>
        <v>0.29760259781402709</v>
      </c>
      <c r="CL50" s="12">
        <f ca="1">IFERROR((IF(CL$49+1&gt;$D$45,"",IF(ISBLANK(CL49),"",(IFERROR(INDEX(Raw!$C$1:$EE$33,MATCH($C$47,Raw!$C$1:$C$33,0),MATCH(CL$36,Raw!$C$1:$EE$1,0)),"-"))))), "")</f>
        <v>5.7136033371669392E-2</v>
      </c>
      <c r="CM50" s="12">
        <f ca="1">IFERROR((IF(CM$49+1&gt;$D$45,"",IF(ISBLANK(CM49),"",(IFERROR(INDEX(Raw!$C$1:$EE$33,MATCH($C$47,Raw!$C$1:$C$33,0),MATCH(CM$36,Raw!$C$1:$EE$1,0)),"-"))))), "")</f>
        <v>0.94532613746608862</v>
      </c>
      <c r="CN50" s="12">
        <f ca="1">IFERROR((IF(CN$49+1&gt;$D$45,"",IF(ISBLANK(CN49),"",(IFERROR(INDEX(Raw!$C$1:$EE$33,MATCH($C$47,Raw!$C$1:$C$33,0),MATCH(CN$36,Raw!$C$1:$EE$1,0)),"-"))))), "")</f>
        <v>0.55061860889925696</v>
      </c>
      <c r="CO50" s="12">
        <f ca="1">IFERROR((IF(CO$49+1&gt;$D$45,"",IF(ISBLANK(CO49),"",(IFERROR(INDEX(Raw!$C$1:$EE$33,MATCH($C$47,Raw!$C$1:$C$33,0),MATCH(CO$36,Raw!$C$1:$EE$1,0)),"-"))))), "")</f>
        <v>0.18883503091516718</v>
      </c>
      <c r="CP50" s="12">
        <f ca="1">IFERROR((IF(CP$49+1&gt;$D$45,"",IF(ISBLANK(CP49),"",(IFERROR(INDEX(Raw!$C$1:$EE$33,MATCH($C$47,Raw!$C$1:$C$33,0),MATCH(CP$36,Raw!$C$1:$EE$1,0)),"-"))))), "")</f>
        <v>0.98756399727174882</v>
      </c>
      <c r="CQ50" s="12">
        <f ca="1">IFERROR((IF(CQ$49+1&gt;$D$45,"",IF(ISBLANK(CQ49),"",(IFERROR(INDEX(Raw!$C$1:$EE$33,MATCH($C$47,Raw!$C$1:$C$33,0),MATCH(CQ$36,Raw!$C$1:$EE$1,0)),"-"))))), "")</f>
        <v>0.9970375703323523</v>
      </c>
      <c r="CR50" s="12">
        <f ca="1">IFERROR((IF(CR$49+1&gt;$D$45,"",IF(ISBLANK(CR49),"",(IFERROR(INDEX(Raw!$C$1:$EE$33,MATCH($C$47,Raw!$C$1:$C$33,0),MATCH(CR$36,Raw!$C$1:$EE$1,0)),"-"))))), "")</f>
        <v>0.7189992621376321</v>
      </c>
      <c r="CS50" s="12">
        <f ca="1">IFERROR((IF(CS$49+1&gt;$D$45,"",IF(ISBLANK(CS49),"",(IFERROR(INDEX(Raw!$C$1:$EE$33,MATCH($C$47,Raw!$C$1:$C$33,0),MATCH(CS$36,Raw!$C$1:$EE$1,0)),"-"))))), "")</f>
        <v>0.63880258030743375</v>
      </c>
      <c r="CT50" s="12">
        <f ca="1">IFERROR((IF(CT$49+1&gt;$D$45,"",IF(ISBLANK(CT49),"",(IFERROR(INDEX(Raw!$C$1:$EE$33,MATCH($C$47,Raw!$C$1:$C$33,0),MATCH(CT$36,Raw!$C$1:$EE$1,0)),"-"))))), "")</f>
        <v>0.12436666174440369</v>
      </c>
      <c r="CU50" s="12">
        <f ca="1">IFERROR((IF(CU$49+1&gt;$D$45,"",IF(ISBLANK(CU49),"",(IFERROR(INDEX(Raw!$C$1:$EE$33,MATCH($C$47,Raw!$C$1:$C$33,0),MATCH(CU$36,Raw!$C$1:$EE$1,0)),"-"))))), "")</f>
        <v>0.84321524625646649</v>
      </c>
      <c r="CV50" s="12">
        <f ca="1">IFERROR((IF(CV$49+1&gt;$D$45,"",IF(ISBLANK(CV49),"",(IFERROR(INDEX(Raw!$C$1:$EE$33,MATCH($C$47,Raw!$C$1:$C$33,0),MATCH(CV$36,Raw!$C$1:$EE$1,0)),"-"))))), "")</f>
        <v>0.85691751065341593</v>
      </c>
      <c r="CW50" s="12">
        <f ca="1">IFERROR((IF(CW$49+1&gt;$D$45,"",IF(ISBLANK(CW49),"",(IFERROR(INDEX(Raw!$C$1:$EE$33,MATCH($C$47,Raw!$C$1:$C$33,0),MATCH(CW$36,Raw!$C$1:$EE$1,0)),"-"))))), "")</f>
        <v>0.64527347288161729</v>
      </c>
      <c r="CX50" s="12">
        <f ca="1">IFERROR((IF(CX$49+1&gt;$D$45,"",IF(ISBLANK(CX49),"",(IFERROR(INDEX(Raw!$C$1:$EE$33,MATCH($C$47,Raw!$C$1:$C$33,0),MATCH(CX$36,Raw!$C$1:$EE$1,0)),"-"))))), "")</f>
        <v>0.61182411940377079</v>
      </c>
      <c r="CY50" s="12">
        <f ca="1">IFERROR((IF(CY$49+1&gt;$D$45,"",IF(ISBLANK(CY49),"",(IFERROR(INDEX(Raw!$C$1:$EE$33,MATCH($C$47,Raw!$C$1:$C$33,0),MATCH(CY$36,Raw!$C$1:$EE$1,0)),"-"))))), "")</f>
        <v>3.3127913128722097E-3</v>
      </c>
      <c r="CZ50" s="12">
        <f ca="1">IFERROR((IF(CZ$49+1&gt;$D$45,"",IF(ISBLANK(CZ49),"",(IFERROR(INDEX(Raw!$C$1:$EE$33,MATCH($C$47,Raw!$C$1:$C$33,0),MATCH(CZ$36,Raw!$C$1:$EE$1,0)),"-"))))), "")</f>
        <v>0.73181158680827163</v>
      </c>
      <c r="DA50" s="12">
        <f ca="1">IFERROR((IF(DA$49+1&gt;$D$45,"",IF(ISBLANK(DA49),"",(IFERROR(INDEX(Raw!$C$1:$EE$33,MATCH($C$47,Raw!$C$1:$C$33,0),MATCH(DA$36,Raw!$C$1:$EE$1,0)),"-"))))), "")</f>
        <v>0.26257613737320484</v>
      </c>
      <c r="DB50" s="12">
        <f ca="1">IFERROR((IF(DB$49+1&gt;$D$45,"",IF(ISBLANK(DB49),"",(IFERROR(INDEX(Raw!$C$1:$EE$33,MATCH($C$47,Raw!$C$1:$C$33,0),MATCH(DB$36,Raw!$C$1:$EE$1,0)),"-"))))), "")</f>
        <v>0.2452963032545189</v>
      </c>
      <c r="DC50" s="12">
        <f ca="1">IFERROR((IF(DC$49+1&gt;$D$45,"",IF(ISBLANK(DC49),"",(IFERROR(INDEX(Raw!$C$1:$EE$33,MATCH($C$47,Raw!$C$1:$C$33,0),MATCH(DC$36,Raw!$C$1:$EE$1,0)),"-"))))), "")</f>
        <v>0.93082387873832551</v>
      </c>
      <c r="DD50" s="12">
        <f ca="1">IFERROR((IF(DD$49+1&gt;$D$45,"",IF(ISBLANK(DD49),"",(IFERROR(INDEX(Raw!$C$1:$EE$33,MATCH($C$47,Raw!$C$1:$C$33,0),MATCH(DD$36,Raw!$C$1:$EE$1,0)),"-"))))), "")</f>
        <v>3.7933646026239609E-2</v>
      </c>
      <c r="DE50" s="12">
        <f ca="1">IFERROR((IF(DE$49+1&gt;$D$45,"",IF(ISBLANK(DE49),"",(IFERROR(INDEX(Raw!$C$1:$EE$33,MATCH($C$47,Raw!$C$1:$C$33,0),MATCH(DE$36,Raw!$C$1:$EE$1,0)),"-"))))), "")</f>
        <v>0.86837674622841465</v>
      </c>
      <c r="DF50" s="12">
        <f ca="1">IFERROR((IF(DF$49+1&gt;$D$45,"",IF(ISBLANK(DF49),"",(IFERROR(INDEX(Raw!$C$1:$EE$33,MATCH($C$47,Raw!$C$1:$C$33,0),MATCH(DF$36,Raw!$C$1:$EE$1,0)),"-"))))), "")</f>
        <v>0.81790414278588586</v>
      </c>
      <c r="DG50" s="12">
        <f ca="1">IFERROR((IF(DG$49+1&gt;$D$45,"",IF(ISBLANK(DG49),"",(IFERROR(INDEX(Raw!$C$1:$EE$33,MATCH($C$47,Raw!$C$1:$C$33,0),MATCH(DG$36,Raw!$C$1:$EE$1,0)),"-"))))), "")</f>
        <v>7.666294676778429E-2</v>
      </c>
      <c r="DH50" s="12">
        <f ca="1">IFERROR((IF(DH$49+1&gt;$D$45,"",IF(ISBLANK(DH49),"",(IFERROR(INDEX(Raw!$C$1:$EE$33,MATCH($C$47,Raw!$C$1:$C$33,0),MATCH(DH$36,Raw!$C$1:$EE$1,0)),"-"))))), "")</f>
        <v>0.43458459240841718</v>
      </c>
      <c r="DI50" s="12">
        <f ca="1">IFERROR((IF(DI$49+1&gt;$D$45,"",IF(ISBLANK(DI49),"",(IFERROR(INDEX(Raw!$C$1:$EE$33,MATCH($C$47,Raw!$C$1:$C$33,0),MATCH(DI$36,Raw!$C$1:$EE$1,0)),"-"))))), "")</f>
        <v>4.1722888121580315E-3</v>
      </c>
      <c r="DJ50" s="12">
        <f ca="1">IFERROR((IF(DJ$49+1&gt;$D$45,"",IF(ISBLANK(DJ49),"",(IFERROR(INDEX(Raw!$C$1:$EE$33,MATCH($C$47,Raw!$C$1:$C$33,0),MATCH(DJ$36,Raw!$C$1:$EE$1,0)),"-"))))), "")</f>
        <v>0.1977303428471241</v>
      </c>
      <c r="DK50" s="12">
        <f ca="1">IFERROR((IF(DK$49+1&gt;$D$45,"",IF(ISBLANK(DK49),"",(IFERROR(INDEX(Raw!$C$1:$EE$33,MATCH($C$47,Raw!$C$1:$C$33,0),MATCH(DK$36,Raw!$C$1:$EE$1,0)),"-"))))), "")</f>
        <v>0.61264025514432385</v>
      </c>
      <c r="DL50" s="12">
        <f ca="1">IFERROR((IF(DL$49+1&gt;$D$45,"",IF(ISBLANK(DL49),"",(IFERROR(INDEX(Raw!$C$1:$EE$33,MATCH($C$47,Raw!$C$1:$C$33,0),MATCH(DL$36,Raw!$C$1:$EE$1,0)),"-"))))), "")</f>
        <v>2.3998131044633109E-2</v>
      </c>
      <c r="DM50" s="12">
        <f ca="1">IFERROR((IF(DM$49+1&gt;$D$45,"",IF(ISBLANK(DM49),"",(IFERROR(INDEX(Raw!$C$1:$EE$33,MATCH($C$47,Raw!$C$1:$C$33,0),MATCH(DM$36,Raw!$C$1:$EE$1,0)),"-"))))), "")</f>
        <v>0.88149671218683723</v>
      </c>
      <c r="DN50" s="12">
        <f ca="1">IFERROR((IF(DN$49+1&gt;$D$45,"",IF(ISBLANK(DN49),"",(IFERROR(INDEX(Raw!$C$1:$EE$33,MATCH($C$47,Raw!$C$1:$C$33,0),MATCH(DN$36,Raw!$C$1:$EE$1,0)),"-"))))), "")</f>
        <v>0.64308850814359264</v>
      </c>
      <c r="DO50" s="12">
        <f ca="1">IFERROR((IF(DO$49+1&gt;$D$45,"",IF(ISBLANK(DO49),"",(IFERROR(INDEX(Raw!$C$1:$EE$33,MATCH($C$47,Raw!$C$1:$C$33,0),MATCH(DO$36,Raw!$C$1:$EE$1,0)),"-"))))), "")</f>
        <v>0.279262581147801</v>
      </c>
      <c r="DP50" s="12">
        <f ca="1">IFERROR((IF(DP$49+1&gt;$D$45,"",IF(ISBLANK(DP49),"",(IFERROR(INDEX(Raw!$C$1:$EE$33,MATCH($C$47,Raw!$C$1:$C$33,0),MATCH(DP$36,Raw!$C$1:$EE$1,0)),"-"))))), "")</f>
        <v>5.7518558610357151E-2</v>
      </c>
      <c r="DQ50" s="12">
        <f ca="1">IFERROR((IF(DQ$49+1&gt;$D$45,"",IF(ISBLANK(DQ49),"",(IFERROR(INDEX(Raw!$C$1:$EE$33,MATCH($C$47,Raw!$C$1:$C$33,0),MATCH(DQ$36,Raw!$C$1:$EE$1,0)),"-"))))), "")</f>
        <v>0.41749307737325447</v>
      </c>
      <c r="DR50" s="12">
        <f ca="1">IFERROR((IF(DR$49+1&gt;$D$45,"",IF(ISBLANK(DR49),"",(IFERROR(INDEX(Raw!$C$1:$EE$33,MATCH($C$47,Raw!$C$1:$C$33,0),MATCH(DR$36,Raw!$C$1:$EE$1,0)),"-"))))), "")</f>
        <v>0.99529586050222774</v>
      </c>
      <c r="DS50" s="12">
        <f ca="1">IFERROR((IF(DS$49+1&gt;$D$45,"",IF(ISBLANK(DS49),"",(IFERROR(INDEX(Raw!$C$1:$EE$33,MATCH($C$47,Raw!$C$1:$C$33,0),MATCH(DS$36,Raw!$C$1:$EE$1,0)),"-"))))), "")</f>
        <v>0.57049068729582153</v>
      </c>
      <c r="DT50" s="12">
        <f ca="1">IFERROR((IF(DT$49+1&gt;$D$45,"",IF(ISBLANK(DT49),"",(IFERROR(INDEX(Raw!$C$1:$EE$33,MATCH($C$47,Raw!$C$1:$C$33,0),MATCH(DT$36,Raw!$C$1:$EE$1,0)),"-"))))), "")</f>
        <v>0.32780757346738465</v>
      </c>
      <c r="DU50" s="12">
        <f ca="1">IFERROR((IF(DU$49+1&gt;$D$45,"",IF(ISBLANK(DU49),"",(IFERROR(INDEX(Raw!$C$1:$EE$33,MATCH($C$47,Raw!$C$1:$C$33,0),MATCH(DU$36,Raw!$C$1:$EE$1,0)),"-"))))), "")</f>
        <v>0.45704306306119791</v>
      </c>
      <c r="DV50" s="12">
        <f ca="1">IFERROR((IF(DV$49+1&gt;$D$45,"",IF(ISBLANK(DV49),"",(IFERROR(INDEX(Raw!$C$1:$EE$33,MATCH($C$47,Raw!$C$1:$C$33,0),MATCH(DV$36,Raw!$C$1:$EE$1,0)),"-"))))), "")</f>
        <v>0.89011258295517981</v>
      </c>
      <c r="DW50" s="12">
        <f ca="1">IFERROR((IF(DW$49+1&gt;$D$45,"",IF(ISBLANK(DW49),"",(IFERROR(INDEX(Raw!$C$1:$EE$33,MATCH($C$47,Raw!$C$1:$C$33,0),MATCH(DW$36,Raw!$C$1:$EE$1,0)),"-"))))), "")</f>
        <v>0.34643963129230426</v>
      </c>
      <c r="DX50" s="12">
        <f ca="1">IFERROR((IF(DX$49+1&gt;$D$45,"",IF(ISBLANK(DX49),"",(IFERROR(INDEX(Raw!$C$1:$EE$33,MATCH($C$47,Raw!$C$1:$C$33,0),MATCH(DX$36,Raw!$C$1:$EE$1,0)),"-"))))), "")</f>
        <v>0.49277735594004013</v>
      </c>
      <c r="DY50" s="12">
        <f ca="1">IFERROR((IF(DY$49+1&gt;$D$45,"",IF(ISBLANK(DY49),"",(IFERROR(INDEX(Raw!$C$1:$EE$33,MATCH($C$47,Raw!$C$1:$C$33,0),MATCH(DY$36,Raw!$C$1:$EE$1,0)),"-"))))), "")</f>
        <v>0.36200465655514658</v>
      </c>
      <c r="DZ50" s="12">
        <f ca="1">IFERROR((IF(DZ$49+1&gt;$D$45,"",IF(ISBLANK(DZ49),"",(IFERROR(INDEX(Raw!$C$1:$EE$33,MATCH($C$47,Raw!$C$1:$C$33,0),MATCH(DZ$36,Raw!$C$1:$EE$1,0)),"-"))))), "")</f>
        <v>0.9161990408004832</v>
      </c>
      <c r="EA50" s="12">
        <f ca="1">IFERROR((IF(EA$49+1&gt;$D$45,"",IF(ISBLANK(EA49),"",(IFERROR(INDEX(Raw!$C$1:$EE$33,MATCH($C$47,Raw!$C$1:$C$33,0),MATCH(EA$36,Raw!$C$1:$EE$1,0)),"-"))))), "")</f>
        <v>0.3187398555698514</v>
      </c>
      <c r="EB50" s="12">
        <f ca="1">IFERROR((IF(EB$49+1&gt;$D$45,"",IF(ISBLANK(EB49),"",(IFERROR(INDEX(Raw!$C$1:$EE$33,MATCH($C$47,Raw!$C$1:$C$33,0),MATCH(EB$36,Raw!$C$1:$EE$1,0)),"-"))))), "")</f>
        <v>0.81861488717108888</v>
      </c>
      <c r="EC50" s="12" t="str">
        <f ca="1">IFERROR((IF(EC$49+1&gt;$D$45,"",IF(ISBLANK(EC49),"",(IFERROR(INDEX(Raw!$C$1:$EE$33,MATCH($C$47,Raw!$C$1:$C$33,0),MATCH(EC$36,Raw!$C$1:$EE$1,0)),"-"))))), "")</f>
        <v/>
      </c>
      <c r="ED50" s="12" t="str">
        <f ca="1">IFERROR((IF(ED$49+1&gt;$D$45,"",IF(ISBLANK(ED49),"",(IFERROR(INDEX(Raw!$C$1:$EE$33,MATCH($C$47,Raw!$C$1:$C$33,0),MATCH(ED$36,Raw!$C$1:$EE$1,0)),"-"))))), "")</f>
        <v/>
      </c>
      <c r="EE50" s="12" t="str">
        <f ca="1">IFERROR((IF(EE$49+1&gt;$D$45,"",IF(ISBLANK(EE49),"",(IFERROR(INDEX(Raw!$C$1:$EE$33,MATCH($C$47,Raw!$C$1:$C$33,0),MATCH(EE$36,Raw!$C$1:$EE$1,0)),"-"))))), "")</f>
        <v/>
      </c>
    </row>
    <row r="51" spans="1:135" x14ac:dyDescent="0.4">
      <c r="A51" t="s">
        <v>184</v>
      </c>
    </row>
    <row r="52" spans="1:135" x14ac:dyDescent="0.4">
      <c r="B52" s="1" t="s">
        <v>82</v>
      </c>
      <c r="C52" s="15" t="str" cm="1">
        <f t="array" ref="C52">IFERROR(Table2[Month and year], "")</f>
        <v>Month and year</v>
      </c>
      <c r="D52" s="15" t="str" cm="1">
        <f t="array" ref="D52">IFERROR(Table2[Apr-26], "")</f>
        <v>Jan-20</v>
      </c>
      <c r="E52" s="15" t="str" cm="1">
        <f t="array" aca="1" ref="E52" ca="1">IFERROR(Table2[May-26], "")</f>
        <v>Feb-20</v>
      </c>
      <c r="F52" s="15" t="str" cm="1">
        <f t="array" aca="1" ref="F52" ca="1">IFERROR(Table2[Jun-26], "")</f>
        <v>Mar-20</v>
      </c>
      <c r="G52" s="15" t="str" cm="1">
        <f t="array" aca="1" ref="G52" ca="1">IFERROR(Table2[Jul-26], "")</f>
        <v>Apr-20</v>
      </c>
      <c r="H52" s="15" t="str" cm="1">
        <f t="array" aca="1" ref="H52" ca="1">IFERROR(Table2[Aug-26], "")</f>
        <v>May-20</v>
      </c>
      <c r="I52" s="15" t="str" cm="1">
        <f t="array" aca="1" ref="I52" ca="1">IFERROR(Table2[Sep-26], "")</f>
        <v>Jun-20</v>
      </c>
      <c r="J52" s="15" t="str" cm="1">
        <f t="array" aca="1" ref="J52" ca="1">IFERROR(Table2[Oct-26], "")</f>
        <v>Jul-20</v>
      </c>
      <c r="K52" s="15" t="str" cm="1">
        <f t="array" aca="1" ref="K52" ca="1">IFERROR(Table2[Nov-26], "")</f>
        <v>Aug-20</v>
      </c>
      <c r="L52" s="15" t="str" cm="1">
        <f t="array" aca="1" ref="L52" ca="1">IFERROR(Table2[Dec-26], "")</f>
        <v>Sep-20</v>
      </c>
      <c r="M52" s="15" t="str" cm="1">
        <f t="array" aca="1" ref="M52" ca="1">IFERROR(Table2[Jan-27], "")</f>
        <v>Oct-20</v>
      </c>
      <c r="N52" s="15" t="str" cm="1">
        <f t="array" aca="1" ref="N52" ca="1">IFERROR(Table2[Feb-27], "")</f>
        <v>Nov-20</v>
      </c>
      <c r="O52" s="15" t="str" cm="1">
        <f t="array" aca="1" ref="O52" ca="1">IFERROR(Table2[Mar-27], "")</f>
        <v>Dec-20</v>
      </c>
      <c r="P52" s="15" t="str" cm="1">
        <f t="array" aca="1" ref="P52" ca="1">IFERROR(Table2[Apr-27], "")</f>
        <v>Jan-21</v>
      </c>
      <c r="Q52" s="15" t="str" cm="1">
        <f t="array" aca="1" ref="Q52" ca="1">IFERROR(Table2[May-27], "")</f>
        <v>Feb-21</v>
      </c>
      <c r="R52" s="15" t="str" cm="1">
        <f t="array" aca="1" ref="R52" ca="1">IFERROR(Table2[Jun-27], "")</f>
        <v>Mar-21</v>
      </c>
      <c r="S52" s="15" t="str" cm="1">
        <f t="array" aca="1" ref="S52" ca="1">IFERROR(Table2[Jul-27], "")</f>
        <v>Apr-21</v>
      </c>
      <c r="T52" s="15" t="str" cm="1">
        <f t="array" aca="1" ref="T52" ca="1">IFERROR(Table2[Aug-27], "")</f>
        <v>May-21</v>
      </c>
      <c r="U52" s="15" t="str" cm="1">
        <f t="array" aca="1" ref="U52" ca="1">IFERROR(Table2[Sep-27], "")</f>
        <v>Jun-21</v>
      </c>
      <c r="V52" s="15" t="str" cm="1">
        <f t="array" aca="1" ref="V52" ca="1">IFERROR(Table2[Oct-27], "")</f>
        <v>Jul-21</v>
      </c>
      <c r="W52" s="15" t="str" cm="1">
        <f t="array" aca="1" ref="W52" ca="1">IFERROR(Table2[Nov-27], "")</f>
        <v>Aug-21</v>
      </c>
      <c r="X52" s="15" t="str" cm="1">
        <f t="array" aca="1" ref="X52" ca="1">IFERROR(Table2[Dec-27], "")</f>
        <v>Sep-21</v>
      </c>
      <c r="Y52" s="15" t="str" cm="1">
        <f t="array" aca="1" ref="Y52" ca="1">IFERROR(Table2[Jan-28], "")</f>
        <v>Oct-21</v>
      </c>
      <c r="Z52" s="15" t="str" cm="1">
        <f t="array" aca="1" ref="Z52" ca="1">IFERROR(Table2[Feb-28], "")</f>
        <v>Nov-21</v>
      </c>
      <c r="AA52" s="15" t="str" cm="1">
        <f t="array" aca="1" ref="AA52" ca="1">IFERROR(Table2[Mar-28], "")</f>
        <v>Dec-21</v>
      </c>
      <c r="AB52" s="15" t="str" cm="1">
        <f t="array" aca="1" ref="AB52" ca="1">IFERROR(Table2[Apr-28], "")</f>
        <v>Jan-22</v>
      </c>
      <c r="AC52" s="15" t="str" cm="1">
        <f t="array" aca="1" ref="AC52" ca="1">IFERROR(Table2[May-28], "")</f>
        <v>Feb-22</v>
      </c>
      <c r="AD52" s="15" t="str" cm="1">
        <f t="array" aca="1" ref="AD52" ca="1">IFERROR(Table2[Jun-28], "")</f>
        <v>Mar-22</v>
      </c>
      <c r="AE52" s="15" t="str" cm="1">
        <f t="array" aca="1" ref="AE52" ca="1">IFERROR(Table2[Jul-28], "")</f>
        <v>Apr-22</v>
      </c>
      <c r="AF52" s="15" t="str" cm="1">
        <f t="array" aca="1" ref="AF52" ca="1">IFERROR(Table2[Aug-28], "")</f>
        <v>May-22</v>
      </c>
      <c r="AG52" s="15" t="str" cm="1">
        <f t="array" aca="1" ref="AG52" ca="1">IFERROR(Table2[Sep-28], "")</f>
        <v>Jun-22</v>
      </c>
      <c r="AH52" s="15" t="str" cm="1">
        <f t="array" aca="1" ref="AH52" ca="1">IFERROR(Table2[Oct-28], "")</f>
        <v>Jul-22</v>
      </c>
      <c r="AI52" s="15" t="str" cm="1">
        <f t="array" aca="1" ref="AI52" ca="1">IFERROR(Table2[Nov-28], "")</f>
        <v>Aug-22</v>
      </c>
      <c r="AJ52" s="15" t="str" cm="1">
        <f t="array" aca="1" ref="AJ52" ca="1">IFERROR(Table2[Dec-28], "")</f>
        <v>Sep-22</v>
      </c>
      <c r="AK52" s="15" t="str" cm="1">
        <f t="array" aca="1" ref="AK52" ca="1">IFERROR(Table2[Jan-29], "")</f>
        <v>Oct-22</v>
      </c>
      <c r="AL52" s="15" t="str" cm="1">
        <f t="array" aca="1" ref="AL52" ca="1">IFERROR(Table2[Feb-29], "")</f>
        <v>Nov-22</v>
      </c>
      <c r="AM52" s="15" t="str" cm="1">
        <f t="array" aca="1" ref="AM52" ca="1">IFERROR(Table2[Mar-29], "")</f>
        <v>Dec-22</v>
      </c>
      <c r="AN52" s="15" t="str" cm="1">
        <f t="array" aca="1" ref="AN52" ca="1">IFERROR(Table2[Apr-29], "")</f>
        <v>Jan-23</v>
      </c>
      <c r="AO52" s="15" t="str" cm="1">
        <f t="array" aca="1" ref="AO52" ca="1">IFERROR(Table2[Column1], "")</f>
        <v>Feb-23</v>
      </c>
      <c r="AP52" s="15" t="str" cm="1">
        <f t="array" aca="1" ref="AP52" ca="1">IFERROR(Table2[Column2], "")</f>
        <v>Mar-23</v>
      </c>
      <c r="AQ52" s="15" t="str" cm="1">
        <f t="array" aca="1" ref="AQ52" ca="1">IFERROR(Table2[Column3], "")</f>
        <v>Apr-23</v>
      </c>
      <c r="AR52" s="15" t="str" cm="1">
        <f t="array" aca="1" ref="AR52" ca="1">IFERROR(Table2[Column4], "")</f>
        <v>May-23</v>
      </c>
      <c r="AS52" s="15" t="str" cm="1">
        <f t="array" aca="1" ref="AS52" ca="1">IFERROR(Table2[Column5], "")</f>
        <v>Jun-23</v>
      </c>
      <c r="AT52" s="15" t="str" cm="1">
        <f t="array" aca="1" ref="AT52" ca="1">IFERROR(Table2[Column6], "")</f>
        <v>Jul-23</v>
      </c>
      <c r="AU52" s="15" t="str" cm="1">
        <f t="array" aca="1" ref="AU52" ca="1">IFERROR(Table2[Column7], "")</f>
        <v>Aug-23</v>
      </c>
      <c r="AV52" s="15" t="str" cm="1">
        <f t="array" aca="1" ref="AV52" ca="1">IFERROR(Table2[Column8], "")</f>
        <v>Sep-23</v>
      </c>
      <c r="AW52" s="15" t="str" cm="1">
        <f t="array" aca="1" ref="AW52" ca="1">IFERROR(Table2[Column9], "")</f>
        <v>Oct-23</v>
      </c>
      <c r="AX52" s="15" t="str" cm="1">
        <f t="array" aca="1" ref="AX52" ca="1">IFERROR(Table2[Column10], "")</f>
        <v>Nov-23</v>
      </c>
      <c r="AY52" s="15" t="str" cm="1">
        <f t="array" aca="1" ref="AY52" ca="1">IFERROR(Table2[Column11], "")</f>
        <v>Dec-23</v>
      </c>
      <c r="AZ52" s="15" t="str" cm="1">
        <f t="array" aca="1" ref="AZ52" ca="1">IFERROR(Table2[Column12], "")</f>
        <v>Jan-24</v>
      </c>
      <c r="BA52" s="15" t="str" cm="1">
        <f t="array" aca="1" ref="BA52" ca="1">IFERROR(Table2[Column13], "")</f>
        <v>Feb-24</v>
      </c>
      <c r="BB52" s="15" t="str" cm="1">
        <f t="array" aca="1" ref="BB52" ca="1">IFERROR(Table2[Column14], "")</f>
        <v>Mar-24</v>
      </c>
      <c r="BC52" s="15" t="str" cm="1">
        <f t="array" aca="1" ref="BC52" ca="1">IFERROR(Table2[Column15], "")</f>
        <v>Apr-24</v>
      </c>
      <c r="BD52" s="15" t="str" cm="1">
        <f t="array" aca="1" ref="BD52" ca="1">IFERROR(Table2[Column16], "")</f>
        <v>May-24</v>
      </c>
      <c r="BE52" s="15" t="str" cm="1">
        <f t="array" aca="1" ref="BE52" ca="1">IFERROR(Table2[Column17], "")</f>
        <v>Jun-24</v>
      </c>
      <c r="BF52" s="15" t="str" cm="1">
        <f t="array" aca="1" ref="BF52" ca="1">IFERROR(Table2[Column18], "")</f>
        <v>Jul-24</v>
      </c>
      <c r="BG52" s="15" t="str" cm="1">
        <f t="array" aca="1" ref="BG52" ca="1">IFERROR(Table2[Column19], "")</f>
        <v>Aug-24</v>
      </c>
      <c r="BH52" s="15" t="str" cm="1">
        <f t="array" aca="1" ref="BH52" ca="1">IFERROR(Table2[Column20], "")</f>
        <v>Sep-24</v>
      </c>
      <c r="BI52" s="15" t="str" cm="1">
        <f t="array" aca="1" ref="BI52" ca="1">IFERROR(Table2[Column21], "")</f>
        <v>Oct-24</v>
      </c>
      <c r="BJ52" s="15" t="str" cm="1">
        <f t="array" aca="1" ref="BJ52" ca="1">IFERROR(Table2[Column22], "")</f>
        <v>Nov-24</v>
      </c>
      <c r="BK52" s="15" t="str" cm="1">
        <f t="array" aca="1" ref="BK52" ca="1">IFERROR(Table2[Column23], "")</f>
        <v>Dec-24</v>
      </c>
      <c r="BL52" s="15" t="str" cm="1">
        <f t="array" aca="1" ref="BL52" ca="1">IFERROR(Table2[Column24], "")</f>
        <v>Jan-25</v>
      </c>
      <c r="BM52" s="15" t="str" cm="1">
        <f t="array" aca="1" ref="BM52" ca="1">IFERROR(Table2[Column25], "")</f>
        <v>Feb-25</v>
      </c>
      <c r="BN52" s="15" t="str" cm="1">
        <f t="array" aca="1" ref="BN52" ca="1">IFERROR(Table2[Column26], "")</f>
        <v>Mar-25</v>
      </c>
      <c r="BO52" s="15" t="str" cm="1">
        <f t="array" aca="1" ref="BO52" ca="1">IFERROR(Table2[Column27], "")</f>
        <v>Apr-25</v>
      </c>
      <c r="BP52" s="15" t="str" cm="1">
        <f t="array" aca="1" ref="BP52" ca="1">IFERROR(Table2[Column28], "")</f>
        <v>May-25</v>
      </c>
      <c r="BQ52" s="15" t="str" cm="1">
        <f t="array" aca="1" ref="BQ52" ca="1">IFERROR(Table2[Column29], "")</f>
        <v>Jun-25</v>
      </c>
      <c r="BR52" s="15" t="str" cm="1">
        <f t="array" aca="1" ref="BR52" ca="1">IFERROR(Table2[Column30], "")</f>
        <v>Jul-25</v>
      </c>
      <c r="BS52" s="15" t="str" cm="1">
        <f t="array" aca="1" ref="BS52" ca="1">IFERROR(Table2[Column31], "")</f>
        <v>Aug-25</v>
      </c>
      <c r="BT52" s="15" t="str" cm="1">
        <f t="array" aca="1" ref="BT52" ca="1">IFERROR(Table2[Column32], "")</f>
        <v>Sep-25</v>
      </c>
      <c r="BU52" s="15" t="str" cm="1">
        <f t="array" aca="1" ref="BU52" ca="1">IFERROR(Table2[Column33], "")</f>
        <v>Oct-25</v>
      </c>
      <c r="BV52" s="15" t="str" cm="1">
        <f t="array" aca="1" ref="BV52" ca="1">IFERROR(Table2[Column34], "")</f>
        <v>Nov-25</v>
      </c>
      <c r="BW52" s="15" t="str" cm="1">
        <f t="array" aca="1" ref="BW52" ca="1">IFERROR(Table2[Column35], "")</f>
        <v>Dec-25</v>
      </c>
      <c r="BX52" s="15" t="str" cm="1">
        <f t="array" aca="1" ref="BX52" ca="1">IFERROR(Table2[Column36], "")</f>
        <v>Jan-26</v>
      </c>
      <c r="BY52" s="15" t="str" cm="1">
        <f t="array" aca="1" ref="BY52" ca="1">IFERROR(Table2[Column37], "")</f>
        <v>Feb-26</v>
      </c>
      <c r="BZ52" s="15" t="str" cm="1">
        <f t="array" aca="1" ref="BZ52" ca="1">IFERROR(Table2[Column38], "")</f>
        <v>Mar-26</v>
      </c>
      <c r="CA52" s="15" t="str" cm="1">
        <f t="array" aca="1" ref="CA52" ca="1">IFERROR(Table2[Column39], "")</f>
        <v>Apr-26</v>
      </c>
      <c r="CB52" s="15" t="str" cm="1">
        <f t="array" aca="1" ref="CB52" ca="1">IFERROR(Table2[Column40], "")</f>
        <v>May-26</v>
      </c>
      <c r="CC52" s="15" t="str" cm="1">
        <f t="array" aca="1" ref="CC52" ca="1">IFERROR(Table2[Column41], "")</f>
        <v>Jun-26</v>
      </c>
      <c r="CD52" s="15" t="str" cm="1">
        <f t="array" aca="1" ref="CD52" ca="1">IFERROR(Table2[Column42], "")</f>
        <v>Jul-26</v>
      </c>
      <c r="CE52" s="15" t="str" cm="1">
        <f t="array" aca="1" ref="CE52" ca="1">IFERROR(Table2[Column43], "")</f>
        <v>Aug-26</v>
      </c>
      <c r="CF52" s="15" t="str" cm="1">
        <f t="array" aca="1" ref="CF52" ca="1">IFERROR(Table2[Column44], "")</f>
        <v>Sep-26</v>
      </c>
      <c r="CG52" s="15" t="str" cm="1">
        <f t="array" aca="1" ref="CG52" ca="1">IFERROR(Table2[Column45], "")</f>
        <v>Oct-26</v>
      </c>
      <c r="CH52" s="15" t="str" cm="1">
        <f t="array" aca="1" ref="CH52" ca="1">IFERROR(Table2[Column46], "")</f>
        <v>Nov-26</v>
      </c>
      <c r="CI52" s="15" t="str" cm="1">
        <f t="array" aca="1" ref="CI52" ca="1">IFERROR(Table2[Column47], "")</f>
        <v>Dec-26</v>
      </c>
      <c r="CJ52" s="15" t="str" cm="1">
        <f t="array" aca="1" ref="CJ52" ca="1">IFERROR(Table2[Column48], "")</f>
        <v>Jan-27</v>
      </c>
      <c r="CK52" s="15" t="str" cm="1">
        <f t="array" aca="1" ref="CK52" ca="1">IFERROR(Table2[Column49], "")</f>
        <v>Feb-27</v>
      </c>
      <c r="CL52" s="15" t="str" cm="1">
        <f t="array" aca="1" ref="CL52" ca="1">IFERROR(Table2[Column50], "")</f>
        <v>Mar-27</v>
      </c>
      <c r="CM52" s="15" t="str" cm="1">
        <f t="array" aca="1" ref="CM52" ca="1">IFERROR(Table2[Column51], "")</f>
        <v>Apr-27</v>
      </c>
      <c r="CN52" s="15" t="str" cm="1">
        <f t="array" aca="1" ref="CN52" ca="1">IFERROR(Table2[Column52], "")</f>
        <v>May-27</v>
      </c>
      <c r="CO52" s="15" t="str" cm="1">
        <f t="array" aca="1" ref="CO52" ca="1">IFERROR(Table2[Column53], "")</f>
        <v>Jun-27</v>
      </c>
      <c r="CP52" s="15" t="str" cm="1">
        <f t="array" aca="1" ref="CP52" ca="1">IFERROR(Table2[Column54], "")</f>
        <v>Jul-27</v>
      </c>
      <c r="CQ52" s="15" t="str" cm="1">
        <f t="array" aca="1" ref="CQ52" ca="1">IFERROR(Table2[Column55], "")</f>
        <v>Aug-27</v>
      </c>
      <c r="CR52" s="15" t="str" cm="1">
        <f t="array" aca="1" ref="CR52" ca="1">IFERROR(Table2[Column56], "")</f>
        <v>Sep-27</v>
      </c>
      <c r="CS52" s="15" t="str" cm="1">
        <f t="array" aca="1" ref="CS52" ca="1">IFERROR(Table2[Column57], "")</f>
        <v>Oct-27</v>
      </c>
      <c r="CT52" s="15" t="str" cm="1">
        <f t="array" aca="1" ref="CT52" ca="1">IFERROR(Table2[Column58], "")</f>
        <v>Nov-27</v>
      </c>
      <c r="CU52" s="15" t="str" cm="1">
        <f t="array" aca="1" ref="CU52" ca="1">IFERROR(Table2[Column59], "")</f>
        <v>Dec-27</v>
      </c>
      <c r="CV52" s="15" t="str" cm="1">
        <f t="array" aca="1" ref="CV52" ca="1">IFERROR(Table2[Column60], "")</f>
        <v>Jan-28</v>
      </c>
      <c r="CW52" s="15" t="str" cm="1">
        <f t="array" aca="1" ref="CW52" ca="1">IFERROR(Table2[Column61], "")</f>
        <v>Feb-28</v>
      </c>
      <c r="CX52" s="15" t="str" cm="1">
        <f t="array" aca="1" ref="CX52" ca="1">IFERROR(Table2[Column62], "")</f>
        <v>Mar-28</v>
      </c>
      <c r="CY52" s="15" t="str" cm="1">
        <f t="array" aca="1" ref="CY52" ca="1">IFERROR(Table2[Column63], "")</f>
        <v>Apr-28</v>
      </c>
      <c r="CZ52" s="15" t="str" cm="1">
        <f t="array" aca="1" ref="CZ52" ca="1">IFERROR(Table2[Column64], "")</f>
        <v>May-28</v>
      </c>
      <c r="DA52" s="15" t="str" cm="1">
        <f t="array" aca="1" ref="DA52" ca="1">IFERROR(Table2[Column65], "")</f>
        <v>Jun-28</v>
      </c>
      <c r="DB52" s="15" t="str" cm="1">
        <f t="array" aca="1" ref="DB52" ca="1">IFERROR(Table2[Column66], "")</f>
        <v>Jul-28</v>
      </c>
      <c r="DC52" s="15" t="str" cm="1">
        <f t="array" aca="1" ref="DC52" ca="1">IFERROR(Table2[Column67], "")</f>
        <v>Aug-28</v>
      </c>
      <c r="DD52" s="15" t="str" cm="1">
        <f t="array" aca="1" ref="DD52" ca="1">IFERROR(Table2[Column68], "")</f>
        <v>Sep-28</v>
      </c>
      <c r="DE52" s="15" t="str" cm="1">
        <f t="array" aca="1" ref="DE52" ca="1">IFERROR(Table2[Column69], "")</f>
        <v>Oct-28</v>
      </c>
      <c r="DF52" s="15" t="str" cm="1">
        <f t="array" aca="1" ref="DF52" ca="1">IFERROR(Table2[Column70], "")</f>
        <v>Nov-28</v>
      </c>
      <c r="DG52" s="15" t="str" cm="1">
        <f t="array" aca="1" ref="DG52" ca="1">IFERROR(Table2[Column71], "")</f>
        <v>Dec-28</v>
      </c>
      <c r="DH52" s="15" t="str" cm="1">
        <f t="array" aca="1" ref="DH52" ca="1">IFERROR(Table2[Column72], "")</f>
        <v>Jan-29</v>
      </c>
      <c r="DI52" s="15" t="str" cm="1">
        <f t="array" aca="1" ref="DI52" ca="1">IFERROR(Table2[Column73], "")</f>
        <v>Feb-29</v>
      </c>
      <c r="DJ52" s="15" t="str" cm="1">
        <f t="array" aca="1" ref="DJ52" ca="1">IFERROR(Table2[Column74], "")</f>
        <v>Mar-29</v>
      </c>
      <c r="DK52" s="15" t="str" cm="1">
        <f t="array" aca="1" ref="DK52" ca="1">IFERROR(Table2[Column75], "")</f>
        <v>Apr-29</v>
      </c>
      <c r="DL52" s="15" t="str" cm="1">
        <f t="array" aca="1" ref="DL52" ca="1">IFERROR(Table2[Column76], "")</f>
        <v>May-29</v>
      </c>
      <c r="DM52" s="15" t="str" cm="1">
        <f t="array" aca="1" ref="DM52" ca="1">IFERROR(Table2[Column77], "")</f>
        <v>Jun-29</v>
      </c>
      <c r="DN52" s="15" t="str" cm="1">
        <f t="array" aca="1" ref="DN52" ca="1">IFERROR(Table2[Column78], "")</f>
        <v>Jul-29</v>
      </c>
      <c r="DO52" s="15" t="str" cm="1">
        <f t="array" aca="1" ref="DO52" ca="1">IFERROR(Table2[Column79], "")</f>
        <v>Aug-29</v>
      </c>
      <c r="DP52" s="15" t="str" cm="1">
        <f t="array" aca="1" ref="DP52" ca="1">IFERROR(Table2[Column80], "")</f>
        <v>Sep-29</v>
      </c>
      <c r="DQ52" s="15" t="str" cm="1">
        <f t="array" aca="1" ref="DQ52" ca="1">IFERROR(Table2[Column81], "")</f>
        <v>Oct-29</v>
      </c>
      <c r="DR52" s="15" t="str" cm="1">
        <f t="array" aca="1" ref="DR52" ca="1">IFERROR(Table2[Column82], "")</f>
        <v>Nov-29</v>
      </c>
      <c r="DS52" s="15" t="str" cm="1">
        <f t="array" aca="1" ref="DS52" ca="1">IFERROR(Table2[Column83], "")</f>
        <v>Dec-29</v>
      </c>
      <c r="DT52" s="15" t="str" cm="1">
        <f t="array" aca="1" ref="DT52" ca="1">IFERROR(Table2[Column84], "")</f>
        <v>Jan-30</v>
      </c>
      <c r="DU52" s="15" t="str" cm="1">
        <f t="array" aca="1" ref="DU52" ca="1">IFERROR(Table2[Column85], "")</f>
        <v>Feb-30</v>
      </c>
      <c r="DV52" s="15" t="str" cm="1">
        <f t="array" aca="1" ref="DV52" ca="1">IFERROR(Table2[Column86], "")</f>
        <v>Mar-30</v>
      </c>
      <c r="DW52" s="15" t="str" cm="1">
        <f t="array" aca="1" ref="DW52" ca="1">IFERROR(Table2[Column87], "")</f>
        <v>Apr-30</v>
      </c>
      <c r="DX52" s="15" t="str" cm="1">
        <f t="array" aca="1" ref="DX52" ca="1">IFERROR(Table2[Column88], "")</f>
        <v>May-30</v>
      </c>
      <c r="DY52" s="15" t="str" cm="1">
        <f t="array" aca="1" ref="DY52" ca="1">IFERROR(Table2[Column89], "")</f>
        <v>Jun-30</v>
      </c>
      <c r="DZ52" s="15" t="str" cm="1">
        <f t="array" aca="1" ref="DZ52" ca="1">IFERROR(Table2[Column90], "")</f>
        <v>Jul-30</v>
      </c>
      <c r="EA52" s="15" t="str" cm="1">
        <f t="array" aca="1" ref="EA52" ca="1">IFERROR(Table2[Column91], "")</f>
        <v>Aug-30</v>
      </c>
      <c r="EB52" s="15" t="str" cm="1">
        <f t="array" aca="1" ref="EB52" ca="1">IFERROR(Table2[Column92], "")</f>
        <v>Sep-30</v>
      </c>
      <c r="EC52" s="15" t="str" cm="1">
        <f t="array" aca="1" ref="EC52" ca="1">IFERROR(Table2[Column93], "")</f>
        <v/>
      </c>
      <c r="ED52" s="15" t="str" cm="1">
        <f t="array" aca="1" ref="ED52" ca="1">IFERROR(Table2[Column94], "")</f>
        <v/>
      </c>
      <c r="EE52" s="15" t="str" cm="1">
        <f t="array" aca="1" ref="EE52" ca="1">IFERROR(Table2[Column95], "")</f>
        <v/>
      </c>
    </row>
    <row r="53" spans="1:135" x14ac:dyDescent="0.4">
      <c r="C53" s="15" t="str">
        <f>IFERROR(C50, "")</f>
        <v>KPI 9 %</v>
      </c>
      <c r="D53" s="15">
        <f t="shared" ref="D53:BO53" ca="1" si="126">IFERROR(D50, "")</f>
        <v>0.45432669505472378</v>
      </c>
      <c r="E53" s="15">
        <f t="shared" ca="1" si="126"/>
        <v>0.77478422847105832</v>
      </c>
      <c r="F53" s="15">
        <f t="shared" ca="1" si="126"/>
        <v>0.9810503773574405</v>
      </c>
      <c r="G53" s="15">
        <f t="shared" ca="1" si="126"/>
        <v>0.22909456961590968</v>
      </c>
      <c r="H53" s="15">
        <f t="shared" ca="1" si="126"/>
        <v>0.58598511179741375</v>
      </c>
      <c r="I53" s="15">
        <f t="shared" ca="1" si="126"/>
        <v>4.7664701587642577E-2</v>
      </c>
      <c r="J53" s="15">
        <f t="shared" ca="1" si="126"/>
        <v>0.32108978948166034</v>
      </c>
      <c r="K53" s="15">
        <f t="shared" ca="1" si="126"/>
        <v>0.62709148181114516</v>
      </c>
      <c r="L53" s="15">
        <f t="shared" ca="1" si="126"/>
        <v>0.60745707460436704</v>
      </c>
      <c r="M53" s="15">
        <f t="shared" ca="1" si="126"/>
        <v>0.54142976386836206</v>
      </c>
      <c r="N53" s="15">
        <f t="shared" ca="1" si="126"/>
        <v>0.7702791910940987</v>
      </c>
      <c r="O53" s="15">
        <f t="shared" ca="1" si="126"/>
        <v>8.5123976567346271E-2</v>
      </c>
      <c r="P53" s="15">
        <f t="shared" ca="1" si="126"/>
        <v>0.82520318483480593</v>
      </c>
      <c r="Q53" s="15">
        <f t="shared" ca="1" si="126"/>
        <v>0.63724537332298437</v>
      </c>
      <c r="R53" s="15">
        <f t="shared" ca="1" si="126"/>
        <v>0.10002762966497947</v>
      </c>
      <c r="S53" s="15">
        <f t="shared" ca="1" si="126"/>
        <v>0.89546528141623671</v>
      </c>
      <c r="T53" s="15">
        <f t="shared" ca="1" si="126"/>
        <v>0.15305441452287905</v>
      </c>
      <c r="U53" s="15">
        <f t="shared" ca="1" si="126"/>
        <v>0.34449976155250595</v>
      </c>
      <c r="V53" s="15">
        <f t="shared" ca="1" si="126"/>
        <v>2.0147477130656455E-2</v>
      </c>
      <c r="W53" s="15">
        <f t="shared" ca="1" si="126"/>
        <v>0.24497793989829564</v>
      </c>
      <c r="X53" s="15">
        <f t="shared" ca="1" si="126"/>
        <v>8.7653508073254116E-2</v>
      </c>
      <c r="Y53" s="15">
        <f t="shared" ca="1" si="126"/>
        <v>0.91150598590449539</v>
      </c>
      <c r="Z53" s="15">
        <f t="shared" ca="1" si="126"/>
        <v>0.82564089435301835</v>
      </c>
      <c r="AA53" s="15">
        <f t="shared" ca="1" si="126"/>
        <v>8.1609090101872894E-2</v>
      </c>
      <c r="AB53" s="15">
        <f t="shared" ca="1" si="126"/>
        <v>0.12694245794753334</v>
      </c>
      <c r="AC53" s="15">
        <f t="shared" ca="1" si="126"/>
        <v>0.66304860877293392</v>
      </c>
      <c r="AD53" s="15">
        <f t="shared" ca="1" si="126"/>
        <v>0.96325723975760513</v>
      </c>
      <c r="AE53" s="15">
        <f t="shared" ca="1" si="126"/>
        <v>0.70501325029189021</v>
      </c>
      <c r="AF53" s="15">
        <f t="shared" ca="1" si="126"/>
        <v>0.77423413646433192</v>
      </c>
      <c r="AG53" s="15">
        <f t="shared" ca="1" si="126"/>
        <v>0.58940804172689498</v>
      </c>
      <c r="AH53" s="15">
        <f t="shared" ca="1" si="126"/>
        <v>0.23797091841883422</v>
      </c>
      <c r="AI53" s="15">
        <f t="shared" ca="1" si="126"/>
        <v>0.5054032715673048</v>
      </c>
      <c r="AJ53" s="15">
        <f t="shared" ca="1" si="126"/>
        <v>0.92473131363533312</v>
      </c>
      <c r="AK53" s="15">
        <f t="shared" ca="1" si="126"/>
        <v>0.47603155718655765</v>
      </c>
      <c r="AL53" s="15">
        <f t="shared" ca="1" si="126"/>
        <v>9.3742627173325266E-2</v>
      </c>
      <c r="AM53" s="15">
        <f t="shared" ca="1" si="126"/>
        <v>4.3114004014346952E-2</v>
      </c>
      <c r="AN53" s="15">
        <f t="shared" ca="1" si="126"/>
        <v>0.49830262396019087</v>
      </c>
      <c r="AO53" s="15">
        <f t="shared" ca="1" si="126"/>
        <v>0.72434867072150677</v>
      </c>
      <c r="AP53" s="15">
        <f t="shared" ca="1" si="126"/>
        <v>4.3114685293138999E-2</v>
      </c>
      <c r="AQ53" s="15">
        <f t="shared" ca="1" si="126"/>
        <v>0.95813433671475445</v>
      </c>
      <c r="AR53" s="15">
        <f t="shared" ca="1" si="126"/>
        <v>0.45886439918407407</v>
      </c>
      <c r="AS53" s="15">
        <f t="shared" ca="1" si="126"/>
        <v>0.11067450053399353</v>
      </c>
      <c r="AT53" s="15">
        <f t="shared" ca="1" si="126"/>
        <v>0.40485562397132313</v>
      </c>
      <c r="AU53" s="15">
        <f t="shared" ca="1" si="126"/>
        <v>0.71235502079819046</v>
      </c>
      <c r="AV53" s="15">
        <f t="shared" ca="1" si="126"/>
        <v>0.29029895827055918</v>
      </c>
      <c r="AW53" s="15">
        <f t="shared" ca="1" si="126"/>
        <v>0.26353232495323886</v>
      </c>
      <c r="AX53" s="15">
        <f t="shared" ca="1" si="126"/>
        <v>0.65380445376841434</v>
      </c>
      <c r="AY53" s="15">
        <f t="shared" ca="1" si="126"/>
        <v>0.21316025737866318</v>
      </c>
      <c r="AZ53" s="15">
        <f t="shared" ca="1" si="126"/>
        <v>0.5419292561415755</v>
      </c>
      <c r="BA53" s="15">
        <f t="shared" ca="1" si="126"/>
        <v>0.99851399710003841</v>
      </c>
      <c r="BB53" s="15">
        <f t="shared" ca="1" si="126"/>
        <v>0.51258581691214977</v>
      </c>
      <c r="BC53" s="15">
        <f t="shared" ca="1" si="126"/>
        <v>0.32451574013096007</v>
      </c>
      <c r="BD53" s="15">
        <f t="shared" ca="1" si="126"/>
        <v>0.80058188246163664</v>
      </c>
      <c r="BE53" s="15">
        <f t="shared" ca="1" si="126"/>
        <v>0.19573812735509555</v>
      </c>
      <c r="BF53" s="15">
        <f t="shared" ca="1" si="126"/>
        <v>0.99756532810171894</v>
      </c>
      <c r="BG53" s="15">
        <f t="shared" ca="1" si="126"/>
        <v>0.52325751114889874</v>
      </c>
      <c r="BH53" s="15">
        <f t="shared" ca="1" si="126"/>
        <v>0.24868728299008158</v>
      </c>
      <c r="BI53" s="15">
        <f t="shared" ca="1" si="126"/>
        <v>0.72945414256776619</v>
      </c>
      <c r="BJ53" s="15">
        <f t="shared" ca="1" si="126"/>
        <v>0.43969633207371661</v>
      </c>
      <c r="BK53" s="15">
        <f t="shared" ca="1" si="126"/>
        <v>0.43242940710275912</v>
      </c>
      <c r="BL53" s="15">
        <f t="shared" ca="1" si="126"/>
        <v>0.46162435480538733</v>
      </c>
      <c r="BM53" s="15">
        <f t="shared" ca="1" si="126"/>
        <v>3.2188707376029968E-2</v>
      </c>
      <c r="BN53" s="15">
        <f t="shared" ca="1" si="126"/>
        <v>0.99773331834304402</v>
      </c>
      <c r="BO53" s="15">
        <f t="shared" ca="1" si="126"/>
        <v>0.68256329738892119</v>
      </c>
      <c r="BP53" s="15">
        <f t="shared" ref="BP53:EA53" ca="1" si="127">IFERROR(BP50, "")</f>
        <v>0.93141228044447544</v>
      </c>
      <c r="BQ53" s="15">
        <f t="shared" ca="1" si="127"/>
        <v>0.17442009623724153</v>
      </c>
      <c r="BR53" s="15">
        <f t="shared" ca="1" si="127"/>
        <v>0.38433707748442059</v>
      </c>
      <c r="BS53" s="15">
        <f t="shared" ca="1" si="127"/>
        <v>9.4778388354151977E-3</v>
      </c>
      <c r="BT53" s="15">
        <f t="shared" ca="1" si="127"/>
        <v>0.34958315126078443</v>
      </c>
      <c r="BU53" s="15">
        <f t="shared" ca="1" si="127"/>
        <v>0.84376370876741658</v>
      </c>
      <c r="BV53" s="15">
        <f t="shared" ca="1" si="127"/>
        <v>0.9374377077521826</v>
      </c>
      <c r="BW53" s="15">
        <f t="shared" ca="1" si="127"/>
        <v>0.68688400150006279</v>
      </c>
      <c r="BX53" s="15">
        <f t="shared" ca="1" si="127"/>
        <v>0.25349349643628838</v>
      </c>
      <c r="BY53" s="15">
        <f t="shared" ca="1" si="127"/>
        <v>0.77225271940800322</v>
      </c>
      <c r="BZ53" s="15">
        <f t="shared" ca="1" si="127"/>
        <v>0.38613583804745355</v>
      </c>
      <c r="CA53" s="15">
        <f t="shared" ca="1" si="127"/>
        <v>0.28648591814405966</v>
      </c>
      <c r="CB53" s="15">
        <f t="shared" ca="1" si="127"/>
        <v>0.4957489194130581</v>
      </c>
      <c r="CC53" s="15">
        <f t="shared" ca="1" si="127"/>
        <v>0.95060762437270929</v>
      </c>
      <c r="CD53" s="15">
        <f t="shared" ca="1" si="127"/>
        <v>0.8656705956118681</v>
      </c>
      <c r="CE53" s="15">
        <f t="shared" ca="1" si="127"/>
        <v>0.58033034236185876</v>
      </c>
      <c r="CF53" s="15">
        <f t="shared" ca="1" si="127"/>
        <v>7.0293925772013321E-2</v>
      </c>
      <c r="CG53" s="15">
        <f t="shared" ca="1" si="127"/>
        <v>0.20945798370707513</v>
      </c>
      <c r="CH53" s="15">
        <f t="shared" ca="1" si="127"/>
        <v>0.62402914947865074</v>
      </c>
      <c r="CI53" s="15">
        <f t="shared" ca="1" si="127"/>
        <v>0.22087529473161016</v>
      </c>
      <c r="CJ53" s="15">
        <f t="shared" ca="1" si="127"/>
        <v>0.92695577136482754</v>
      </c>
      <c r="CK53" s="15">
        <f t="shared" ca="1" si="127"/>
        <v>0.29760259781402709</v>
      </c>
      <c r="CL53" s="15">
        <f t="shared" ca="1" si="127"/>
        <v>5.7136033371669392E-2</v>
      </c>
      <c r="CM53" s="15">
        <f t="shared" ca="1" si="127"/>
        <v>0.94532613746608862</v>
      </c>
      <c r="CN53" s="15">
        <f t="shared" ca="1" si="127"/>
        <v>0.55061860889925696</v>
      </c>
      <c r="CO53" s="15">
        <f t="shared" ca="1" si="127"/>
        <v>0.18883503091516718</v>
      </c>
      <c r="CP53" s="15">
        <f t="shared" ca="1" si="127"/>
        <v>0.98756399727174882</v>
      </c>
      <c r="CQ53" s="15">
        <f t="shared" ca="1" si="127"/>
        <v>0.9970375703323523</v>
      </c>
      <c r="CR53" s="15">
        <f t="shared" ca="1" si="127"/>
        <v>0.7189992621376321</v>
      </c>
      <c r="CS53" s="15">
        <f t="shared" ca="1" si="127"/>
        <v>0.63880258030743375</v>
      </c>
      <c r="CT53" s="15">
        <f t="shared" ca="1" si="127"/>
        <v>0.12436666174440369</v>
      </c>
      <c r="CU53" s="15">
        <f t="shared" ca="1" si="127"/>
        <v>0.84321524625646649</v>
      </c>
      <c r="CV53" s="15">
        <f t="shared" ca="1" si="127"/>
        <v>0.85691751065341593</v>
      </c>
      <c r="CW53" s="15">
        <f t="shared" ca="1" si="127"/>
        <v>0.64527347288161729</v>
      </c>
      <c r="CX53" s="15">
        <f t="shared" ca="1" si="127"/>
        <v>0.61182411940377079</v>
      </c>
      <c r="CY53" s="15">
        <f t="shared" ca="1" si="127"/>
        <v>3.3127913128722097E-3</v>
      </c>
      <c r="CZ53" s="15">
        <f t="shared" ca="1" si="127"/>
        <v>0.73181158680827163</v>
      </c>
      <c r="DA53" s="15">
        <f t="shared" ca="1" si="127"/>
        <v>0.26257613737320484</v>
      </c>
      <c r="DB53" s="15">
        <f t="shared" ca="1" si="127"/>
        <v>0.2452963032545189</v>
      </c>
      <c r="DC53" s="15">
        <f t="shared" ca="1" si="127"/>
        <v>0.93082387873832551</v>
      </c>
      <c r="DD53" s="15">
        <f t="shared" ca="1" si="127"/>
        <v>3.7933646026239609E-2</v>
      </c>
      <c r="DE53" s="15">
        <f t="shared" ca="1" si="127"/>
        <v>0.86837674622841465</v>
      </c>
      <c r="DF53" s="15">
        <f t="shared" ca="1" si="127"/>
        <v>0.81790414278588586</v>
      </c>
      <c r="DG53" s="15">
        <f t="shared" ca="1" si="127"/>
        <v>7.666294676778429E-2</v>
      </c>
      <c r="DH53" s="15">
        <f t="shared" ca="1" si="127"/>
        <v>0.43458459240841718</v>
      </c>
      <c r="DI53" s="15">
        <f t="shared" ca="1" si="127"/>
        <v>4.1722888121580315E-3</v>
      </c>
      <c r="DJ53" s="15">
        <f t="shared" ca="1" si="127"/>
        <v>0.1977303428471241</v>
      </c>
      <c r="DK53" s="15">
        <f t="shared" ca="1" si="127"/>
        <v>0.61264025514432385</v>
      </c>
      <c r="DL53" s="15">
        <f t="shared" ca="1" si="127"/>
        <v>2.3998131044633109E-2</v>
      </c>
      <c r="DM53" s="15">
        <f t="shared" ca="1" si="127"/>
        <v>0.88149671218683723</v>
      </c>
      <c r="DN53" s="15">
        <f t="shared" ca="1" si="127"/>
        <v>0.64308850814359264</v>
      </c>
      <c r="DO53" s="15">
        <f t="shared" ca="1" si="127"/>
        <v>0.279262581147801</v>
      </c>
      <c r="DP53" s="15">
        <f t="shared" ca="1" si="127"/>
        <v>5.7518558610357151E-2</v>
      </c>
      <c r="DQ53" s="15">
        <f t="shared" ca="1" si="127"/>
        <v>0.41749307737325447</v>
      </c>
      <c r="DR53" s="15">
        <f t="shared" ca="1" si="127"/>
        <v>0.99529586050222774</v>
      </c>
      <c r="DS53" s="15">
        <f t="shared" ca="1" si="127"/>
        <v>0.57049068729582153</v>
      </c>
      <c r="DT53" s="15">
        <f t="shared" ca="1" si="127"/>
        <v>0.32780757346738465</v>
      </c>
      <c r="DU53" s="15">
        <f t="shared" ca="1" si="127"/>
        <v>0.45704306306119791</v>
      </c>
      <c r="DV53" s="15">
        <f t="shared" ca="1" si="127"/>
        <v>0.89011258295517981</v>
      </c>
      <c r="DW53" s="15">
        <f t="shared" ca="1" si="127"/>
        <v>0.34643963129230426</v>
      </c>
      <c r="DX53" s="15">
        <f t="shared" ca="1" si="127"/>
        <v>0.49277735594004013</v>
      </c>
      <c r="DY53" s="15">
        <f t="shared" ca="1" si="127"/>
        <v>0.36200465655514658</v>
      </c>
      <c r="DZ53" s="15">
        <f t="shared" ca="1" si="127"/>
        <v>0.9161990408004832</v>
      </c>
      <c r="EA53" s="15">
        <f t="shared" ca="1" si="127"/>
        <v>0.3187398555698514</v>
      </c>
      <c r="EB53" s="15">
        <f t="shared" ref="EB53:EE53" ca="1" si="128">IFERROR(EB50, "")</f>
        <v>0.81861488717108888</v>
      </c>
      <c r="EC53" s="15" t="str">
        <f t="shared" ca="1" si="128"/>
        <v/>
      </c>
      <c r="ED53" s="15" t="str">
        <f t="shared" ca="1" si="128"/>
        <v/>
      </c>
      <c r="EE53" s="15" t="str">
        <f t="shared" ca="1" si="128"/>
        <v/>
      </c>
    </row>
    <row r="57" spans="1:135" x14ac:dyDescent="0.4">
      <c r="Q57" s="40" t="s">
        <v>182</v>
      </c>
      <c r="R57" s="41"/>
      <c r="S57" s="41"/>
      <c r="T57" s="41"/>
      <c r="U57" s="42"/>
    </row>
    <row r="58" spans="1:135" x14ac:dyDescent="0.4">
      <c r="Q58" s="43"/>
      <c r="R58" s="44"/>
      <c r="S58" s="44"/>
      <c r="T58" s="44"/>
      <c r="U58" s="45"/>
    </row>
    <row r="59" spans="1:135" x14ac:dyDescent="0.4">
      <c r="Q59" s="43"/>
      <c r="R59" s="44"/>
      <c r="S59" s="44"/>
      <c r="T59" s="44"/>
      <c r="U59" s="45"/>
    </row>
    <row r="60" spans="1:135" x14ac:dyDescent="0.4">
      <c r="Q60" s="43"/>
      <c r="R60" s="44"/>
      <c r="S60" s="44"/>
      <c r="T60" s="44"/>
      <c r="U60" s="45"/>
    </row>
    <row r="61" spans="1:135" x14ac:dyDescent="0.4">
      <c r="Q61" s="43"/>
      <c r="R61" s="44"/>
      <c r="S61" s="44"/>
      <c r="T61" s="44"/>
      <c r="U61" s="45"/>
    </row>
    <row r="62" spans="1:135" x14ac:dyDescent="0.4">
      <c r="Q62" s="43"/>
      <c r="R62" s="44"/>
      <c r="S62" s="44"/>
      <c r="T62" s="44"/>
      <c r="U62" s="45"/>
    </row>
    <row r="63" spans="1:135" x14ac:dyDescent="0.4">
      <c r="Q63" s="43"/>
      <c r="R63" s="44"/>
      <c r="S63" s="44"/>
      <c r="T63" s="44"/>
      <c r="U63" s="45"/>
    </row>
    <row r="64" spans="1:135" x14ac:dyDescent="0.4">
      <c r="Q64" s="43"/>
      <c r="R64" s="44"/>
      <c r="S64" s="44"/>
      <c r="T64" s="44"/>
      <c r="U64" s="45"/>
    </row>
    <row r="65" spans="1:21" x14ac:dyDescent="0.4">
      <c r="Q65" s="43"/>
      <c r="R65" s="44"/>
      <c r="S65" s="44"/>
      <c r="T65" s="44"/>
      <c r="U65" s="45"/>
    </row>
    <row r="66" spans="1:21" x14ac:dyDescent="0.4">
      <c r="Q66" s="46"/>
      <c r="R66" s="47"/>
      <c r="S66" s="47"/>
      <c r="T66" s="47"/>
      <c r="U66" s="48"/>
    </row>
    <row r="71" spans="1:21" x14ac:dyDescent="0.4">
      <c r="A71" t="s">
        <v>184</v>
      </c>
    </row>
    <row r="72" spans="1:21" x14ac:dyDescent="0.4">
      <c r="B72" s="16" t="s">
        <v>180</v>
      </c>
    </row>
    <row r="73" spans="1:21" x14ac:dyDescent="0.4">
      <c r="B73" s="13" t="s">
        <v>84</v>
      </c>
      <c r="C73" s="39" t="s">
        <v>79</v>
      </c>
    </row>
    <row r="74" spans="1:21" x14ac:dyDescent="0.4">
      <c r="B74" s="13" t="s">
        <v>181</v>
      </c>
      <c r="C74" s="39" t="str">
        <f>TEXT(DATE(YEAR(C73), MONTH(C73)+12, DAY(C73)), "Mmm-yy")</f>
        <v>Feb-31</v>
      </c>
      <c r="D74" s="14" t="str">
        <f ca="1">IF(DATEVALUE(C74)&gt;DATEVALUE(EE1),"Sorry, there isn't enough data to show 12 months.","")</f>
        <v>Sorry, there isn't enough data to show 12 months.</v>
      </c>
      <c r="E74" s="18"/>
    </row>
    <row r="75" spans="1:21" x14ac:dyDescent="0.4">
      <c r="B75" s="8" t="s">
        <v>81</v>
      </c>
      <c r="C75" s="39" t="s">
        <v>34</v>
      </c>
      <c r="D75" s="6"/>
    </row>
    <row r="77" spans="1:21" x14ac:dyDescent="0.4">
      <c r="C77" s="5" t="s">
        <v>40</v>
      </c>
      <c r="D77" s="5" t="str">
        <f>IF(ISBLANK(C73), "", C73)</f>
        <v>Feb-30</v>
      </c>
      <c r="E77" s="5" t="str">
        <f ca="1">IFERROR(IF(DATEVALUE(D77)&gt;=DATEVALUE($EE$1),"",(TEXT(DATE(YEAR(D77),MONTH(D77)+1,DAY(D77)),"MMM-YY"))),"")</f>
        <v>Mar-30</v>
      </c>
      <c r="F77" s="5" t="str">
        <f t="shared" ref="F77:P77" ca="1" si="129">IFERROR(IF(DATEVALUE(E77)&gt;=DATEVALUE($EE$1),"",(TEXT(DATE(YEAR(E77),MONTH(E77)+1,DAY(E77)),"MMM-YY"))),"")</f>
        <v>Apr-30</v>
      </c>
      <c r="G77" s="5" t="str">
        <f t="shared" ca="1" si="129"/>
        <v>May-30</v>
      </c>
      <c r="H77" s="5" t="str">
        <f t="shared" ca="1" si="129"/>
        <v>Jun-30</v>
      </c>
      <c r="I77" s="5" t="str">
        <f t="shared" ca="1" si="129"/>
        <v>Jul-30</v>
      </c>
      <c r="J77" s="5" t="str">
        <f t="shared" ca="1" si="129"/>
        <v>Aug-30</v>
      </c>
      <c r="K77" s="5" t="str">
        <f t="shared" ca="1" si="129"/>
        <v>Sep-30</v>
      </c>
      <c r="L77" s="5" t="str">
        <f t="shared" ca="1" si="129"/>
        <v>Oct-30</v>
      </c>
      <c r="M77" s="5" t="str">
        <f t="shared" ca="1" si="129"/>
        <v>Nov-30</v>
      </c>
      <c r="N77" s="5" t="str">
        <f t="shared" ca="1" si="129"/>
        <v>Dec-30</v>
      </c>
      <c r="O77" s="5" t="str">
        <f t="shared" ca="1" si="129"/>
        <v/>
      </c>
      <c r="P77" s="5" t="str">
        <f t="shared" ca="1" si="129"/>
        <v/>
      </c>
    </row>
    <row r="78" spans="1:21" x14ac:dyDescent="0.4">
      <c r="C78" s="17" t="str">
        <f>C75</f>
        <v>KPI 28 %</v>
      </c>
      <c r="D78" s="12">
        <f ca="1">(IFERROR(INDEX(Raw!$C$1:$EE$33,MATCH($C78,Raw!$C$1:$C$33,0),MATCH(D$77,Raw!$C$1:$EE$1,0)),""))</f>
        <v>1.2694803459301662</v>
      </c>
      <c r="E78" s="12">
        <f ca="1">(IFERROR(INDEX(Raw!$C$1:$EE$33,MATCH($C78,Raw!$C$1:$C$33,0),MATCH(E$77,Raw!$C$1:$EE$1,0)),""))</f>
        <v>1.0413031717282886</v>
      </c>
      <c r="F78" s="12">
        <f ca="1">(IFERROR(INDEX(Raw!$C$1:$EE$33,MATCH($C78,Raw!$C$1:$C$33,0),MATCH(F$77,Raw!$C$1:$EE$1,0)),""))</f>
        <v>1.6097489948727195</v>
      </c>
      <c r="G78" s="12">
        <f ca="1">(IFERROR(INDEX(Raw!$C$1:$EE$33,MATCH($C78,Raw!$C$1:$C$33,0),MATCH(G$77,Raw!$C$1:$EE$1,0)),""))</f>
        <v>1.2434370307107696</v>
      </c>
      <c r="H78" s="12">
        <f ca="1">(IFERROR(INDEX(Raw!$C$1:$EE$33,MATCH($C78,Raw!$C$1:$C$33,0),MATCH(H$77,Raw!$C$1:$EE$1,0)),""))</f>
        <v>1.6967066288557409</v>
      </c>
      <c r="I78" s="12">
        <f ca="1">(IFERROR(INDEX(Raw!$C$1:$EE$33,MATCH($C78,Raw!$C$1:$C$33,0),MATCH(I$77,Raw!$C$1:$EE$1,0)),""))</f>
        <v>1.7056195271044374</v>
      </c>
      <c r="J78" s="12">
        <f ca="1">(IFERROR(INDEX(Raw!$C$1:$EE$33,MATCH($C78,Raw!$C$1:$C$33,0),MATCH(J$77,Raw!$C$1:$EE$1,0)),""))</f>
        <v>1.0491516591229373</v>
      </c>
      <c r="K78" s="12">
        <f ca="1">(IFERROR(INDEX(Raw!$C$1:$EE$33,MATCH($C78,Raw!$C$1:$C$33,0),MATCH(K$77,Raw!$C$1:$EE$1,0)),""))</f>
        <v>1.8279303559148565</v>
      </c>
      <c r="L78" s="12">
        <f ca="1">(IFERROR(INDEX(Raw!$C$1:$EE$33,MATCH($C78,Raw!$C$1:$C$33,0),MATCH(L$77,Raw!$C$1:$EE$1,0)),""))</f>
        <v>1.2144453283234578</v>
      </c>
      <c r="M78" s="12">
        <f ca="1">(IFERROR(INDEX(Raw!$C$1:$EE$33,MATCH($C78,Raw!$C$1:$C$33,0),MATCH(M$77,Raw!$C$1:$EE$1,0)),""))</f>
        <v>1.696867376990431</v>
      </c>
      <c r="N78" s="12">
        <f ca="1">(IFERROR(INDEX(Raw!$C$1:$EE$33,MATCH($C78,Raw!$C$1:$C$33,0),MATCH(N$77,Raw!$C$1:$EE$1,0)),""))</f>
        <v>1.8029089450846882</v>
      </c>
      <c r="O78" s="12" t="str">
        <f ca="1">(IFERROR(INDEX(Raw!$C$1:$EE$33,MATCH($C78,Raw!$C$1:$C$33,0),MATCH(O$77,Raw!$C$1:$EE$1,0)),""))</f>
        <v/>
      </c>
      <c r="P78" s="12" t="str">
        <f ca="1">(IFERROR(INDEX(Raw!$C$1:$EE$33,MATCH($C78,Raw!$C$1:$C$33,0),MATCH(P$77,Raw!$C$1:$EE$1,0)),""))</f>
        <v/>
      </c>
    </row>
    <row r="81" spans="17:21" x14ac:dyDescent="0.4">
      <c r="Q81" s="40" t="s">
        <v>183</v>
      </c>
      <c r="R81" s="41"/>
      <c r="S81" s="41"/>
      <c r="T81" s="41"/>
      <c r="U81" s="42"/>
    </row>
    <row r="82" spans="17:21" x14ac:dyDescent="0.4">
      <c r="Q82" s="43"/>
      <c r="R82" s="44"/>
      <c r="S82" s="44"/>
      <c r="T82" s="44"/>
      <c r="U82" s="45"/>
    </row>
    <row r="83" spans="17:21" x14ac:dyDescent="0.4">
      <c r="Q83" s="43"/>
      <c r="R83" s="44"/>
      <c r="S83" s="44"/>
      <c r="T83" s="44"/>
      <c r="U83" s="45"/>
    </row>
    <row r="84" spans="17:21" x14ac:dyDescent="0.4">
      <c r="Q84" s="43"/>
      <c r="R84" s="44"/>
      <c r="S84" s="44"/>
      <c r="T84" s="44"/>
      <c r="U84" s="45"/>
    </row>
    <row r="85" spans="17:21" x14ac:dyDescent="0.4">
      <c r="Q85" s="43"/>
      <c r="R85" s="44"/>
      <c r="S85" s="44"/>
      <c r="T85" s="44"/>
      <c r="U85" s="45"/>
    </row>
    <row r="86" spans="17:21" x14ac:dyDescent="0.4">
      <c r="Q86" s="43"/>
      <c r="R86" s="44"/>
      <c r="S86" s="44"/>
      <c r="T86" s="44"/>
      <c r="U86" s="45"/>
    </row>
    <row r="87" spans="17:21" x14ac:dyDescent="0.4">
      <c r="Q87" s="43"/>
      <c r="R87" s="44"/>
      <c r="S87" s="44"/>
      <c r="T87" s="44"/>
      <c r="U87" s="45"/>
    </row>
    <row r="88" spans="17:21" x14ac:dyDescent="0.4">
      <c r="Q88" s="43"/>
      <c r="R88" s="44"/>
      <c r="S88" s="44"/>
      <c r="T88" s="44"/>
      <c r="U88" s="45"/>
    </row>
    <row r="89" spans="17:21" x14ac:dyDescent="0.4">
      <c r="Q89" s="43"/>
      <c r="R89" s="44"/>
      <c r="S89" s="44"/>
      <c r="T89" s="44"/>
      <c r="U89" s="45"/>
    </row>
    <row r="90" spans="17:21" x14ac:dyDescent="0.4">
      <c r="Q90" s="46"/>
      <c r="R90" s="47"/>
      <c r="S90" s="47"/>
      <c r="T90" s="47"/>
      <c r="U90" s="48"/>
    </row>
    <row r="101" spans="1:1" x14ac:dyDescent="0.4">
      <c r="A101" t="s">
        <v>184</v>
      </c>
    </row>
    <row r="113" customFormat="1" x14ac:dyDescent="0.4"/>
    <row r="114" customFormat="1" x14ac:dyDescent="0.4"/>
    <row r="115" customFormat="1" x14ac:dyDescent="0.4"/>
    <row r="116" customFormat="1" x14ac:dyDescent="0.4"/>
    <row r="117" customFormat="1" x14ac:dyDescent="0.4"/>
    <row r="118" customFormat="1" x14ac:dyDescent="0.4"/>
    <row r="119" customFormat="1" x14ac:dyDescent="0.4"/>
    <row r="120" customFormat="1" x14ac:dyDescent="0.4"/>
    <row r="121" customFormat="1" x14ac:dyDescent="0.4"/>
    <row r="122" customFormat="1" x14ac:dyDescent="0.4"/>
    <row r="123" customFormat="1" x14ac:dyDescent="0.4"/>
    <row r="124" customFormat="1" x14ac:dyDescent="0.4"/>
    <row r="125" customFormat="1" x14ac:dyDescent="0.4"/>
    <row r="126" customFormat="1" x14ac:dyDescent="0.4"/>
    <row r="127" customFormat="1" x14ac:dyDescent="0.4"/>
    <row r="128" customFormat="1" x14ac:dyDescent="0.4"/>
    <row r="129" customFormat="1" x14ac:dyDescent="0.4"/>
    <row r="130" customFormat="1" x14ac:dyDescent="0.4"/>
    <row r="131" customFormat="1" x14ac:dyDescent="0.4"/>
    <row r="132" customFormat="1" x14ac:dyDescent="0.4"/>
    <row r="133" customFormat="1" x14ac:dyDescent="0.4"/>
    <row r="134" customFormat="1" x14ac:dyDescent="0.4"/>
    <row r="135" customFormat="1" x14ac:dyDescent="0.4"/>
    <row r="136" customFormat="1" x14ac:dyDescent="0.4"/>
    <row r="137" customFormat="1" x14ac:dyDescent="0.4"/>
    <row r="138" customFormat="1" x14ac:dyDescent="0.4"/>
    <row r="139" customFormat="1" x14ac:dyDescent="0.4"/>
    <row r="140" customFormat="1" x14ac:dyDescent="0.4"/>
    <row r="141" customFormat="1" x14ac:dyDescent="0.4"/>
    <row r="142" customFormat="1" x14ac:dyDescent="0.4"/>
    <row r="143" customFormat="1" x14ac:dyDescent="0.4"/>
    <row r="144" customFormat="1" x14ac:dyDescent="0.4"/>
    <row r="145" customFormat="1" x14ac:dyDescent="0.4"/>
    <row r="146" customFormat="1" x14ac:dyDescent="0.4"/>
    <row r="147" customFormat="1" x14ac:dyDescent="0.4"/>
    <row r="148" customFormat="1" x14ac:dyDescent="0.4"/>
    <row r="149" customFormat="1" x14ac:dyDescent="0.4"/>
    <row r="150" customFormat="1" x14ac:dyDescent="0.4"/>
    <row r="151" customFormat="1" x14ac:dyDescent="0.4"/>
  </sheetData>
  <sheetProtection algorithmName="SHA-512" hashValue="UGcmZ45Q0qRrla11ao7RG1dyhN0n0RVuAZ5qVRXPdrolnbiVVmGObNFL0sfYbSFlO6Jmf9kMBfPbzAW7ZE9rkw==" saltValue="XsbvcU6OXUbAXDDdLmD7oQ==" spinCount="100000" sheet="1" objects="1" scenarios="1"/>
  <mergeCells count="2">
    <mergeCell ref="Q57:U66"/>
    <mergeCell ref="Q81:U90"/>
  </mergeCells>
  <phoneticPr fontId="3" type="noConversion"/>
  <conditionalFormatting sqref="C2:C42">
    <cfRule type="duplicateValues" dxfId="7" priority="22"/>
  </conditionalFormatting>
  <conditionalFormatting sqref="C45:C47">
    <cfRule type="duplicateValues" dxfId="6" priority="18"/>
  </conditionalFormatting>
  <conditionalFormatting sqref="C73 C75">
    <cfRule type="duplicateValues" dxfId="5" priority="23"/>
  </conditionalFormatting>
  <conditionalFormatting sqref="C77:P78">
    <cfRule type="containsErrors" dxfId="4" priority="1">
      <formula>ISERROR(C77)</formula>
    </cfRule>
    <cfRule type="containsBlanks" dxfId="3" priority="2">
      <formula>LEN(TRIM(C77))=0</formula>
    </cfRule>
  </conditionalFormatting>
  <conditionalFormatting sqref="C49:EE50">
    <cfRule type="containsErrors" dxfId="2" priority="15">
      <formula>ISERROR(C49)</formula>
    </cfRule>
    <cfRule type="containsBlanks" dxfId="1" priority="16">
      <formula>LEN(TRIM(C49))=0</formula>
    </cfRule>
  </conditionalFormatting>
  <conditionalFormatting sqref="E74 C74">
    <cfRule type="duplicateValues" dxfId="0" priority="9"/>
  </conditionalFormatting>
  <dataValidations count="4">
    <dataValidation type="list" allowBlank="1" showInputMessage="1" showErrorMessage="1" sqref="C37:C42 C47 C75" xr:uid="{4ACC1083-E89D-4639-8B61-A5A1B4C266E3}">
      <formula1>$C$2:$C$33</formula1>
    </dataValidation>
    <dataValidation type="list" allowBlank="1" showInputMessage="1" showErrorMessage="1" sqref="C46" xr:uid="{D853D5E7-9CFC-4959-BBEE-6271A3681B74}">
      <formula1>$E$1:$EE$1</formula1>
    </dataValidation>
    <dataValidation type="list" allowBlank="1" showInputMessage="1" showErrorMessage="1" sqref="C45 C73" xr:uid="{4E6B68AD-0863-4F34-8334-8E4C9C2D3CA3}">
      <formula1>$D$1:$ED$1</formula1>
    </dataValidation>
    <dataValidation showInputMessage="1" showErrorMessage="1" errorTitle="Please don't change this value!" error="This value will update automatically. " promptTitle="Please do not edit this value!" prompt="This value updates automatically. " sqref="C74" xr:uid="{CF6FE83B-5185-4820-992C-91EB7737CC62}"/>
  </dataValidation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Lists</vt:lpstr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Veera S</dc:creator>
  <cp:lastModifiedBy>Veera S</cp:lastModifiedBy>
  <dcterms:created xsi:type="dcterms:W3CDTF">2025-09-12T05:46:27Z</dcterms:created>
  <dcterms:modified xsi:type="dcterms:W3CDTF">2025-09-12T14:41:54Z</dcterms:modified>
</cp:coreProperties>
</file>