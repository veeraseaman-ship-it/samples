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MISTAJA\Documents\Portfolio\"/>
    </mc:Choice>
  </mc:AlternateContent>
  <xr:revisionPtr revIDLastSave="0" documentId="13_ncr:1_{EE4255F8-902A-46A0-BFF9-51AA3E9D6D17}" xr6:coauthVersionLast="47" xr6:coauthVersionMax="47" xr10:uidLastSave="{00000000-0000-0000-0000-000000000000}"/>
  <bookViews>
    <workbookView xWindow="-103" yWindow="-103" windowWidth="16663" windowHeight="9463" xr2:uid="{B67F4F44-D51B-43B3-8F48-E7518AE98DE5}"/>
  </bookViews>
  <sheets>
    <sheet name="Set-up" sheetId="1" r:id="rId1"/>
    <sheet name="Lists" sheetId="2" r:id="rId2"/>
    <sheet name="Dashboard" sheetId="3" r:id="rId3"/>
    <sheet name="Raw" sheetId="4" r:id="rId4"/>
    <sheet name="Contact" sheetId="5" r:id="rId5"/>
  </sheets>
  <definedNames>
    <definedName name="_xlnm._FilterDatabase" localSheetId="2" hidden="1">Dashboard!$B$7:$B$8</definedName>
    <definedName name="Colours" comment="This is where you will see the selected colour scheme. ">'Set-up'!$D$2:$G$2</definedName>
    <definedName name="_xlnm.Print_Area" localSheetId="4">Contact!$A$1:$J$6</definedName>
    <definedName name="_xlnm.Print_Area" localSheetId="2">Dashboard!$A$1:$M$90</definedName>
    <definedName name="_xlnm.Print_Area" localSheetId="1">Lists!$A$1:$G$27</definedName>
    <definedName name="_xlnm.Print_Area" localSheetId="3">Raw!$A$1:$EE$39</definedName>
    <definedName name="_xlnm.Print_Area" localSheetId="0">'Set-up'!$B$1:$H$10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E12" i="4" l="1"/>
  <c r="ED12" i="4"/>
  <c r="EC12" i="4"/>
  <c r="EB12" i="4"/>
  <c r="EA12" i="4"/>
  <c r="DZ12" i="4"/>
  <c r="DY12" i="4"/>
  <c r="DX12" i="4"/>
  <c r="DW12" i="4"/>
  <c r="DV12" i="4"/>
  <c r="DU12" i="4"/>
  <c r="DT12" i="4"/>
  <c r="DS12" i="4"/>
  <c r="DR12" i="4"/>
  <c r="DQ12" i="4"/>
  <c r="DP12" i="4"/>
  <c r="DO12" i="4"/>
  <c r="DN12" i="4"/>
  <c r="DM12" i="4"/>
  <c r="DL12" i="4"/>
  <c r="DK12" i="4"/>
  <c r="DJ12" i="4"/>
  <c r="DI12" i="4"/>
  <c r="DH12" i="4"/>
  <c r="DG12" i="4"/>
  <c r="DF12" i="4"/>
  <c r="DE12" i="4"/>
  <c r="DD12" i="4"/>
  <c r="DC12" i="4"/>
  <c r="DB12" i="4"/>
  <c r="DA12" i="4"/>
  <c r="CZ12" i="4"/>
  <c r="CY12" i="4"/>
  <c r="CX12" i="4"/>
  <c r="CW12" i="4"/>
  <c r="CV12" i="4"/>
  <c r="CU12" i="4"/>
  <c r="CT12" i="4"/>
  <c r="CS12" i="4"/>
  <c r="CR12" i="4"/>
  <c r="CQ12" i="4"/>
  <c r="CP12" i="4"/>
  <c r="CO12" i="4"/>
  <c r="CN12" i="4"/>
  <c r="CM12" i="4"/>
  <c r="CL12" i="4"/>
  <c r="CK12" i="4"/>
  <c r="CJ12" i="4"/>
  <c r="CI12" i="4"/>
  <c r="CH12" i="4"/>
  <c r="CG12" i="4"/>
  <c r="CF12" i="4"/>
  <c r="CE12" i="4"/>
  <c r="CD12" i="4"/>
  <c r="CC12" i="4"/>
  <c r="CB12" i="4"/>
  <c r="CA12" i="4"/>
  <c r="BZ12" i="4"/>
  <c r="BY12" i="4"/>
  <c r="BX12" i="4"/>
  <c r="BW12" i="4"/>
  <c r="BV12" i="4"/>
  <c r="BU12" i="4"/>
  <c r="BT12" i="4"/>
  <c r="BS12" i="4"/>
  <c r="BR12" i="4"/>
  <c r="BQ12" i="4"/>
  <c r="BP12" i="4"/>
  <c r="BO12" i="4"/>
  <c r="BN12" i="4"/>
  <c r="BM12" i="4"/>
  <c r="BL12" i="4"/>
  <c r="BK12" i="4"/>
  <c r="BJ12" i="4"/>
  <c r="BI12" i="4"/>
  <c r="BH12" i="4"/>
  <c r="BG12" i="4"/>
  <c r="BF12" i="4"/>
  <c r="BE12" i="4"/>
  <c r="BD12" i="4"/>
  <c r="BC12" i="4"/>
  <c r="BB12" i="4"/>
  <c r="BA12" i="4"/>
  <c r="AZ12" i="4"/>
  <c r="AY12" i="4"/>
  <c r="AX12" i="4"/>
  <c r="AW12" i="4"/>
  <c r="AV12" i="4"/>
  <c r="AU12" i="4"/>
  <c r="AT12" i="4"/>
  <c r="AS12" i="4"/>
  <c r="AR12" i="4"/>
  <c r="AQ12" i="4"/>
  <c r="AP12" i="4"/>
  <c r="AO12" i="4"/>
  <c r="AN12" i="4"/>
  <c r="AM12" i="4"/>
  <c r="AL12" i="4"/>
  <c r="AK12" i="4"/>
  <c r="AJ12" i="4"/>
  <c r="AI12" i="4"/>
  <c r="AH12" i="4"/>
  <c r="AG12" i="4"/>
  <c r="AF12" i="4"/>
  <c r="AE12" i="4"/>
  <c r="AD12" i="4"/>
  <c r="AC12" i="4"/>
  <c r="AB12" i="4"/>
  <c r="AA12" i="4"/>
  <c r="Z12" i="4"/>
  <c r="Y12" i="4"/>
  <c r="X12" i="4"/>
  <c r="W12" i="4"/>
  <c r="V12" i="4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EE14" i="4"/>
  <c r="ED14" i="4"/>
  <c r="EC14" i="4"/>
  <c r="EB14" i="4"/>
  <c r="EA14" i="4"/>
  <c r="DZ14" i="4"/>
  <c r="DY14" i="4"/>
  <c r="DX14" i="4"/>
  <c r="DW14" i="4"/>
  <c r="DV14" i="4"/>
  <c r="DU14" i="4"/>
  <c r="DT14" i="4"/>
  <c r="DS14" i="4"/>
  <c r="DR14" i="4"/>
  <c r="DQ14" i="4"/>
  <c r="DP14" i="4"/>
  <c r="DO14" i="4"/>
  <c r="DN14" i="4"/>
  <c r="DM14" i="4"/>
  <c r="DL14" i="4"/>
  <c r="DK14" i="4"/>
  <c r="DJ14" i="4"/>
  <c r="DI14" i="4"/>
  <c r="DH14" i="4"/>
  <c r="DG14" i="4"/>
  <c r="DF14" i="4"/>
  <c r="DE14" i="4"/>
  <c r="DD14" i="4"/>
  <c r="DC14" i="4"/>
  <c r="DB14" i="4"/>
  <c r="DA14" i="4"/>
  <c r="CZ14" i="4"/>
  <c r="CY14" i="4"/>
  <c r="CX14" i="4"/>
  <c r="CW14" i="4"/>
  <c r="CV14" i="4"/>
  <c r="CU14" i="4"/>
  <c r="CT14" i="4"/>
  <c r="CS14" i="4"/>
  <c r="CR14" i="4"/>
  <c r="CQ14" i="4"/>
  <c r="CP14" i="4"/>
  <c r="CO14" i="4"/>
  <c r="CN14" i="4"/>
  <c r="CM14" i="4"/>
  <c r="CL14" i="4"/>
  <c r="CK14" i="4"/>
  <c r="CJ14" i="4"/>
  <c r="CI14" i="4"/>
  <c r="CH14" i="4"/>
  <c r="CG14" i="4"/>
  <c r="CF14" i="4"/>
  <c r="CE14" i="4"/>
  <c r="CD14" i="4"/>
  <c r="CC14" i="4"/>
  <c r="CB14" i="4"/>
  <c r="CA14" i="4"/>
  <c r="BZ14" i="4"/>
  <c r="BY14" i="4"/>
  <c r="BX14" i="4"/>
  <c r="BW14" i="4"/>
  <c r="BV14" i="4"/>
  <c r="BU14" i="4"/>
  <c r="BT14" i="4"/>
  <c r="BS14" i="4"/>
  <c r="BR14" i="4"/>
  <c r="BQ14" i="4"/>
  <c r="BP14" i="4"/>
  <c r="BO14" i="4"/>
  <c r="BN14" i="4"/>
  <c r="BM14" i="4"/>
  <c r="BL14" i="4"/>
  <c r="BK14" i="4"/>
  <c r="BJ14" i="4"/>
  <c r="BI14" i="4"/>
  <c r="BH14" i="4"/>
  <c r="BG14" i="4"/>
  <c r="BF14" i="4"/>
  <c r="BE14" i="4"/>
  <c r="BD14" i="4"/>
  <c r="BC14" i="4"/>
  <c r="BB14" i="4"/>
  <c r="BA14" i="4"/>
  <c r="AZ14" i="4"/>
  <c r="AY14" i="4"/>
  <c r="AX14" i="4"/>
  <c r="AW14" i="4"/>
  <c r="AV14" i="4"/>
  <c r="AU14" i="4"/>
  <c r="AT14" i="4"/>
  <c r="AS14" i="4"/>
  <c r="AR14" i="4"/>
  <c r="AQ14" i="4"/>
  <c r="AP14" i="4"/>
  <c r="AO14" i="4"/>
  <c r="AN14" i="4"/>
  <c r="AM14" i="4"/>
  <c r="AL14" i="4"/>
  <c r="AK14" i="4"/>
  <c r="AJ14" i="4"/>
  <c r="AI14" i="4"/>
  <c r="AH14" i="4"/>
  <c r="AG14" i="4"/>
  <c r="AF14" i="4"/>
  <c r="AE14" i="4"/>
  <c r="AD14" i="4"/>
  <c r="AC14" i="4"/>
  <c r="AB14" i="4"/>
  <c r="AA14" i="4"/>
  <c r="Z14" i="4"/>
  <c r="Y14" i="4"/>
  <c r="X14" i="4"/>
  <c r="W14" i="4"/>
  <c r="V14" i="4"/>
  <c r="U14" i="4"/>
  <c r="T14" i="4"/>
  <c r="S14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AG13" i="4"/>
  <c r="AH13" i="4"/>
  <c r="AI13" i="4"/>
  <c r="AJ13" i="4"/>
  <c r="AK13" i="4"/>
  <c r="AL13" i="4"/>
  <c r="AM13" i="4"/>
  <c r="AN13" i="4"/>
  <c r="AO13" i="4"/>
  <c r="AP13" i="4"/>
  <c r="AQ13" i="4"/>
  <c r="AR13" i="4"/>
  <c r="AS13" i="4"/>
  <c r="AT13" i="4"/>
  <c r="AU13" i="4"/>
  <c r="AV13" i="4"/>
  <c r="AW13" i="4"/>
  <c r="AX13" i="4"/>
  <c r="AY13" i="4"/>
  <c r="AZ13" i="4"/>
  <c r="BA13" i="4"/>
  <c r="BB13" i="4"/>
  <c r="BC13" i="4"/>
  <c r="BD13" i="4"/>
  <c r="BE13" i="4"/>
  <c r="BF13" i="4"/>
  <c r="BG13" i="4"/>
  <c r="BH13" i="4"/>
  <c r="BI13" i="4"/>
  <c r="BJ13" i="4"/>
  <c r="BK13" i="4"/>
  <c r="BL13" i="4"/>
  <c r="BM13" i="4"/>
  <c r="BN13" i="4"/>
  <c r="BO13" i="4"/>
  <c r="BP13" i="4"/>
  <c r="BQ13" i="4"/>
  <c r="BR13" i="4"/>
  <c r="BS13" i="4"/>
  <c r="BT13" i="4"/>
  <c r="BU13" i="4"/>
  <c r="BV13" i="4"/>
  <c r="BW13" i="4"/>
  <c r="BX13" i="4"/>
  <c r="BY13" i="4"/>
  <c r="BZ13" i="4"/>
  <c r="CA13" i="4"/>
  <c r="CB13" i="4"/>
  <c r="CC13" i="4"/>
  <c r="CD13" i="4"/>
  <c r="CE13" i="4"/>
  <c r="CF13" i="4"/>
  <c r="CG13" i="4"/>
  <c r="CH13" i="4"/>
  <c r="CI13" i="4"/>
  <c r="CJ13" i="4"/>
  <c r="CK13" i="4"/>
  <c r="CL13" i="4"/>
  <c r="CM13" i="4"/>
  <c r="CN13" i="4"/>
  <c r="CO13" i="4"/>
  <c r="CP13" i="4"/>
  <c r="CQ13" i="4"/>
  <c r="CR13" i="4"/>
  <c r="CS13" i="4"/>
  <c r="CT13" i="4"/>
  <c r="CU13" i="4"/>
  <c r="CV13" i="4"/>
  <c r="CW13" i="4"/>
  <c r="CX13" i="4"/>
  <c r="CY13" i="4"/>
  <c r="CZ13" i="4"/>
  <c r="DA13" i="4"/>
  <c r="DB13" i="4"/>
  <c r="DC13" i="4"/>
  <c r="DD13" i="4"/>
  <c r="DE13" i="4"/>
  <c r="DF13" i="4"/>
  <c r="DG13" i="4"/>
  <c r="DH13" i="4"/>
  <c r="DI13" i="4"/>
  <c r="DJ13" i="4"/>
  <c r="DK13" i="4"/>
  <c r="DL13" i="4"/>
  <c r="DM13" i="4"/>
  <c r="DN13" i="4"/>
  <c r="DO13" i="4"/>
  <c r="DP13" i="4"/>
  <c r="DQ13" i="4"/>
  <c r="DR13" i="4"/>
  <c r="DS13" i="4"/>
  <c r="DT13" i="4"/>
  <c r="DU13" i="4"/>
  <c r="DV13" i="4"/>
  <c r="DW13" i="4"/>
  <c r="DX13" i="4"/>
  <c r="DY13" i="4"/>
  <c r="DZ13" i="4"/>
  <c r="EA13" i="4"/>
  <c r="EB13" i="4"/>
  <c r="EC13" i="4"/>
  <c r="ED13" i="4"/>
  <c r="EE13" i="4"/>
  <c r="D13" i="4"/>
  <c r="B70" i="3"/>
  <c r="B50" i="3"/>
  <c r="B30" i="3"/>
  <c r="B10" i="3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8" i="4"/>
  <c r="D7" i="2"/>
  <c r="E11" i="2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AG10" i="4"/>
  <c r="AH10" i="4"/>
  <c r="AI10" i="4"/>
  <c r="AJ10" i="4"/>
  <c r="AK10" i="4"/>
  <c r="AL10" i="4"/>
  <c r="AM10" i="4"/>
  <c r="AN10" i="4"/>
  <c r="AO10" i="4"/>
  <c r="AP10" i="4"/>
  <c r="AQ10" i="4"/>
  <c r="AR10" i="4"/>
  <c r="AS10" i="4"/>
  <c r="AT10" i="4"/>
  <c r="AU10" i="4"/>
  <c r="AV10" i="4"/>
  <c r="AW10" i="4"/>
  <c r="AX10" i="4"/>
  <c r="AY10" i="4"/>
  <c r="AZ10" i="4"/>
  <c r="BA10" i="4"/>
  <c r="BB10" i="4"/>
  <c r="BC10" i="4"/>
  <c r="BD10" i="4"/>
  <c r="BE10" i="4"/>
  <c r="BF10" i="4"/>
  <c r="BG10" i="4"/>
  <c r="BH10" i="4"/>
  <c r="BI10" i="4"/>
  <c r="BJ10" i="4"/>
  <c r="BK10" i="4"/>
  <c r="BL10" i="4"/>
  <c r="BM10" i="4"/>
  <c r="BN10" i="4"/>
  <c r="BO10" i="4"/>
  <c r="BP10" i="4"/>
  <c r="BQ10" i="4"/>
  <c r="BR10" i="4"/>
  <c r="BS10" i="4"/>
  <c r="BT10" i="4"/>
  <c r="BU10" i="4"/>
  <c r="BV10" i="4"/>
  <c r="BW10" i="4"/>
  <c r="BX10" i="4"/>
  <c r="BY10" i="4"/>
  <c r="BZ10" i="4"/>
  <c r="CA10" i="4"/>
  <c r="CB10" i="4"/>
  <c r="CC10" i="4"/>
  <c r="CD10" i="4"/>
  <c r="CE10" i="4"/>
  <c r="CF10" i="4"/>
  <c r="CG10" i="4"/>
  <c r="CH10" i="4"/>
  <c r="CI10" i="4"/>
  <c r="CJ10" i="4"/>
  <c r="CK10" i="4"/>
  <c r="CL10" i="4"/>
  <c r="CM10" i="4"/>
  <c r="CN10" i="4"/>
  <c r="CO10" i="4"/>
  <c r="CP10" i="4"/>
  <c r="CQ10" i="4"/>
  <c r="CR10" i="4"/>
  <c r="CS10" i="4"/>
  <c r="CT10" i="4"/>
  <c r="CU10" i="4"/>
  <c r="CV10" i="4"/>
  <c r="CW10" i="4"/>
  <c r="CX10" i="4"/>
  <c r="CY10" i="4"/>
  <c r="CZ10" i="4"/>
  <c r="DA10" i="4"/>
  <c r="DB10" i="4"/>
  <c r="DC10" i="4"/>
  <c r="DD10" i="4"/>
  <c r="DE10" i="4"/>
  <c r="DF10" i="4"/>
  <c r="DG10" i="4"/>
  <c r="DH10" i="4"/>
  <c r="DI10" i="4"/>
  <c r="DJ10" i="4"/>
  <c r="DK10" i="4"/>
  <c r="DL10" i="4"/>
  <c r="DM10" i="4"/>
  <c r="DN10" i="4"/>
  <c r="DO10" i="4"/>
  <c r="DP10" i="4"/>
  <c r="DQ10" i="4"/>
  <c r="DR10" i="4"/>
  <c r="DS10" i="4"/>
  <c r="DT10" i="4"/>
  <c r="DU10" i="4"/>
  <c r="DV10" i="4"/>
  <c r="DW10" i="4"/>
  <c r="DX10" i="4"/>
  <c r="DY10" i="4"/>
  <c r="DZ10" i="4"/>
  <c r="EA10" i="4"/>
  <c r="EB10" i="4"/>
  <c r="EC10" i="4"/>
  <c r="ED10" i="4"/>
  <c r="EE10" i="4"/>
  <c r="D10" i="4"/>
  <c r="D8" i="4"/>
  <c r="E8" i="4" s="1"/>
  <c r="F8" i="4" s="1"/>
  <c r="G8" i="4" s="1"/>
  <c r="H8" i="4" s="1"/>
  <c r="I8" i="4" s="1"/>
  <c r="J8" i="4" s="1"/>
  <c r="K8" i="4" s="1"/>
  <c r="L8" i="4" s="1"/>
  <c r="M8" i="4" s="1"/>
  <c r="N8" i="4" s="1"/>
  <c r="O8" i="4" s="1"/>
  <c r="P8" i="4" s="1"/>
  <c r="Q8" i="4" s="1"/>
  <c r="R8" i="4" s="1"/>
  <c r="S8" i="4" s="1"/>
  <c r="T8" i="4" s="1"/>
  <c r="U8" i="4" s="1"/>
  <c r="V8" i="4" s="1"/>
  <c r="W8" i="4" s="1"/>
  <c r="X8" i="4" s="1"/>
  <c r="Y8" i="4" s="1"/>
  <c r="Z8" i="4" s="1"/>
  <c r="AA8" i="4" s="1"/>
  <c r="AB8" i="4" s="1"/>
  <c r="AC8" i="4" s="1"/>
  <c r="AD8" i="4" s="1"/>
  <c r="AE8" i="4" s="1"/>
  <c r="AF8" i="4" s="1"/>
  <c r="AG8" i="4" s="1"/>
  <c r="AH8" i="4" s="1"/>
  <c r="AI8" i="4" s="1"/>
  <c r="AJ8" i="4" s="1"/>
  <c r="AK8" i="4" s="1"/>
  <c r="AL8" i="4" s="1"/>
  <c r="AM8" i="4" s="1"/>
  <c r="AN8" i="4" s="1"/>
  <c r="AO8" i="4" s="1"/>
  <c r="AP8" i="4" s="1"/>
  <c r="AQ8" i="4" s="1"/>
  <c r="AR8" i="4" s="1"/>
  <c r="AS8" i="4" s="1"/>
  <c r="AT8" i="4" s="1"/>
  <c r="AU8" i="4" s="1"/>
  <c r="AV8" i="4" s="1"/>
  <c r="AW8" i="4" s="1"/>
  <c r="AX8" i="4" s="1"/>
  <c r="AY8" i="4" s="1"/>
  <c r="AZ8" i="4" s="1"/>
  <c r="BA8" i="4" s="1"/>
  <c r="BB8" i="4" s="1"/>
  <c r="BC8" i="4" s="1"/>
  <c r="BD8" i="4" s="1"/>
  <c r="BE8" i="4" s="1"/>
  <c r="BF8" i="4" s="1"/>
  <c r="BG8" i="4" s="1"/>
  <c r="BH8" i="4" s="1"/>
  <c r="BI8" i="4" s="1"/>
  <c r="BJ8" i="4" s="1"/>
  <c r="BK8" i="4" s="1"/>
  <c r="BL8" i="4" s="1"/>
  <c r="BM8" i="4" s="1"/>
  <c r="BN8" i="4" s="1"/>
  <c r="BO8" i="4" s="1"/>
  <c r="BP8" i="4" s="1"/>
  <c r="BQ8" i="4" s="1"/>
  <c r="BR8" i="4" s="1"/>
  <c r="BS8" i="4" s="1"/>
  <c r="BT8" i="4" s="1"/>
  <c r="BU8" i="4" s="1"/>
  <c r="BV8" i="4" s="1"/>
  <c r="BW8" i="4" s="1"/>
  <c r="BX8" i="4" s="1"/>
  <c r="BY8" i="4" s="1"/>
  <c r="BZ8" i="4" s="1"/>
  <c r="CA8" i="4" s="1"/>
  <c r="CB8" i="4" s="1"/>
  <c r="CC8" i="4" s="1"/>
  <c r="CD8" i="4" s="1"/>
  <c r="CE8" i="4" s="1"/>
  <c r="CF8" i="4" s="1"/>
  <c r="CG8" i="4" s="1"/>
  <c r="CH8" i="4" s="1"/>
  <c r="CI8" i="4" s="1"/>
  <c r="CJ8" i="4" s="1"/>
  <c r="CK8" i="4" s="1"/>
  <c r="CL8" i="4" s="1"/>
  <c r="CM8" i="4" s="1"/>
  <c r="CN8" i="4" s="1"/>
  <c r="CO8" i="4" s="1"/>
  <c r="CP8" i="4" s="1"/>
  <c r="CQ8" i="4" s="1"/>
  <c r="CR8" i="4" s="1"/>
  <c r="CS8" i="4" s="1"/>
  <c r="CT8" i="4" s="1"/>
  <c r="CU8" i="4" s="1"/>
  <c r="CV8" i="4" s="1"/>
  <c r="CW8" i="4" s="1"/>
  <c r="CX8" i="4" s="1"/>
  <c r="CY8" i="4" s="1"/>
  <c r="CZ8" i="4" s="1"/>
  <c r="DA8" i="4" s="1"/>
  <c r="DB8" i="4" s="1"/>
  <c r="DC8" i="4" s="1"/>
  <c r="DD8" i="4" s="1"/>
  <c r="DE8" i="4" s="1"/>
  <c r="DF8" i="4" s="1"/>
  <c r="DG8" i="4" s="1"/>
  <c r="DH8" i="4" s="1"/>
  <c r="DI8" i="4" s="1"/>
  <c r="DJ8" i="4" s="1"/>
  <c r="DK8" i="4" s="1"/>
  <c r="DL8" i="4" s="1"/>
  <c r="DM8" i="4" s="1"/>
  <c r="DN8" i="4" s="1"/>
  <c r="DO8" i="4" s="1"/>
  <c r="DP8" i="4" s="1"/>
  <c r="DQ8" i="4" s="1"/>
  <c r="DR8" i="4" s="1"/>
  <c r="DS8" i="4" s="1"/>
  <c r="DT8" i="4" s="1"/>
  <c r="DU8" i="4" s="1"/>
  <c r="DV8" i="4" s="1"/>
  <c r="DW8" i="4" s="1"/>
  <c r="DX8" i="4" s="1"/>
  <c r="DY8" i="4" s="1"/>
  <c r="DZ8" i="4" s="1"/>
  <c r="EA8" i="4" s="1"/>
  <c r="EB8" i="4" s="1"/>
  <c r="EC8" i="4" s="1"/>
  <c r="ED8" i="4" s="1"/>
  <c r="EE8" i="4" s="1"/>
  <c r="EE9" i="4" s="1"/>
  <c r="EA9" i="4" l="1"/>
  <c r="F11" i="2"/>
  <c r="F26" i="2"/>
  <c r="F22" i="2"/>
  <c r="F18" i="2"/>
  <c r="F14" i="2"/>
  <c r="F23" i="2"/>
  <c r="F15" i="2"/>
  <c r="F13" i="2"/>
  <c r="F19" i="2"/>
  <c r="F25" i="2"/>
  <c r="F21" i="2"/>
  <c r="F17" i="2"/>
  <c r="F24" i="2"/>
  <c r="F20" i="2"/>
  <c r="F16" i="2"/>
  <c r="F12" i="2"/>
  <c r="EB9" i="4"/>
  <c r="DX9" i="4"/>
  <c r="DT9" i="4"/>
  <c r="DP9" i="4"/>
  <c r="DL9" i="4"/>
  <c r="DH9" i="4"/>
  <c r="DD9" i="4"/>
  <c r="CZ9" i="4"/>
  <c r="CV9" i="4"/>
  <c r="CR9" i="4"/>
  <c r="CN9" i="4"/>
  <c r="CJ9" i="4"/>
  <c r="CF9" i="4"/>
  <c r="CB9" i="4"/>
  <c r="BX9" i="4"/>
  <c r="BT9" i="4"/>
  <c r="BP9" i="4"/>
  <c r="BL9" i="4"/>
  <c r="BH9" i="4"/>
  <c r="BD9" i="4"/>
  <c r="AZ9" i="4"/>
  <c r="AV9" i="4"/>
  <c r="AR9" i="4"/>
  <c r="AN9" i="4"/>
  <c r="AJ9" i="4"/>
  <c r="AF9" i="4"/>
  <c r="AB9" i="4"/>
  <c r="X9" i="4"/>
  <c r="T9" i="4"/>
  <c r="P9" i="4"/>
  <c r="L9" i="4"/>
  <c r="H9" i="4"/>
  <c r="DY9" i="4"/>
  <c r="DQ9" i="4"/>
  <c r="DM9" i="4"/>
  <c r="DE9" i="4"/>
  <c r="CW9" i="4"/>
  <c r="CO9" i="4"/>
  <c r="CG9" i="4"/>
  <c r="BY9" i="4"/>
  <c r="BQ9" i="4"/>
  <c r="BI9" i="4"/>
  <c r="BA9" i="4"/>
  <c r="AS9" i="4"/>
  <c r="AG9" i="4"/>
  <c r="G9" i="4"/>
  <c r="EC9" i="4"/>
  <c r="DU9" i="4"/>
  <c r="DI9" i="4"/>
  <c r="DA9" i="4"/>
  <c r="CS9" i="4"/>
  <c r="CK9" i="4"/>
  <c r="CC9" i="4"/>
  <c r="BU9" i="4"/>
  <c r="BM9" i="4"/>
  <c r="BE9" i="4"/>
  <c r="AW9" i="4"/>
  <c r="AO9" i="4"/>
  <c r="AK9" i="4"/>
  <c r="AC9" i="4"/>
  <c r="Y9" i="4"/>
  <c r="U9" i="4"/>
  <c r="Q9" i="4"/>
  <c r="M9" i="4"/>
  <c r="I9" i="4"/>
  <c r="DW9" i="4"/>
  <c r="DS9" i="4"/>
  <c r="DO9" i="4"/>
  <c r="DK9" i="4"/>
  <c r="DG9" i="4"/>
  <c r="DC9" i="4"/>
  <c r="CY9" i="4"/>
  <c r="CU9" i="4"/>
  <c r="CQ9" i="4"/>
  <c r="CM9" i="4"/>
  <c r="CI9" i="4"/>
  <c r="CE9" i="4"/>
  <c r="CA9" i="4"/>
  <c r="BW9" i="4"/>
  <c r="BS9" i="4"/>
  <c r="BO9" i="4"/>
  <c r="BK9" i="4"/>
  <c r="BG9" i="4"/>
  <c r="BC9" i="4"/>
  <c r="AY9" i="4"/>
  <c r="AU9" i="4"/>
  <c r="AQ9" i="4"/>
  <c r="AM9" i="4"/>
  <c r="AI9" i="4"/>
  <c r="AE9" i="4"/>
  <c r="AA9" i="4"/>
  <c r="W9" i="4"/>
  <c r="S9" i="4"/>
  <c r="O9" i="4"/>
  <c r="K9" i="4"/>
  <c r="ED9" i="4"/>
  <c r="DZ9" i="4"/>
  <c r="DV9" i="4"/>
  <c r="DR9" i="4"/>
  <c r="DN9" i="4"/>
  <c r="DJ9" i="4"/>
  <c r="DF9" i="4"/>
  <c r="DB9" i="4"/>
  <c r="CX9" i="4"/>
  <c r="CT9" i="4"/>
  <c r="CP9" i="4"/>
  <c r="CL9" i="4"/>
  <c r="CH9" i="4"/>
  <c r="CD9" i="4"/>
  <c r="BZ9" i="4"/>
  <c r="BV9" i="4"/>
  <c r="BR9" i="4"/>
  <c r="BN9" i="4"/>
  <c r="BJ9" i="4"/>
  <c r="BF9" i="4"/>
  <c r="BB9" i="4"/>
  <c r="AX9" i="4"/>
  <c r="AT9" i="4"/>
  <c r="AP9" i="4"/>
  <c r="AL9" i="4"/>
  <c r="AH9" i="4"/>
  <c r="AD9" i="4"/>
  <c r="Z9" i="4"/>
  <c r="V9" i="4"/>
  <c r="R9" i="4"/>
  <c r="N9" i="4"/>
  <c r="J9" i="4"/>
  <c r="F9" i="4"/>
  <c r="E9" i="4"/>
  <c r="D9" i="4"/>
  <c r="E6" i="4"/>
  <c r="C6" i="4"/>
  <c r="C2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AG11" i="4"/>
  <c r="AH11" i="4"/>
  <c r="AI11" i="4"/>
  <c r="AJ11" i="4"/>
  <c r="AK11" i="4"/>
  <c r="AL11" i="4"/>
  <c r="AM11" i="4"/>
  <c r="AN11" i="4"/>
  <c r="AO11" i="4"/>
  <c r="AP11" i="4"/>
  <c r="AQ11" i="4"/>
  <c r="AR11" i="4"/>
  <c r="AS11" i="4"/>
  <c r="AT11" i="4"/>
  <c r="AU11" i="4"/>
  <c r="AV11" i="4"/>
  <c r="AW11" i="4"/>
  <c r="AX11" i="4"/>
  <c r="AY11" i="4"/>
  <c r="AZ11" i="4"/>
  <c r="BA11" i="4"/>
  <c r="BB11" i="4"/>
  <c r="BC11" i="4"/>
  <c r="BD11" i="4"/>
  <c r="BE11" i="4"/>
  <c r="BF11" i="4"/>
  <c r="BG11" i="4"/>
  <c r="BH11" i="4"/>
  <c r="BI11" i="4"/>
  <c r="BJ11" i="4"/>
  <c r="BK11" i="4"/>
  <c r="BL11" i="4"/>
  <c r="BM11" i="4"/>
  <c r="BN11" i="4"/>
  <c r="BO11" i="4"/>
  <c r="BP11" i="4"/>
  <c r="BQ11" i="4"/>
  <c r="BR11" i="4"/>
  <c r="BS11" i="4"/>
  <c r="BT11" i="4"/>
  <c r="BU11" i="4"/>
  <c r="BV11" i="4"/>
  <c r="BW11" i="4"/>
  <c r="BX11" i="4"/>
  <c r="BY11" i="4"/>
  <c r="BZ11" i="4"/>
  <c r="CA11" i="4"/>
  <c r="CB11" i="4"/>
  <c r="CC11" i="4"/>
  <c r="CD11" i="4"/>
  <c r="CE11" i="4"/>
  <c r="CF11" i="4"/>
  <c r="CG11" i="4"/>
  <c r="CH11" i="4"/>
  <c r="CI11" i="4"/>
  <c r="CJ11" i="4"/>
  <c r="CK11" i="4"/>
  <c r="CL11" i="4"/>
  <c r="CM11" i="4"/>
  <c r="CN11" i="4"/>
  <c r="CO11" i="4"/>
  <c r="CP11" i="4"/>
  <c r="CQ11" i="4"/>
  <c r="CR11" i="4"/>
  <c r="CS11" i="4"/>
  <c r="CT11" i="4"/>
  <c r="CU11" i="4"/>
  <c r="CV11" i="4"/>
  <c r="CW11" i="4"/>
  <c r="CX11" i="4"/>
  <c r="CY11" i="4"/>
  <c r="CZ11" i="4"/>
  <c r="DA11" i="4"/>
  <c r="DB11" i="4"/>
  <c r="DC11" i="4"/>
  <c r="DD11" i="4"/>
  <c r="DE11" i="4"/>
  <c r="DF11" i="4"/>
  <c r="DG11" i="4"/>
  <c r="DH11" i="4"/>
  <c r="DI11" i="4"/>
  <c r="DJ11" i="4"/>
  <c r="DK11" i="4"/>
  <c r="DL11" i="4"/>
  <c r="DM11" i="4"/>
  <c r="DN11" i="4"/>
  <c r="DO11" i="4"/>
  <c r="DP11" i="4"/>
  <c r="DQ11" i="4"/>
  <c r="DR11" i="4"/>
  <c r="DS11" i="4"/>
  <c r="DT11" i="4"/>
  <c r="DU11" i="4"/>
  <c r="DV11" i="4"/>
  <c r="DW11" i="4"/>
  <c r="DX11" i="4"/>
  <c r="DY11" i="4"/>
  <c r="DZ11" i="4"/>
  <c r="EA11" i="4"/>
  <c r="EB11" i="4"/>
  <c r="EC11" i="4"/>
  <c r="ED11" i="4"/>
  <c r="EE11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AG15" i="4"/>
  <c r="AH15" i="4"/>
  <c r="AI15" i="4"/>
  <c r="AJ15" i="4"/>
  <c r="AK15" i="4"/>
  <c r="AL15" i="4"/>
  <c r="AM15" i="4"/>
  <c r="AN15" i="4"/>
  <c r="AO15" i="4"/>
  <c r="AP15" i="4"/>
  <c r="AQ15" i="4"/>
  <c r="AR15" i="4"/>
  <c r="AS15" i="4"/>
  <c r="AT15" i="4"/>
  <c r="AU15" i="4"/>
  <c r="AV15" i="4"/>
  <c r="AW15" i="4"/>
  <c r="AX15" i="4"/>
  <c r="AY15" i="4"/>
  <c r="AZ15" i="4"/>
  <c r="BA15" i="4"/>
  <c r="BB15" i="4"/>
  <c r="BC15" i="4"/>
  <c r="BD15" i="4"/>
  <c r="BE15" i="4"/>
  <c r="BF15" i="4"/>
  <c r="BG15" i="4"/>
  <c r="BH15" i="4"/>
  <c r="BI15" i="4"/>
  <c r="BJ15" i="4"/>
  <c r="BK15" i="4"/>
  <c r="BL15" i="4"/>
  <c r="BM15" i="4"/>
  <c r="BN15" i="4"/>
  <c r="BO15" i="4"/>
  <c r="BP15" i="4"/>
  <c r="BQ15" i="4"/>
  <c r="BR15" i="4"/>
  <c r="BS15" i="4"/>
  <c r="BT15" i="4"/>
  <c r="BU15" i="4"/>
  <c r="BV15" i="4"/>
  <c r="BW15" i="4"/>
  <c r="BX15" i="4"/>
  <c r="BY15" i="4"/>
  <c r="BZ15" i="4"/>
  <c r="CA15" i="4"/>
  <c r="CB15" i="4"/>
  <c r="CC15" i="4"/>
  <c r="CD15" i="4"/>
  <c r="CE15" i="4"/>
  <c r="CF15" i="4"/>
  <c r="CG15" i="4"/>
  <c r="CH15" i="4"/>
  <c r="CI15" i="4"/>
  <c r="CJ15" i="4"/>
  <c r="CK15" i="4"/>
  <c r="CL15" i="4"/>
  <c r="CM15" i="4"/>
  <c r="CN15" i="4"/>
  <c r="CO15" i="4"/>
  <c r="CP15" i="4"/>
  <c r="CQ15" i="4"/>
  <c r="CR15" i="4"/>
  <c r="CS15" i="4"/>
  <c r="CT15" i="4"/>
  <c r="CU15" i="4"/>
  <c r="CV15" i="4"/>
  <c r="CW15" i="4"/>
  <c r="CX15" i="4"/>
  <c r="CY15" i="4"/>
  <c r="CZ15" i="4"/>
  <c r="DA15" i="4"/>
  <c r="DB15" i="4"/>
  <c r="DC15" i="4"/>
  <c r="DD15" i="4"/>
  <c r="DE15" i="4"/>
  <c r="DF15" i="4"/>
  <c r="DG15" i="4"/>
  <c r="DH15" i="4"/>
  <c r="DI15" i="4"/>
  <c r="DJ15" i="4"/>
  <c r="DK15" i="4"/>
  <c r="DL15" i="4"/>
  <c r="DM15" i="4"/>
  <c r="DN15" i="4"/>
  <c r="DO15" i="4"/>
  <c r="DP15" i="4"/>
  <c r="DQ15" i="4"/>
  <c r="DR15" i="4"/>
  <c r="DS15" i="4"/>
  <c r="DT15" i="4"/>
  <c r="DU15" i="4"/>
  <c r="DV15" i="4"/>
  <c r="DW15" i="4"/>
  <c r="DX15" i="4"/>
  <c r="DY15" i="4"/>
  <c r="DZ15" i="4"/>
  <c r="EA15" i="4"/>
  <c r="EB15" i="4"/>
  <c r="EC15" i="4"/>
  <c r="ED15" i="4"/>
  <c r="EE15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AG16" i="4"/>
  <c r="AH16" i="4"/>
  <c r="AI16" i="4"/>
  <c r="AJ16" i="4"/>
  <c r="AK16" i="4"/>
  <c r="AL16" i="4"/>
  <c r="AM16" i="4"/>
  <c r="AN16" i="4"/>
  <c r="AO16" i="4"/>
  <c r="AP16" i="4"/>
  <c r="AQ16" i="4"/>
  <c r="AR16" i="4"/>
  <c r="AS16" i="4"/>
  <c r="AT16" i="4"/>
  <c r="AU16" i="4"/>
  <c r="AV16" i="4"/>
  <c r="AW16" i="4"/>
  <c r="AX16" i="4"/>
  <c r="AY16" i="4"/>
  <c r="AZ16" i="4"/>
  <c r="BA16" i="4"/>
  <c r="BB16" i="4"/>
  <c r="BC16" i="4"/>
  <c r="BD16" i="4"/>
  <c r="BE16" i="4"/>
  <c r="BF16" i="4"/>
  <c r="BG16" i="4"/>
  <c r="BH16" i="4"/>
  <c r="BI16" i="4"/>
  <c r="BJ16" i="4"/>
  <c r="BK16" i="4"/>
  <c r="BL16" i="4"/>
  <c r="BM16" i="4"/>
  <c r="BN16" i="4"/>
  <c r="BO16" i="4"/>
  <c r="BP16" i="4"/>
  <c r="BQ16" i="4"/>
  <c r="BR16" i="4"/>
  <c r="BS16" i="4"/>
  <c r="BT16" i="4"/>
  <c r="BU16" i="4"/>
  <c r="BV16" i="4"/>
  <c r="BW16" i="4"/>
  <c r="BX16" i="4"/>
  <c r="BY16" i="4"/>
  <c r="BZ16" i="4"/>
  <c r="CA16" i="4"/>
  <c r="CB16" i="4"/>
  <c r="CC16" i="4"/>
  <c r="CD16" i="4"/>
  <c r="CE16" i="4"/>
  <c r="CF16" i="4"/>
  <c r="CG16" i="4"/>
  <c r="CH16" i="4"/>
  <c r="CI16" i="4"/>
  <c r="CJ16" i="4"/>
  <c r="CK16" i="4"/>
  <c r="CL16" i="4"/>
  <c r="CM16" i="4"/>
  <c r="CN16" i="4"/>
  <c r="CO16" i="4"/>
  <c r="CP16" i="4"/>
  <c r="CQ16" i="4"/>
  <c r="CR16" i="4"/>
  <c r="CS16" i="4"/>
  <c r="CT16" i="4"/>
  <c r="CU16" i="4"/>
  <c r="CV16" i="4"/>
  <c r="CW16" i="4"/>
  <c r="CX16" i="4"/>
  <c r="CY16" i="4"/>
  <c r="CZ16" i="4"/>
  <c r="DA16" i="4"/>
  <c r="DB16" i="4"/>
  <c r="DC16" i="4"/>
  <c r="DD16" i="4"/>
  <c r="DE16" i="4"/>
  <c r="DF16" i="4"/>
  <c r="DG16" i="4"/>
  <c r="DH16" i="4"/>
  <c r="DI16" i="4"/>
  <c r="DJ16" i="4"/>
  <c r="DK16" i="4"/>
  <c r="DL16" i="4"/>
  <c r="DM16" i="4"/>
  <c r="DN16" i="4"/>
  <c r="DO16" i="4"/>
  <c r="DP16" i="4"/>
  <c r="DQ16" i="4"/>
  <c r="DR16" i="4"/>
  <c r="DS16" i="4"/>
  <c r="DT16" i="4"/>
  <c r="DU16" i="4"/>
  <c r="DV16" i="4"/>
  <c r="DW16" i="4"/>
  <c r="DX16" i="4"/>
  <c r="DY16" i="4"/>
  <c r="DZ16" i="4"/>
  <c r="EA16" i="4"/>
  <c r="EB16" i="4"/>
  <c r="EC16" i="4"/>
  <c r="ED16" i="4"/>
  <c r="EE16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AG17" i="4"/>
  <c r="AH17" i="4"/>
  <c r="AI17" i="4"/>
  <c r="AJ17" i="4"/>
  <c r="AK17" i="4"/>
  <c r="AL17" i="4"/>
  <c r="AM17" i="4"/>
  <c r="AN17" i="4"/>
  <c r="AO17" i="4"/>
  <c r="AP17" i="4"/>
  <c r="AQ17" i="4"/>
  <c r="AR17" i="4"/>
  <c r="AS17" i="4"/>
  <c r="AT17" i="4"/>
  <c r="AU17" i="4"/>
  <c r="AV17" i="4"/>
  <c r="AW17" i="4"/>
  <c r="AX17" i="4"/>
  <c r="AY17" i="4"/>
  <c r="AZ17" i="4"/>
  <c r="BA17" i="4"/>
  <c r="BB17" i="4"/>
  <c r="BC17" i="4"/>
  <c r="BD17" i="4"/>
  <c r="BE17" i="4"/>
  <c r="BF17" i="4"/>
  <c r="BG17" i="4"/>
  <c r="BH17" i="4"/>
  <c r="BI17" i="4"/>
  <c r="BJ17" i="4"/>
  <c r="BK17" i="4"/>
  <c r="BL17" i="4"/>
  <c r="BM17" i="4"/>
  <c r="BN17" i="4"/>
  <c r="BO17" i="4"/>
  <c r="BP17" i="4"/>
  <c r="BQ17" i="4"/>
  <c r="BR17" i="4"/>
  <c r="BS17" i="4"/>
  <c r="BT17" i="4"/>
  <c r="BU17" i="4"/>
  <c r="BV17" i="4"/>
  <c r="BW17" i="4"/>
  <c r="BX17" i="4"/>
  <c r="BY17" i="4"/>
  <c r="BZ17" i="4"/>
  <c r="CA17" i="4"/>
  <c r="CB17" i="4"/>
  <c r="CC17" i="4"/>
  <c r="CD17" i="4"/>
  <c r="CE17" i="4"/>
  <c r="CF17" i="4"/>
  <c r="CG17" i="4"/>
  <c r="CH17" i="4"/>
  <c r="CI17" i="4"/>
  <c r="CJ17" i="4"/>
  <c r="CK17" i="4"/>
  <c r="CL17" i="4"/>
  <c r="CM17" i="4"/>
  <c r="CN17" i="4"/>
  <c r="CO17" i="4"/>
  <c r="CP17" i="4"/>
  <c r="CQ17" i="4"/>
  <c r="CR17" i="4"/>
  <c r="CS17" i="4"/>
  <c r="CT17" i="4"/>
  <c r="CU17" i="4"/>
  <c r="CV17" i="4"/>
  <c r="CW17" i="4"/>
  <c r="CX17" i="4"/>
  <c r="CY17" i="4"/>
  <c r="CZ17" i="4"/>
  <c r="DA17" i="4"/>
  <c r="DB17" i="4"/>
  <c r="DC17" i="4"/>
  <c r="DD17" i="4"/>
  <c r="DE17" i="4"/>
  <c r="DF17" i="4"/>
  <c r="DG17" i="4"/>
  <c r="DH17" i="4"/>
  <c r="DI17" i="4"/>
  <c r="DJ17" i="4"/>
  <c r="DK17" i="4"/>
  <c r="DL17" i="4"/>
  <c r="DM17" i="4"/>
  <c r="DN17" i="4"/>
  <c r="DO17" i="4"/>
  <c r="DP17" i="4"/>
  <c r="DQ17" i="4"/>
  <c r="DR17" i="4"/>
  <c r="DS17" i="4"/>
  <c r="DT17" i="4"/>
  <c r="DU17" i="4"/>
  <c r="DV17" i="4"/>
  <c r="DW17" i="4"/>
  <c r="DX17" i="4"/>
  <c r="DY17" i="4"/>
  <c r="DZ17" i="4"/>
  <c r="EA17" i="4"/>
  <c r="EB17" i="4"/>
  <c r="EC17" i="4"/>
  <c r="ED17" i="4"/>
  <c r="EE17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AG18" i="4"/>
  <c r="AH18" i="4"/>
  <c r="AI18" i="4"/>
  <c r="AJ18" i="4"/>
  <c r="AK18" i="4"/>
  <c r="AL18" i="4"/>
  <c r="AM18" i="4"/>
  <c r="AN18" i="4"/>
  <c r="AO18" i="4"/>
  <c r="AP18" i="4"/>
  <c r="AQ18" i="4"/>
  <c r="AR18" i="4"/>
  <c r="AS18" i="4"/>
  <c r="AT18" i="4"/>
  <c r="AU18" i="4"/>
  <c r="AV18" i="4"/>
  <c r="AW18" i="4"/>
  <c r="AX18" i="4"/>
  <c r="AY18" i="4"/>
  <c r="AZ18" i="4"/>
  <c r="BA18" i="4"/>
  <c r="BB18" i="4"/>
  <c r="BC18" i="4"/>
  <c r="BD18" i="4"/>
  <c r="BE18" i="4"/>
  <c r="BF18" i="4"/>
  <c r="BG18" i="4"/>
  <c r="BH18" i="4"/>
  <c r="BI18" i="4"/>
  <c r="BJ18" i="4"/>
  <c r="BK18" i="4"/>
  <c r="BL18" i="4"/>
  <c r="BM18" i="4"/>
  <c r="BN18" i="4"/>
  <c r="BO18" i="4"/>
  <c r="BP18" i="4"/>
  <c r="BQ18" i="4"/>
  <c r="BR18" i="4"/>
  <c r="BS18" i="4"/>
  <c r="BT18" i="4"/>
  <c r="BU18" i="4"/>
  <c r="BV18" i="4"/>
  <c r="BW18" i="4"/>
  <c r="BX18" i="4"/>
  <c r="BY18" i="4"/>
  <c r="BZ18" i="4"/>
  <c r="CA18" i="4"/>
  <c r="CB18" i="4"/>
  <c r="CC18" i="4"/>
  <c r="CD18" i="4"/>
  <c r="CE18" i="4"/>
  <c r="CF18" i="4"/>
  <c r="CG18" i="4"/>
  <c r="CH18" i="4"/>
  <c r="CI18" i="4"/>
  <c r="CJ18" i="4"/>
  <c r="CK18" i="4"/>
  <c r="CL18" i="4"/>
  <c r="CM18" i="4"/>
  <c r="CN18" i="4"/>
  <c r="CO18" i="4"/>
  <c r="CP18" i="4"/>
  <c r="CQ18" i="4"/>
  <c r="CR18" i="4"/>
  <c r="CS18" i="4"/>
  <c r="CT18" i="4"/>
  <c r="CU18" i="4"/>
  <c r="CV18" i="4"/>
  <c r="CW18" i="4"/>
  <c r="CX18" i="4"/>
  <c r="CY18" i="4"/>
  <c r="CZ18" i="4"/>
  <c r="DA18" i="4"/>
  <c r="DB18" i="4"/>
  <c r="DC18" i="4"/>
  <c r="DD18" i="4"/>
  <c r="DE18" i="4"/>
  <c r="DF18" i="4"/>
  <c r="DG18" i="4"/>
  <c r="DH18" i="4"/>
  <c r="DI18" i="4"/>
  <c r="DJ18" i="4"/>
  <c r="DK18" i="4"/>
  <c r="DL18" i="4"/>
  <c r="DM18" i="4"/>
  <c r="DN18" i="4"/>
  <c r="DO18" i="4"/>
  <c r="DP18" i="4"/>
  <c r="DQ18" i="4"/>
  <c r="DR18" i="4"/>
  <c r="DS18" i="4"/>
  <c r="DT18" i="4"/>
  <c r="DU18" i="4"/>
  <c r="DV18" i="4"/>
  <c r="DW18" i="4"/>
  <c r="DX18" i="4"/>
  <c r="DY18" i="4"/>
  <c r="DZ18" i="4"/>
  <c r="EA18" i="4"/>
  <c r="EB18" i="4"/>
  <c r="EC18" i="4"/>
  <c r="ED18" i="4"/>
  <c r="EE18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AG19" i="4"/>
  <c r="AH19" i="4"/>
  <c r="AI19" i="4"/>
  <c r="AJ19" i="4"/>
  <c r="AK19" i="4"/>
  <c r="AL19" i="4"/>
  <c r="AM19" i="4"/>
  <c r="AN19" i="4"/>
  <c r="AO19" i="4"/>
  <c r="AP19" i="4"/>
  <c r="AQ19" i="4"/>
  <c r="AR19" i="4"/>
  <c r="AS19" i="4"/>
  <c r="AT19" i="4"/>
  <c r="AU19" i="4"/>
  <c r="AV19" i="4"/>
  <c r="AW19" i="4"/>
  <c r="AX19" i="4"/>
  <c r="AY19" i="4"/>
  <c r="AZ19" i="4"/>
  <c r="BA19" i="4"/>
  <c r="BB19" i="4"/>
  <c r="BC19" i="4"/>
  <c r="BD19" i="4"/>
  <c r="BE19" i="4"/>
  <c r="BF19" i="4"/>
  <c r="BG19" i="4"/>
  <c r="BH19" i="4"/>
  <c r="BI19" i="4"/>
  <c r="BJ19" i="4"/>
  <c r="BK19" i="4"/>
  <c r="BL19" i="4"/>
  <c r="BM19" i="4"/>
  <c r="BN19" i="4"/>
  <c r="BO19" i="4"/>
  <c r="BP19" i="4"/>
  <c r="BQ19" i="4"/>
  <c r="BR19" i="4"/>
  <c r="BS19" i="4"/>
  <c r="BT19" i="4"/>
  <c r="BU19" i="4"/>
  <c r="BV19" i="4"/>
  <c r="BW19" i="4"/>
  <c r="BX19" i="4"/>
  <c r="BY19" i="4"/>
  <c r="BZ19" i="4"/>
  <c r="CA19" i="4"/>
  <c r="CB19" i="4"/>
  <c r="CC19" i="4"/>
  <c r="CD19" i="4"/>
  <c r="CE19" i="4"/>
  <c r="CF19" i="4"/>
  <c r="CG19" i="4"/>
  <c r="CH19" i="4"/>
  <c r="CI19" i="4"/>
  <c r="CJ19" i="4"/>
  <c r="CK19" i="4"/>
  <c r="CL19" i="4"/>
  <c r="CM19" i="4"/>
  <c r="CN19" i="4"/>
  <c r="CO19" i="4"/>
  <c r="CP19" i="4"/>
  <c r="CQ19" i="4"/>
  <c r="CR19" i="4"/>
  <c r="CS19" i="4"/>
  <c r="CT19" i="4"/>
  <c r="CU19" i="4"/>
  <c r="CV19" i="4"/>
  <c r="CW19" i="4"/>
  <c r="CX19" i="4"/>
  <c r="CY19" i="4"/>
  <c r="CZ19" i="4"/>
  <c r="DA19" i="4"/>
  <c r="DB19" i="4"/>
  <c r="DC19" i="4"/>
  <c r="DD19" i="4"/>
  <c r="DE19" i="4"/>
  <c r="DF19" i="4"/>
  <c r="DG19" i="4"/>
  <c r="DH19" i="4"/>
  <c r="DI19" i="4"/>
  <c r="DJ19" i="4"/>
  <c r="DK19" i="4"/>
  <c r="DL19" i="4"/>
  <c r="DM19" i="4"/>
  <c r="DN19" i="4"/>
  <c r="DO19" i="4"/>
  <c r="DP19" i="4"/>
  <c r="DQ19" i="4"/>
  <c r="DR19" i="4"/>
  <c r="DS19" i="4"/>
  <c r="DT19" i="4"/>
  <c r="DU19" i="4"/>
  <c r="DV19" i="4"/>
  <c r="DW19" i="4"/>
  <c r="DX19" i="4"/>
  <c r="DY19" i="4"/>
  <c r="DZ19" i="4"/>
  <c r="EA19" i="4"/>
  <c r="EB19" i="4"/>
  <c r="EC19" i="4"/>
  <c r="ED19" i="4"/>
  <c r="EE19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AG20" i="4"/>
  <c r="AH20" i="4"/>
  <c r="AI20" i="4"/>
  <c r="AJ20" i="4"/>
  <c r="AK20" i="4"/>
  <c r="AL20" i="4"/>
  <c r="AM20" i="4"/>
  <c r="AN20" i="4"/>
  <c r="AO20" i="4"/>
  <c r="AP20" i="4"/>
  <c r="AQ20" i="4"/>
  <c r="AR20" i="4"/>
  <c r="AS20" i="4"/>
  <c r="AT20" i="4"/>
  <c r="AU20" i="4"/>
  <c r="AV20" i="4"/>
  <c r="AW20" i="4"/>
  <c r="AX20" i="4"/>
  <c r="AY20" i="4"/>
  <c r="AZ20" i="4"/>
  <c r="BA20" i="4"/>
  <c r="BB20" i="4"/>
  <c r="BC20" i="4"/>
  <c r="BD20" i="4"/>
  <c r="BE20" i="4"/>
  <c r="BF20" i="4"/>
  <c r="BG20" i="4"/>
  <c r="BH20" i="4"/>
  <c r="BI20" i="4"/>
  <c r="BJ20" i="4"/>
  <c r="BK20" i="4"/>
  <c r="BL20" i="4"/>
  <c r="BM20" i="4"/>
  <c r="BN20" i="4"/>
  <c r="BO20" i="4"/>
  <c r="BP20" i="4"/>
  <c r="BQ20" i="4"/>
  <c r="BR20" i="4"/>
  <c r="BS20" i="4"/>
  <c r="BT20" i="4"/>
  <c r="BU20" i="4"/>
  <c r="BV20" i="4"/>
  <c r="BW20" i="4"/>
  <c r="BX20" i="4"/>
  <c r="BY20" i="4"/>
  <c r="BZ20" i="4"/>
  <c r="CA20" i="4"/>
  <c r="CB20" i="4"/>
  <c r="CC20" i="4"/>
  <c r="CD20" i="4"/>
  <c r="CE20" i="4"/>
  <c r="CF20" i="4"/>
  <c r="CG20" i="4"/>
  <c r="CH20" i="4"/>
  <c r="CI20" i="4"/>
  <c r="CJ20" i="4"/>
  <c r="CK20" i="4"/>
  <c r="CL20" i="4"/>
  <c r="CM20" i="4"/>
  <c r="CN20" i="4"/>
  <c r="CO20" i="4"/>
  <c r="CP20" i="4"/>
  <c r="CQ20" i="4"/>
  <c r="CR20" i="4"/>
  <c r="CS20" i="4"/>
  <c r="CT20" i="4"/>
  <c r="CU20" i="4"/>
  <c r="CV20" i="4"/>
  <c r="CW20" i="4"/>
  <c r="CX20" i="4"/>
  <c r="CY20" i="4"/>
  <c r="CZ20" i="4"/>
  <c r="DA20" i="4"/>
  <c r="DB20" i="4"/>
  <c r="DC20" i="4"/>
  <c r="DD20" i="4"/>
  <c r="DE20" i="4"/>
  <c r="DF20" i="4"/>
  <c r="DG20" i="4"/>
  <c r="DH20" i="4"/>
  <c r="DI20" i="4"/>
  <c r="DJ20" i="4"/>
  <c r="DK20" i="4"/>
  <c r="DL20" i="4"/>
  <c r="DM20" i="4"/>
  <c r="DN20" i="4"/>
  <c r="DO20" i="4"/>
  <c r="DP20" i="4"/>
  <c r="DQ20" i="4"/>
  <c r="DR20" i="4"/>
  <c r="DS20" i="4"/>
  <c r="DT20" i="4"/>
  <c r="DU20" i="4"/>
  <c r="DV20" i="4"/>
  <c r="DW20" i="4"/>
  <c r="DX20" i="4"/>
  <c r="DY20" i="4"/>
  <c r="DZ20" i="4"/>
  <c r="EA20" i="4"/>
  <c r="EB20" i="4"/>
  <c r="EC20" i="4"/>
  <c r="ED20" i="4"/>
  <c r="EE20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AG21" i="4"/>
  <c r="AH21" i="4"/>
  <c r="AI21" i="4"/>
  <c r="AJ21" i="4"/>
  <c r="AK21" i="4"/>
  <c r="AL21" i="4"/>
  <c r="AM21" i="4"/>
  <c r="AN21" i="4"/>
  <c r="AO21" i="4"/>
  <c r="AP21" i="4"/>
  <c r="AQ21" i="4"/>
  <c r="AR21" i="4"/>
  <c r="AS21" i="4"/>
  <c r="AT21" i="4"/>
  <c r="AU21" i="4"/>
  <c r="AV21" i="4"/>
  <c r="AW21" i="4"/>
  <c r="AX21" i="4"/>
  <c r="AY21" i="4"/>
  <c r="AZ21" i="4"/>
  <c r="BA21" i="4"/>
  <c r="BB21" i="4"/>
  <c r="BC21" i="4"/>
  <c r="BD21" i="4"/>
  <c r="BE21" i="4"/>
  <c r="BF21" i="4"/>
  <c r="BG21" i="4"/>
  <c r="BH21" i="4"/>
  <c r="BI21" i="4"/>
  <c r="BJ21" i="4"/>
  <c r="BK21" i="4"/>
  <c r="BL21" i="4"/>
  <c r="BM21" i="4"/>
  <c r="BN21" i="4"/>
  <c r="BO21" i="4"/>
  <c r="BP21" i="4"/>
  <c r="BQ21" i="4"/>
  <c r="BR21" i="4"/>
  <c r="BS21" i="4"/>
  <c r="BT21" i="4"/>
  <c r="BU21" i="4"/>
  <c r="BV21" i="4"/>
  <c r="BW21" i="4"/>
  <c r="BX21" i="4"/>
  <c r="BY21" i="4"/>
  <c r="BZ21" i="4"/>
  <c r="CA21" i="4"/>
  <c r="CB21" i="4"/>
  <c r="CC21" i="4"/>
  <c r="CD21" i="4"/>
  <c r="CE21" i="4"/>
  <c r="CF21" i="4"/>
  <c r="CG21" i="4"/>
  <c r="CH21" i="4"/>
  <c r="CI21" i="4"/>
  <c r="CJ21" i="4"/>
  <c r="CK21" i="4"/>
  <c r="CL21" i="4"/>
  <c r="CM21" i="4"/>
  <c r="CN21" i="4"/>
  <c r="CO21" i="4"/>
  <c r="CP21" i="4"/>
  <c r="CQ21" i="4"/>
  <c r="CR21" i="4"/>
  <c r="CS21" i="4"/>
  <c r="CT21" i="4"/>
  <c r="CU21" i="4"/>
  <c r="CV21" i="4"/>
  <c r="CW21" i="4"/>
  <c r="CX21" i="4"/>
  <c r="CY21" i="4"/>
  <c r="CZ21" i="4"/>
  <c r="DA21" i="4"/>
  <c r="DB21" i="4"/>
  <c r="DC21" i="4"/>
  <c r="DD21" i="4"/>
  <c r="DE21" i="4"/>
  <c r="DF21" i="4"/>
  <c r="DG21" i="4"/>
  <c r="DH21" i="4"/>
  <c r="DI21" i="4"/>
  <c r="DJ21" i="4"/>
  <c r="DK21" i="4"/>
  <c r="DL21" i="4"/>
  <c r="DM21" i="4"/>
  <c r="DN21" i="4"/>
  <c r="DO21" i="4"/>
  <c r="DP21" i="4"/>
  <c r="DQ21" i="4"/>
  <c r="DR21" i="4"/>
  <c r="DS21" i="4"/>
  <c r="DT21" i="4"/>
  <c r="DU21" i="4"/>
  <c r="DV21" i="4"/>
  <c r="DW21" i="4"/>
  <c r="DX21" i="4"/>
  <c r="DY21" i="4"/>
  <c r="DZ21" i="4"/>
  <c r="EA21" i="4"/>
  <c r="EB21" i="4"/>
  <c r="EC21" i="4"/>
  <c r="ED21" i="4"/>
  <c r="EE21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AG22" i="4"/>
  <c r="AH22" i="4"/>
  <c r="AI22" i="4"/>
  <c r="AJ22" i="4"/>
  <c r="AK22" i="4"/>
  <c r="AL22" i="4"/>
  <c r="AM22" i="4"/>
  <c r="AN22" i="4"/>
  <c r="AO22" i="4"/>
  <c r="AP22" i="4"/>
  <c r="AQ22" i="4"/>
  <c r="AR22" i="4"/>
  <c r="AS22" i="4"/>
  <c r="AT22" i="4"/>
  <c r="AU22" i="4"/>
  <c r="AV22" i="4"/>
  <c r="AW22" i="4"/>
  <c r="AX22" i="4"/>
  <c r="AY22" i="4"/>
  <c r="AZ22" i="4"/>
  <c r="BA22" i="4"/>
  <c r="BB22" i="4"/>
  <c r="BC22" i="4"/>
  <c r="BD22" i="4"/>
  <c r="BE22" i="4"/>
  <c r="BF22" i="4"/>
  <c r="BG22" i="4"/>
  <c r="BH22" i="4"/>
  <c r="BI22" i="4"/>
  <c r="BJ22" i="4"/>
  <c r="BK22" i="4"/>
  <c r="BL22" i="4"/>
  <c r="BM22" i="4"/>
  <c r="BN22" i="4"/>
  <c r="BO22" i="4"/>
  <c r="BP22" i="4"/>
  <c r="BQ22" i="4"/>
  <c r="BR22" i="4"/>
  <c r="BS22" i="4"/>
  <c r="BT22" i="4"/>
  <c r="BU22" i="4"/>
  <c r="BV22" i="4"/>
  <c r="BW22" i="4"/>
  <c r="BX22" i="4"/>
  <c r="BY22" i="4"/>
  <c r="BZ22" i="4"/>
  <c r="CA22" i="4"/>
  <c r="CB22" i="4"/>
  <c r="CC22" i="4"/>
  <c r="CD22" i="4"/>
  <c r="CE22" i="4"/>
  <c r="CF22" i="4"/>
  <c r="CG22" i="4"/>
  <c r="CH22" i="4"/>
  <c r="CI22" i="4"/>
  <c r="CJ22" i="4"/>
  <c r="CK22" i="4"/>
  <c r="CL22" i="4"/>
  <c r="CM22" i="4"/>
  <c r="CN22" i="4"/>
  <c r="CO22" i="4"/>
  <c r="CP22" i="4"/>
  <c r="CQ22" i="4"/>
  <c r="CR22" i="4"/>
  <c r="CS22" i="4"/>
  <c r="CT22" i="4"/>
  <c r="CU22" i="4"/>
  <c r="CV22" i="4"/>
  <c r="CW22" i="4"/>
  <c r="CX22" i="4"/>
  <c r="CY22" i="4"/>
  <c r="CZ22" i="4"/>
  <c r="DA22" i="4"/>
  <c r="DB22" i="4"/>
  <c r="DC22" i="4"/>
  <c r="DD22" i="4"/>
  <c r="DE22" i="4"/>
  <c r="DF22" i="4"/>
  <c r="DG22" i="4"/>
  <c r="DH22" i="4"/>
  <c r="DI22" i="4"/>
  <c r="DJ22" i="4"/>
  <c r="DK22" i="4"/>
  <c r="DL22" i="4"/>
  <c r="DM22" i="4"/>
  <c r="DN22" i="4"/>
  <c r="DO22" i="4"/>
  <c r="DP22" i="4"/>
  <c r="DQ22" i="4"/>
  <c r="DR22" i="4"/>
  <c r="DS22" i="4"/>
  <c r="DT22" i="4"/>
  <c r="DU22" i="4"/>
  <c r="DV22" i="4"/>
  <c r="DW22" i="4"/>
  <c r="DX22" i="4"/>
  <c r="DY22" i="4"/>
  <c r="DZ22" i="4"/>
  <c r="EA22" i="4"/>
  <c r="EB22" i="4"/>
  <c r="EC22" i="4"/>
  <c r="ED22" i="4"/>
  <c r="EE22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AG23" i="4"/>
  <c r="AH23" i="4"/>
  <c r="AI23" i="4"/>
  <c r="AJ23" i="4"/>
  <c r="AK23" i="4"/>
  <c r="AL23" i="4"/>
  <c r="AM23" i="4"/>
  <c r="AN23" i="4"/>
  <c r="AO23" i="4"/>
  <c r="AP23" i="4"/>
  <c r="AQ23" i="4"/>
  <c r="AR23" i="4"/>
  <c r="AS23" i="4"/>
  <c r="AT23" i="4"/>
  <c r="AU23" i="4"/>
  <c r="AV23" i="4"/>
  <c r="AW23" i="4"/>
  <c r="AX23" i="4"/>
  <c r="AY23" i="4"/>
  <c r="AZ23" i="4"/>
  <c r="BA23" i="4"/>
  <c r="BB23" i="4"/>
  <c r="BC23" i="4"/>
  <c r="BD23" i="4"/>
  <c r="BE23" i="4"/>
  <c r="BF23" i="4"/>
  <c r="BG23" i="4"/>
  <c r="BH23" i="4"/>
  <c r="BI23" i="4"/>
  <c r="BJ23" i="4"/>
  <c r="BK23" i="4"/>
  <c r="BL23" i="4"/>
  <c r="BM23" i="4"/>
  <c r="BN23" i="4"/>
  <c r="BO23" i="4"/>
  <c r="BP23" i="4"/>
  <c r="BQ23" i="4"/>
  <c r="BR23" i="4"/>
  <c r="BS23" i="4"/>
  <c r="BT23" i="4"/>
  <c r="BU23" i="4"/>
  <c r="BV23" i="4"/>
  <c r="BW23" i="4"/>
  <c r="BX23" i="4"/>
  <c r="BY23" i="4"/>
  <c r="BZ23" i="4"/>
  <c r="CA23" i="4"/>
  <c r="CB23" i="4"/>
  <c r="CC23" i="4"/>
  <c r="CD23" i="4"/>
  <c r="CE23" i="4"/>
  <c r="CF23" i="4"/>
  <c r="CG23" i="4"/>
  <c r="CH23" i="4"/>
  <c r="CI23" i="4"/>
  <c r="CJ23" i="4"/>
  <c r="CK23" i="4"/>
  <c r="CL23" i="4"/>
  <c r="CM23" i="4"/>
  <c r="CN23" i="4"/>
  <c r="CO23" i="4"/>
  <c r="CP23" i="4"/>
  <c r="CQ23" i="4"/>
  <c r="CR23" i="4"/>
  <c r="CS23" i="4"/>
  <c r="CT23" i="4"/>
  <c r="CU23" i="4"/>
  <c r="CV23" i="4"/>
  <c r="CW23" i="4"/>
  <c r="CX23" i="4"/>
  <c r="CY23" i="4"/>
  <c r="CZ23" i="4"/>
  <c r="DA23" i="4"/>
  <c r="DB23" i="4"/>
  <c r="DC23" i="4"/>
  <c r="DD23" i="4"/>
  <c r="DE23" i="4"/>
  <c r="DF23" i="4"/>
  <c r="DG23" i="4"/>
  <c r="DH23" i="4"/>
  <c r="DI23" i="4"/>
  <c r="DJ23" i="4"/>
  <c r="DK23" i="4"/>
  <c r="DL23" i="4"/>
  <c r="DM23" i="4"/>
  <c r="DN23" i="4"/>
  <c r="DO23" i="4"/>
  <c r="DP23" i="4"/>
  <c r="DQ23" i="4"/>
  <c r="DR23" i="4"/>
  <c r="DS23" i="4"/>
  <c r="DT23" i="4"/>
  <c r="DU23" i="4"/>
  <c r="DV23" i="4"/>
  <c r="DW23" i="4"/>
  <c r="DX23" i="4"/>
  <c r="DY23" i="4"/>
  <c r="DZ23" i="4"/>
  <c r="EA23" i="4"/>
  <c r="EB23" i="4"/>
  <c r="EC23" i="4"/>
  <c r="ED23" i="4"/>
  <c r="EE2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AG24" i="4"/>
  <c r="AH24" i="4"/>
  <c r="AI24" i="4"/>
  <c r="AJ24" i="4"/>
  <c r="AK24" i="4"/>
  <c r="AL24" i="4"/>
  <c r="AM24" i="4"/>
  <c r="AN24" i="4"/>
  <c r="AO24" i="4"/>
  <c r="AP24" i="4"/>
  <c r="AQ24" i="4"/>
  <c r="AR24" i="4"/>
  <c r="AS24" i="4"/>
  <c r="AT24" i="4"/>
  <c r="AU24" i="4"/>
  <c r="AV24" i="4"/>
  <c r="AW24" i="4"/>
  <c r="AX24" i="4"/>
  <c r="AY24" i="4"/>
  <c r="AZ24" i="4"/>
  <c r="BA24" i="4"/>
  <c r="BB24" i="4"/>
  <c r="BC24" i="4"/>
  <c r="BD24" i="4"/>
  <c r="BE24" i="4"/>
  <c r="BF24" i="4"/>
  <c r="BG24" i="4"/>
  <c r="BH24" i="4"/>
  <c r="BI24" i="4"/>
  <c r="BJ24" i="4"/>
  <c r="BK24" i="4"/>
  <c r="BL24" i="4"/>
  <c r="BM24" i="4"/>
  <c r="BN24" i="4"/>
  <c r="BO24" i="4"/>
  <c r="BP24" i="4"/>
  <c r="BQ24" i="4"/>
  <c r="BR24" i="4"/>
  <c r="BS24" i="4"/>
  <c r="BT24" i="4"/>
  <c r="BU24" i="4"/>
  <c r="BV24" i="4"/>
  <c r="BW24" i="4"/>
  <c r="BX24" i="4"/>
  <c r="BY24" i="4"/>
  <c r="BZ24" i="4"/>
  <c r="CA24" i="4"/>
  <c r="CB24" i="4"/>
  <c r="CC24" i="4"/>
  <c r="CD24" i="4"/>
  <c r="CE24" i="4"/>
  <c r="CF24" i="4"/>
  <c r="CG24" i="4"/>
  <c r="CH24" i="4"/>
  <c r="CI24" i="4"/>
  <c r="CJ24" i="4"/>
  <c r="CK24" i="4"/>
  <c r="CL24" i="4"/>
  <c r="CM24" i="4"/>
  <c r="CN24" i="4"/>
  <c r="CO24" i="4"/>
  <c r="CP24" i="4"/>
  <c r="CQ24" i="4"/>
  <c r="CR24" i="4"/>
  <c r="CS24" i="4"/>
  <c r="CT24" i="4"/>
  <c r="CU24" i="4"/>
  <c r="CV24" i="4"/>
  <c r="CW24" i="4"/>
  <c r="CX24" i="4"/>
  <c r="CY24" i="4"/>
  <c r="CZ24" i="4"/>
  <c r="DA24" i="4"/>
  <c r="DB24" i="4"/>
  <c r="DC24" i="4"/>
  <c r="DD24" i="4"/>
  <c r="DE24" i="4"/>
  <c r="DF24" i="4"/>
  <c r="DG24" i="4"/>
  <c r="DH24" i="4"/>
  <c r="DI24" i="4"/>
  <c r="DJ24" i="4"/>
  <c r="DK24" i="4"/>
  <c r="DL24" i="4"/>
  <c r="DM24" i="4"/>
  <c r="DN24" i="4"/>
  <c r="DO24" i="4"/>
  <c r="DP24" i="4"/>
  <c r="DQ24" i="4"/>
  <c r="DR24" i="4"/>
  <c r="DS24" i="4"/>
  <c r="DT24" i="4"/>
  <c r="DU24" i="4"/>
  <c r="DV24" i="4"/>
  <c r="DW24" i="4"/>
  <c r="DX24" i="4"/>
  <c r="DY24" i="4"/>
  <c r="DZ24" i="4"/>
  <c r="EA24" i="4"/>
  <c r="EB24" i="4"/>
  <c r="EC24" i="4"/>
  <c r="ED24" i="4"/>
  <c r="EE24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AG25" i="4"/>
  <c r="AH25" i="4"/>
  <c r="AI25" i="4"/>
  <c r="AJ25" i="4"/>
  <c r="AK25" i="4"/>
  <c r="AL25" i="4"/>
  <c r="AM25" i="4"/>
  <c r="AN25" i="4"/>
  <c r="AO25" i="4"/>
  <c r="AP25" i="4"/>
  <c r="AQ25" i="4"/>
  <c r="AR25" i="4"/>
  <c r="AS25" i="4"/>
  <c r="AT25" i="4"/>
  <c r="AU25" i="4"/>
  <c r="AV25" i="4"/>
  <c r="AW25" i="4"/>
  <c r="AX25" i="4"/>
  <c r="AY25" i="4"/>
  <c r="AZ25" i="4"/>
  <c r="BA25" i="4"/>
  <c r="BB25" i="4"/>
  <c r="BC25" i="4"/>
  <c r="BD25" i="4"/>
  <c r="BE25" i="4"/>
  <c r="BF25" i="4"/>
  <c r="BG25" i="4"/>
  <c r="BH25" i="4"/>
  <c r="BI25" i="4"/>
  <c r="BJ25" i="4"/>
  <c r="BK25" i="4"/>
  <c r="BL25" i="4"/>
  <c r="BM25" i="4"/>
  <c r="BN25" i="4"/>
  <c r="BO25" i="4"/>
  <c r="BP25" i="4"/>
  <c r="BQ25" i="4"/>
  <c r="BR25" i="4"/>
  <c r="BS25" i="4"/>
  <c r="BT25" i="4"/>
  <c r="BU25" i="4"/>
  <c r="BV25" i="4"/>
  <c r="BW25" i="4"/>
  <c r="BX25" i="4"/>
  <c r="BY25" i="4"/>
  <c r="BZ25" i="4"/>
  <c r="CA25" i="4"/>
  <c r="CB25" i="4"/>
  <c r="CC25" i="4"/>
  <c r="CD25" i="4"/>
  <c r="CE25" i="4"/>
  <c r="CF25" i="4"/>
  <c r="CG25" i="4"/>
  <c r="CH25" i="4"/>
  <c r="CI25" i="4"/>
  <c r="CJ25" i="4"/>
  <c r="CK25" i="4"/>
  <c r="CL25" i="4"/>
  <c r="CM25" i="4"/>
  <c r="CN25" i="4"/>
  <c r="CO25" i="4"/>
  <c r="CP25" i="4"/>
  <c r="CQ25" i="4"/>
  <c r="CR25" i="4"/>
  <c r="CS25" i="4"/>
  <c r="CT25" i="4"/>
  <c r="CU25" i="4"/>
  <c r="CV25" i="4"/>
  <c r="CW25" i="4"/>
  <c r="CX25" i="4"/>
  <c r="CY25" i="4"/>
  <c r="CZ25" i="4"/>
  <c r="DA25" i="4"/>
  <c r="DB25" i="4"/>
  <c r="DC25" i="4"/>
  <c r="DD25" i="4"/>
  <c r="DE25" i="4"/>
  <c r="DF25" i="4"/>
  <c r="DG25" i="4"/>
  <c r="DH25" i="4"/>
  <c r="DI25" i="4"/>
  <c r="DJ25" i="4"/>
  <c r="DK25" i="4"/>
  <c r="DL25" i="4"/>
  <c r="DM25" i="4"/>
  <c r="DN25" i="4"/>
  <c r="DO25" i="4"/>
  <c r="DP25" i="4"/>
  <c r="DQ25" i="4"/>
  <c r="DR25" i="4"/>
  <c r="DS25" i="4"/>
  <c r="DT25" i="4"/>
  <c r="DU25" i="4"/>
  <c r="DV25" i="4"/>
  <c r="DW25" i="4"/>
  <c r="DX25" i="4"/>
  <c r="DY25" i="4"/>
  <c r="DZ25" i="4"/>
  <c r="EA25" i="4"/>
  <c r="EB25" i="4"/>
  <c r="EC25" i="4"/>
  <c r="ED25" i="4"/>
  <c r="EE25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AG26" i="4"/>
  <c r="AH26" i="4"/>
  <c r="AI26" i="4"/>
  <c r="AJ26" i="4"/>
  <c r="AK26" i="4"/>
  <c r="AL26" i="4"/>
  <c r="AM26" i="4"/>
  <c r="AN26" i="4"/>
  <c r="AO26" i="4"/>
  <c r="AP26" i="4"/>
  <c r="AQ26" i="4"/>
  <c r="AR26" i="4"/>
  <c r="AS26" i="4"/>
  <c r="AT26" i="4"/>
  <c r="AU26" i="4"/>
  <c r="AV26" i="4"/>
  <c r="AW26" i="4"/>
  <c r="AX26" i="4"/>
  <c r="AY26" i="4"/>
  <c r="AZ26" i="4"/>
  <c r="BA26" i="4"/>
  <c r="BB26" i="4"/>
  <c r="BC26" i="4"/>
  <c r="BD26" i="4"/>
  <c r="BE26" i="4"/>
  <c r="BF26" i="4"/>
  <c r="BG26" i="4"/>
  <c r="BH26" i="4"/>
  <c r="BI26" i="4"/>
  <c r="BJ26" i="4"/>
  <c r="BK26" i="4"/>
  <c r="BL26" i="4"/>
  <c r="BM26" i="4"/>
  <c r="BN26" i="4"/>
  <c r="BO26" i="4"/>
  <c r="BP26" i="4"/>
  <c r="BQ26" i="4"/>
  <c r="BR26" i="4"/>
  <c r="BS26" i="4"/>
  <c r="BT26" i="4"/>
  <c r="BU26" i="4"/>
  <c r="BV26" i="4"/>
  <c r="BW26" i="4"/>
  <c r="BX26" i="4"/>
  <c r="BY26" i="4"/>
  <c r="BZ26" i="4"/>
  <c r="CA26" i="4"/>
  <c r="CB26" i="4"/>
  <c r="CC26" i="4"/>
  <c r="CD26" i="4"/>
  <c r="CE26" i="4"/>
  <c r="CF26" i="4"/>
  <c r="CG26" i="4"/>
  <c r="CH26" i="4"/>
  <c r="CI26" i="4"/>
  <c r="CJ26" i="4"/>
  <c r="CK26" i="4"/>
  <c r="CL26" i="4"/>
  <c r="CM26" i="4"/>
  <c r="CN26" i="4"/>
  <c r="CO26" i="4"/>
  <c r="CP26" i="4"/>
  <c r="CQ26" i="4"/>
  <c r="CR26" i="4"/>
  <c r="CS26" i="4"/>
  <c r="CT26" i="4"/>
  <c r="CU26" i="4"/>
  <c r="CV26" i="4"/>
  <c r="CW26" i="4"/>
  <c r="CX26" i="4"/>
  <c r="CY26" i="4"/>
  <c r="CZ26" i="4"/>
  <c r="DA26" i="4"/>
  <c r="DB26" i="4"/>
  <c r="DC26" i="4"/>
  <c r="DD26" i="4"/>
  <c r="DE26" i="4"/>
  <c r="DF26" i="4"/>
  <c r="DG26" i="4"/>
  <c r="DH26" i="4"/>
  <c r="DI26" i="4"/>
  <c r="DJ26" i="4"/>
  <c r="DK26" i="4"/>
  <c r="DL26" i="4"/>
  <c r="DM26" i="4"/>
  <c r="DN26" i="4"/>
  <c r="DO26" i="4"/>
  <c r="DP26" i="4"/>
  <c r="DQ26" i="4"/>
  <c r="DR26" i="4"/>
  <c r="DS26" i="4"/>
  <c r="DT26" i="4"/>
  <c r="DU26" i="4"/>
  <c r="DV26" i="4"/>
  <c r="DW26" i="4"/>
  <c r="DX26" i="4"/>
  <c r="DY26" i="4"/>
  <c r="DZ26" i="4"/>
  <c r="EA26" i="4"/>
  <c r="EB26" i="4"/>
  <c r="EC26" i="4"/>
  <c r="ED26" i="4"/>
  <c r="EE26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AG27" i="4"/>
  <c r="AH27" i="4"/>
  <c r="AI27" i="4"/>
  <c r="AJ27" i="4"/>
  <c r="AK27" i="4"/>
  <c r="AL27" i="4"/>
  <c r="AM27" i="4"/>
  <c r="AN27" i="4"/>
  <c r="AO27" i="4"/>
  <c r="AP27" i="4"/>
  <c r="AQ27" i="4"/>
  <c r="AR27" i="4"/>
  <c r="AS27" i="4"/>
  <c r="AT27" i="4"/>
  <c r="AU27" i="4"/>
  <c r="AV27" i="4"/>
  <c r="AW27" i="4"/>
  <c r="AX27" i="4"/>
  <c r="AY27" i="4"/>
  <c r="AZ27" i="4"/>
  <c r="BA27" i="4"/>
  <c r="BB27" i="4"/>
  <c r="BC27" i="4"/>
  <c r="BD27" i="4"/>
  <c r="BE27" i="4"/>
  <c r="BF27" i="4"/>
  <c r="BG27" i="4"/>
  <c r="BH27" i="4"/>
  <c r="BI27" i="4"/>
  <c r="BJ27" i="4"/>
  <c r="BK27" i="4"/>
  <c r="BL27" i="4"/>
  <c r="BM27" i="4"/>
  <c r="BN27" i="4"/>
  <c r="BO27" i="4"/>
  <c r="BP27" i="4"/>
  <c r="BQ27" i="4"/>
  <c r="BR27" i="4"/>
  <c r="BS27" i="4"/>
  <c r="BT27" i="4"/>
  <c r="BU27" i="4"/>
  <c r="BV27" i="4"/>
  <c r="BW27" i="4"/>
  <c r="BX27" i="4"/>
  <c r="BY27" i="4"/>
  <c r="BZ27" i="4"/>
  <c r="CA27" i="4"/>
  <c r="CB27" i="4"/>
  <c r="CC27" i="4"/>
  <c r="CD27" i="4"/>
  <c r="CE27" i="4"/>
  <c r="CF27" i="4"/>
  <c r="CG27" i="4"/>
  <c r="CH27" i="4"/>
  <c r="CI27" i="4"/>
  <c r="CJ27" i="4"/>
  <c r="CK27" i="4"/>
  <c r="CL27" i="4"/>
  <c r="CM27" i="4"/>
  <c r="CN27" i="4"/>
  <c r="CO27" i="4"/>
  <c r="CP27" i="4"/>
  <c r="CQ27" i="4"/>
  <c r="CR27" i="4"/>
  <c r="CS27" i="4"/>
  <c r="CT27" i="4"/>
  <c r="CU27" i="4"/>
  <c r="CV27" i="4"/>
  <c r="CW27" i="4"/>
  <c r="CX27" i="4"/>
  <c r="CY27" i="4"/>
  <c r="CZ27" i="4"/>
  <c r="DA27" i="4"/>
  <c r="DB27" i="4"/>
  <c r="DC27" i="4"/>
  <c r="DD27" i="4"/>
  <c r="DE27" i="4"/>
  <c r="DF27" i="4"/>
  <c r="DG27" i="4"/>
  <c r="DH27" i="4"/>
  <c r="DI27" i="4"/>
  <c r="DJ27" i="4"/>
  <c r="DK27" i="4"/>
  <c r="DL27" i="4"/>
  <c r="DM27" i="4"/>
  <c r="DN27" i="4"/>
  <c r="DO27" i="4"/>
  <c r="DP27" i="4"/>
  <c r="DQ27" i="4"/>
  <c r="DR27" i="4"/>
  <c r="DS27" i="4"/>
  <c r="DT27" i="4"/>
  <c r="DU27" i="4"/>
  <c r="DV27" i="4"/>
  <c r="DW27" i="4"/>
  <c r="DX27" i="4"/>
  <c r="DY27" i="4"/>
  <c r="DZ27" i="4"/>
  <c r="EA27" i="4"/>
  <c r="EB27" i="4"/>
  <c r="EC27" i="4"/>
  <c r="ED27" i="4"/>
  <c r="EE27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AG28" i="4"/>
  <c r="AH28" i="4"/>
  <c r="AI28" i="4"/>
  <c r="AJ28" i="4"/>
  <c r="AK28" i="4"/>
  <c r="AL28" i="4"/>
  <c r="AM28" i="4"/>
  <c r="AN28" i="4"/>
  <c r="AO28" i="4"/>
  <c r="AP28" i="4"/>
  <c r="AQ28" i="4"/>
  <c r="AR28" i="4"/>
  <c r="AS28" i="4"/>
  <c r="AT28" i="4"/>
  <c r="AU28" i="4"/>
  <c r="AV28" i="4"/>
  <c r="AW28" i="4"/>
  <c r="AX28" i="4"/>
  <c r="AY28" i="4"/>
  <c r="AZ28" i="4"/>
  <c r="BA28" i="4"/>
  <c r="BB28" i="4"/>
  <c r="BC28" i="4"/>
  <c r="BD28" i="4"/>
  <c r="BE28" i="4"/>
  <c r="BF28" i="4"/>
  <c r="BG28" i="4"/>
  <c r="BH28" i="4"/>
  <c r="BI28" i="4"/>
  <c r="BJ28" i="4"/>
  <c r="BK28" i="4"/>
  <c r="BL28" i="4"/>
  <c r="BM28" i="4"/>
  <c r="BN28" i="4"/>
  <c r="BO28" i="4"/>
  <c r="BP28" i="4"/>
  <c r="BQ28" i="4"/>
  <c r="BR28" i="4"/>
  <c r="BS28" i="4"/>
  <c r="BT28" i="4"/>
  <c r="BU28" i="4"/>
  <c r="BV28" i="4"/>
  <c r="BW28" i="4"/>
  <c r="BX28" i="4"/>
  <c r="BY28" i="4"/>
  <c r="BZ28" i="4"/>
  <c r="CA28" i="4"/>
  <c r="CB28" i="4"/>
  <c r="CC28" i="4"/>
  <c r="CD28" i="4"/>
  <c r="CE28" i="4"/>
  <c r="CF28" i="4"/>
  <c r="CG28" i="4"/>
  <c r="CH28" i="4"/>
  <c r="CI28" i="4"/>
  <c r="CJ28" i="4"/>
  <c r="CK28" i="4"/>
  <c r="CL28" i="4"/>
  <c r="CM28" i="4"/>
  <c r="CN28" i="4"/>
  <c r="CO28" i="4"/>
  <c r="CP28" i="4"/>
  <c r="CQ28" i="4"/>
  <c r="CR28" i="4"/>
  <c r="CS28" i="4"/>
  <c r="CT28" i="4"/>
  <c r="CU28" i="4"/>
  <c r="CV28" i="4"/>
  <c r="CW28" i="4"/>
  <c r="CX28" i="4"/>
  <c r="CY28" i="4"/>
  <c r="CZ28" i="4"/>
  <c r="DA28" i="4"/>
  <c r="DB28" i="4"/>
  <c r="DC28" i="4"/>
  <c r="DD28" i="4"/>
  <c r="DE28" i="4"/>
  <c r="DF28" i="4"/>
  <c r="DG28" i="4"/>
  <c r="DH28" i="4"/>
  <c r="DI28" i="4"/>
  <c r="DJ28" i="4"/>
  <c r="DK28" i="4"/>
  <c r="DL28" i="4"/>
  <c r="DM28" i="4"/>
  <c r="DN28" i="4"/>
  <c r="DO28" i="4"/>
  <c r="DP28" i="4"/>
  <c r="DQ28" i="4"/>
  <c r="DR28" i="4"/>
  <c r="DS28" i="4"/>
  <c r="DT28" i="4"/>
  <c r="DU28" i="4"/>
  <c r="DV28" i="4"/>
  <c r="DW28" i="4"/>
  <c r="DX28" i="4"/>
  <c r="DY28" i="4"/>
  <c r="DZ28" i="4"/>
  <c r="EA28" i="4"/>
  <c r="EB28" i="4"/>
  <c r="EC28" i="4"/>
  <c r="ED28" i="4"/>
  <c r="EE28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AG29" i="4"/>
  <c r="AH29" i="4"/>
  <c r="AI29" i="4"/>
  <c r="AJ29" i="4"/>
  <c r="AK29" i="4"/>
  <c r="AL29" i="4"/>
  <c r="AM29" i="4"/>
  <c r="AN29" i="4"/>
  <c r="AO29" i="4"/>
  <c r="AP29" i="4"/>
  <c r="AQ29" i="4"/>
  <c r="AR29" i="4"/>
  <c r="AS29" i="4"/>
  <c r="AT29" i="4"/>
  <c r="AU29" i="4"/>
  <c r="AV29" i="4"/>
  <c r="AW29" i="4"/>
  <c r="AX29" i="4"/>
  <c r="AY29" i="4"/>
  <c r="AZ29" i="4"/>
  <c r="BA29" i="4"/>
  <c r="BB29" i="4"/>
  <c r="BC29" i="4"/>
  <c r="BD29" i="4"/>
  <c r="BE29" i="4"/>
  <c r="BF29" i="4"/>
  <c r="BG29" i="4"/>
  <c r="BH29" i="4"/>
  <c r="BI29" i="4"/>
  <c r="BJ29" i="4"/>
  <c r="BK29" i="4"/>
  <c r="BL29" i="4"/>
  <c r="BM29" i="4"/>
  <c r="BN29" i="4"/>
  <c r="BO29" i="4"/>
  <c r="BP29" i="4"/>
  <c r="BQ29" i="4"/>
  <c r="BR29" i="4"/>
  <c r="BS29" i="4"/>
  <c r="BT29" i="4"/>
  <c r="BU29" i="4"/>
  <c r="BV29" i="4"/>
  <c r="BW29" i="4"/>
  <c r="BX29" i="4"/>
  <c r="BY29" i="4"/>
  <c r="BZ29" i="4"/>
  <c r="CA29" i="4"/>
  <c r="CB29" i="4"/>
  <c r="CC29" i="4"/>
  <c r="CD29" i="4"/>
  <c r="CE29" i="4"/>
  <c r="CF29" i="4"/>
  <c r="CG29" i="4"/>
  <c r="CH29" i="4"/>
  <c r="CI29" i="4"/>
  <c r="CJ29" i="4"/>
  <c r="CK29" i="4"/>
  <c r="CL29" i="4"/>
  <c r="CM29" i="4"/>
  <c r="CN29" i="4"/>
  <c r="CO29" i="4"/>
  <c r="CP29" i="4"/>
  <c r="CQ29" i="4"/>
  <c r="CR29" i="4"/>
  <c r="CS29" i="4"/>
  <c r="CT29" i="4"/>
  <c r="CU29" i="4"/>
  <c r="CV29" i="4"/>
  <c r="CW29" i="4"/>
  <c r="CX29" i="4"/>
  <c r="CY29" i="4"/>
  <c r="CZ29" i="4"/>
  <c r="DA29" i="4"/>
  <c r="DB29" i="4"/>
  <c r="DC29" i="4"/>
  <c r="DD29" i="4"/>
  <c r="DE29" i="4"/>
  <c r="DF29" i="4"/>
  <c r="DG29" i="4"/>
  <c r="DH29" i="4"/>
  <c r="DI29" i="4"/>
  <c r="DJ29" i="4"/>
  <c r="DK29" i="4"/>
  <c r="DL29" i="4"/>
  <c r="DM29" i="4"/>
  <c r="DN29" i="4"/>
  <c r="DO29" i="4"/>
  <c r="DP29" i="4"/>
  <c r="DQ29" i="4"/>
  <c r="DR29" i="4"/>
  <c r="DS29" i="4"/>
  <c r="DT29" i="4"/>
  <c r="DU29" i="4"/>
  <c r="DV29" i="4"/>
  <c r="DW29" i="4"/>
  <c r="DX29" i="4"/>
  <c r="DY29" i="4"/>
  <c r="DZ29" i="4"/>
  <c r="EA29" i="4"/>
  <c r="EB29" i="4"/>
  <c r="EC29" i="4"/>
  <c r="ED29" i="4"/>
  <c r="EE29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AG30" i="4"/>
  <c r="AH30" i="4"/>
  <c r="AI30" i="4"/>
  <c r="AJ30" i="4"/>
  <c r="AK30" i="4"/>
  <c r="AL30" i="4"/>
  <c r="AM30" i="4"/>
  <c r="AN30" i="4"/>
  <c r="AO30" i="4"/>
  <c r="AP30" i="4"/>
  <c r="AQ30" i="4"/>
  <c r="AR30" i="4"/>
  <c r="AS30" i="4"/>
  <c r="AT30" i="4"/>
  <c r="AU30" i="4"/>
  <c r="AV30" i="4"/>
  <c r="AW30" i="4"/>
  <c r="AX30" i="4"/>
  <c r="AY30" i="4"/>
  <c r="AZ30" i="4"/>
  <c r="BA30" i="4"/>
  <c r="BB30" i="4"/>
  <c r="BC30" i="4"/>
  <c r="BD30" i="4"/>
  <c r="BE30" i="4"/>
  <c r="BF30" i="4"/>
  <c r="BG30" i="4"/>
  <c r="BH30" i="4"/>
  <c r="BI30" i="4"/>
  <c r="BJ30" i="4"/>
  <c r="BK30" i="4"/>
  <c r="BL30" i="4"/>
  <c r="BM30" i="4"/>
  <c r="BN30" i="4"/>
  <c r="BO30" i="4"/>
  <c r="BP30" i="4"/>
  <c r="BQ30" i="4"/>
  <c r="BR30" i="4"/>
  <c r="BS30" i="4"/>
  <c r="BT30" i="4"/>
  <c r="BU30" i="4"/>
  <c r="BV30" i="4"/>
  <c r="BW30" i="4"/>
  <c r="BX30" i="4"/>
  <c r="BY30" i="4"/>
  <c r="BZ30" i="4"/>
  <c r="CA30" i="4"/>
  <c r="CB30" i="4"/>
  <c r="CC30" i="4"/>
  <c r="CD30" i="4"/>
  <c r="CE30" i="4"/>
  <c r="CF30" i="4"/>
  <c r="CG30" i="4"/>
  <c r="CH30" i="4"/>
  <c r="CI30" i="4"/>
  <c r="CJ30" i="4"/>
  <c r="CK30" i="4"/>
  <c r="CL30" i="4"/>
  <c r="CM30" i="4"/>
  <c r="CN30" i="4"/>
  <c r="CO30" i="4"/>
  <c r="CP30" i="4"/>
  <c r="CQ30" i="4"/>
  <c r="CR30" i="4"/>
  <c r="CS30" i="4"/>
  <c r="CT30" i="4"/>
  <c r="CU30" i="4"/>
  <c r="CV30" i="4"/>
  <c r="CW30" i="4"/>
  <c r="CX30" i="4"/>
  <c r="CY30" i="4"/>
  <c r="CZ30" i="4"/>
  <c r="DA30" i="4"/>
  <c r="DB30" i="4"/>
  <c r="DC30" i="4"/>
  <c r="DD30" i="4"/>
  <c r="DE30" i="4"/>
  <c r="DF30" i="4"/>
  <c r="DG30" i="4"/>
  <c r="DH30" i="4"/>
  <c r="DI30" i="4"/>
  <c r="DJ30" i="4"/>
  <c r="DK30" i="4"/>
  <c r="DL30" i="4"/>
  <c r="DM30" i="4"/>
  <c r="DN30" i="4"/>
  <c r="DO30" i="4"/>
  <c r="DP30" i="4"/>
  <c r="DQ30" i="4"/>
  <c r="DR30" i="4"/>
  <c r="DS30" i="4"/>
  <c r="DT30" i="4"/>
  <c r="DU30" i="4"/>
  <c r="DV30" i="4"/>
  <c r="DW30" i="4"/>
  <c r="DX30" i="4"/>
  <c r="DY30" i="4"/>
  <c r="DZ30" i="4"/>
  <c r="EA30" i="4"/>
  <c r="EB30" i="4"/>
  <c r="EC30" i="4"/>
  <c r="ED30" i="4"/>
  <c r="EE30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AG31" i="4"/>
  <c r="AH31" i="4"/>
  <c r="AI31" i="4"/>
  <c r="AJ31" i="4"/>
  <c r="AK31" i="4"/>
  <c r="AL31" i="4"/>
  <c r="AM31" i="4"/>
  <c r="AN31" i="4"/>
  <c r="AO31" i="4"/>
  <c r="AP31" i="4"/>
  <c r="AQ31" i="4"/>
  <c r="AR31" i="4"/>
  <c r="AS31" i="4"/>
  <c r="AT31" i="4"/>
  <c r="AU31" i="4"/>
  <c r="AV31" i="4"/>
  <c r="AW31" i="4"/>
  <c r="AX31" i="4"/>
  <c r="AY31" i="4"/>
  <c r="AZ31" i="4"/>
  <c r="BA31" i="4"/>
  <c r="BB31" i="4"/>
  <c r="BC31" i="4"/>
  <c r="BD31" i="4"/>
  <c r="BE31" i="4"/>
  <c r="BF31" i="4"/>
  <c r="BG31" i="4"/>
  <c r="BH31" i="4"/>
  <c r="BI31" i="4"/>
  <c r="BJ31" i="4"/>
  <c r="BK31" i="4"/>
  <c r="BL31" i="4"/>
  <c r="BM31" i="4"/>
  <c r="BN31" i="4"/>
  <c r="BO31" i="4"/>
  <c r="BP31" i="4"/>
  <c r="BQ31" i="4"/>
  <c r="BR31" i="4"/>
  <c r="BS31" i="4"/>
  <c r="BT31" i="4"/>
  <c r="BU31" i="4"/>
  <c r="BV31" i="4"/>
  <c r="BW31" i="4"/>
  <c r="BX31" i="4"/>
  <c r="BY31" i="4"/>
  <c r="BZ31" i="4"/>
  <c r="CA31" i="4"/>
  <c r="CB31" i="4"/>
  <c r="CC31" i="4"/>
  <c r="CD31" i="4"/>
  <c r="CE31" i="4"/>
  <c r="CF31" i="4"/>
  <c r="CG31" i="4"/>
  <c r="CH31" i="4"/>
  <c r="CI31" i="4"/>
  <c r="CJ31" i="4"/>
  <c r="CK31" i="4"/>
  <c r="CL31" i="4"/>
  <c r="CM31" i="4"/>
  <c r="CN31" i="4"/>
  <c r="CO31" i="4"/>
  <c r="CP31" i="4"/>
  <c r="CQ31" i="4"/>
  <c r="CR31" i="4"/>
  <c r="CS31" i="4"/>
  <c r="CT31" i="4"/>
  <c r="CU31" i="4"/>
  <c r="CV31" i="4"/>
  <c r="CW31" i="4"/>
  <c r="CX31" i="4"/>
  <c r="CY31" i="4"/>
  <c r="CZ31" i="4"/>
  <c r="DA31" i="4"/>
  <c r="DB31" i="4"/>
  <c r="DC31" i="4"/>
  <c r="DD31" i="4"/>
  <c r="DE31" i="4"/>
  <c r="DF31" i="4"/>
  <c r="DG31" i="4"/>
  <c r="DH31" i="4"/>
  <c r="DI31" i="4"/>
  <c r="DJ31" i="4"/>
  <c r="DK31" i="4"/>
  <c r="DL31" i="4"/>
  <c r="DM31" i="4"/>
  <c r="DN31" i="4"/>
  <c r="DO31" i="4"/>
  <c r="DP31" i="4"/>
  <c r="DQ31" i="4"/>
  <c r="DR31" i="4"/>
  <c r="DS31" i="4"/>
  <c r="DT31" i="4"/>
  <c r="DU31" i="4"/>
  <c r="DV31" i="4"/>
  <c r="DW31" i="4"/>
  <c r="DX31" i="4"/>
  <c r="DY31" i="4"/>
  <c r="DZ31" i="4"/>
  <c r="EA31" i="4"/>
  <c r="EB31" i="4"/>
  <c r="EC31" i="4"/>
  <c r="ED31" i="4"/>
  <c r="EE31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AG32" i="4"/>
  <c r="AH32" i="4"/>
  <c r="AI32" i="4"/>
  <c r="AJ32" i="4"/>
  <c r="AK32" i="4"/>
  <c r="AL32" i="4"/>
  <c r="AM32" i="4"/>
  <c r="AN32" i="4"/>
  <c r="AO32" i="4"/>
  <c r="AP32" i="4"/>
  <c r="AQ32" i="4"/>
  <c r="AR32" i="4"/>
  <c r="AS32" i="4"/>
  <c r="AT32" i="4"/>
  <c r="AU32" i="4"/>
  <c r="AV32" i="4"/>
  <c r="AW32" i="4"/>
  <c r="AX32" i="4"/>
  <c r="AY32" i="4"/>
  <c r="AZ32" i="4"/>
  <c r="BA32" i="4"/>
  <c r="BB32" i="4"/>
  <c r="BC32" i="4"/>
  <c r="BD32" i="4"/>
  <c r="BE32" i="4"/>
  <c r="BF32" i="4"/>
  <c r="BG32" i="4"/>
  <c r="BH32" i="4"/>
  <c r="BI32" i="4"/>
  <c r="BJ32" i="4"/>
  <c r="BK32" i="4"/>
  <c r="BL32" i="4"/>
  <c r="BM32" i="4"/>
  <c r="BN32" i="4"/>
  <c r="BO32" i="4"/>
  <c r="BP32" i="4"/>
  <c r="BQ32" i="4"/>
  <c r="BR32" i="4"/>
  <c r="BS32" i="4"/>
  <c r="BT32" i="4"/>
  <c r="BU32" i="4"/>
  <c r="BV32" i="4"/>
  <c r="BW32" i="4"/>
  <c r="BX32" i="4"/>
  <c r="BY32" i="4"/>
  <c r="BZ32" i="4"/>
  <c r="CA32" i="4"/>
  <c r="CB32" i="4"/>
  <c r="CC32" i="4"/>
  <c r="CD32" i="4"/>
  <c r="CE32" i="4"/>
  <c r="CF32" i="4"/>
  <c r="CG32" i="4"/>
  <c r="CH32" i="4"/>
  <c r="CI32" i="4"/>
  <c r="CJ32" i="4"/>
  <c r="CK32" i="4"/>
  <c r="CL32" i="4"/>
  <c r="CM32" i="4"/>
  <c r="CN32" i="4"/>
  <c r="CO32" i="4"/>
  <c r="CP32" i="4"/>
  <c r="CQ32" i="4"/>
  <c r="CR32" i="4"/>
  <c r="CS32" i="4"/>
  <c r="CT32" i="4"/>
  <c r="CU32" i="4"/>
  <c r="CV32" i="4"/>
  <c r="CW32" i="4"/>
  <c r="CX32" i="4"/>
  <c r="CY32" i="4"/>
  <c r="CZ32" i="4"/>
  <c r="DA32" i="4"/>
  <c r="DB32" i="4"/>
  <c r="DC32" i="4"/>
  <c r="DD32" i="4"/>
  <c r="DE32" i="4"/>
  <c r="DF32" i="4"/>
  <c r="DG32" i="4"/>
  <c r="DH32" i="4"/>
  <c r="DI32" i="4"/>
  <c r="DJ32" i="4"/>
  <c r="DK32" i="4"/>
  <c r="DL32" i="4"/>
  <c r="DM32" i="4"/>
  <c r="DN32" i="4"/>
  <c r="DO32" i="4"/>
  <c r="DP32" i="4"/>
  <c r="DQ32" i="4"/>
  <c r="DR32" i="4"/>
  <c r="DS32" i="4"/>
  <c r="DT32" i="4"/>
  <c r="DU32" i="4"/>
  <c r="DV32" i="4"/>
  <c r="DW32" i="4"/>
  <c r="DX32" i="4"/>
  <c r="DY32" i="4"/>
  <c r="DZ32" i="4"/>
  <c r="EA32" i="4"/>
  <c r="EB32" i="4"/>
  <c r="EC32" i="4"/>
  <c r="ED32" i="4"/>
  <c r="EE32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AG33" i="4"/>
  <c r="AH33" i="4"/>
  <c r="AI33" i="4"/>
  <c r="AJ33" i="4"/>
  <c r="AK33" i="4"/>
  <c r="AL33" i="4"/>
  <c r="AM33" i="4"/>
  <c r="AN33" i="4"/>
  <c r="AO33" i="4"/>
  <c r="AP33" i="4"/>
  <c r="AQ33" i="4"/>
  <c r="AR33" i="4"/>
  <c r="AS33" i="4"/>
  <c r="AT33" i="4"/>
  <c r="AU33" i="4"/>
  <c r="AV33" i="4"/>
  <c r="AW33" i="4"/>
  <c r="AX33" i="4"/>
  <c r="AY33" i="4"/>
  <c r="AZ33" i="4"/>
  <c r="BA33" i="4"/>
  <c r="BB33" i="4"/>
  <c r="BC33" i="4"/>
  <c r="BD33" i="4"/>
  <c r="BE33" i="4"/>
  <c r="BF33" i="4"/>
  <c r="BG33" i="4"/>
  <c r="BH33" i="4"/>
  <c r="BI33" i="4"/>
  <c r="BJ33" i="4"/>
  <c r="BK33" i="4"/>
  <c r="BL33" i="4"/>
  <c r="BM33" i="4"/>
  <c r="BN33" i="4"/>
  <c r="BO33" i="4"/>
  <c r="BP33" i="4"/>
  <c r="BQ33" i="4"/>
  <c r="BR33" i="4"/>
  <c r="BS33" i="4"/>
  <c r="BT33" i="4"/>
  <c r="BU33" i="4"/>
  <c r="BV33" i="4"/>
  <c r="BW33" i="4"/>
  <c r="BX33" i="4"/>
  <c r="BY33" i="4"/>
  <c r="BZ33" i="4"/>
  <c r="CA33" i="4"/>
  <c r="CB33" i="4"/>
  <c r="CC33" i="4"/>
  <c r="CD33" i="4"/>
  <c r="CE33" i="4"/>
  <c r="CF33" i="4"/>
  <c r="CG33" i="4"/>
  <c r="CH33" i="4"/>
  <c r="CI33" i="4"/>
  <c r="CJ33" i="4"/>
  <c r="CK33" i="4"/>
  <c r="CL33" i="4"/>
  <c r="CM33" i="4"/>
  <c r="CN33" i="4"/>
  <c r="CO33" i="4"/>
  <c r="CP33" i="4"/>
  <c r="CQ33" i="4"/>
  <c r="CR33" i="4"/>
  <c r="CS33" i="4"/>
  <c r="CT33" i="4"/>
  <c r="CU33" i="4"/>
  <c r="CV33" i="4"/>
  <c r="CW33" i="4"/>
  <c r="CX33" i="4"/>
  <c r="CY33" i="4"/>
  <c r="CZ33" i="4"/>
  <c r="DA33" i="4"/>
  <c r="DB33" i="4"/>
  <c r="DC33" i="4"/>
  <c r="DD33" i="4"/>
  <c r="DE33" i="4"/>
  <c r="DF33" i="4"/>
  <c r="DG33" i="4"/>
  <c r="DH33" i="4"/>
  <c r="DI33" i="4"/>
  <c r="DJ33" i="4"/>
  <c r="DK33" i="4"/>
  <c r="DL33" i="4"/>
  <c r="DM33" i="4"/>
  <c r="DN33" i="4"/>
  <c r="DO33" i="4"/>
  <c r="DP33" i="4"/>
  <c r="DQ33" i="4"/>
  <c r="DR33" i="4"/>
  <c r="DS33" i="4"/>
  <c r="DT33" i="4"/>
  <c r="DU33" i="4"/>
  <c r="DV33" i="4"/>
  <c r="DW33" i="4"/>
  <c r="DX33" i="4"/>
  <c r="DY33" i="4"/>
  <c r="DZ33" i="4"/>
  <c r="EA33" i="4"/>
  <c r="EB33" i="4"/>
  <c r="EC33" i="4"/>
  <c r="ED33" i="4"/>
  <c r="EE33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AG34" i="4"/>
  <c r="AH34" i="4"/>
  <c r="AI34" i="4"/>
  <c r="AJ34" i="4"/>
  <c r="AK34" i="4"/>
  <c r="AL34" i="4"/>
  <c r="AM34" i="4"/>
  <c r="AN34" i="4"/>
  <c r="AO34" i="4"/>
  <c r="AP34" i="4"/>
  <c r="AQ34" i="4"/>
  <c r="AR34" i="4"/>
  <c r="AS34" i="4"/>
  <c r="AT34" i="4"/>
  <c r="AU34" i="4"/>
  <c r="AV34" i="4"/>
  <c r="AW34" i="4"/>
  <c r="AX34" i="4"/>
  <c r="AY34" i="4"/>
  <c r="AZ34" i="4"/>
  <c r="BA34" i="4"/>
  <c r="BB34" i="4"/>
  <c r="BC34" i="4"/>
  <c r="BD34" i="4"/>
  <c r="BE34" i="4"/>
  <c r="BF34" i="4"/>
  <c r="BG34" i="4"/>
  <c r="BH34" i="4"/>
  <c r="BI34" i="4"/>
  <c r="BJ34" i="4"/>
  <c r="BK34" i="4"/>
  <c r="BL34" i="4"/>
  <c r="BM34" i="4"/>
  <c r="BN34" i="4"/>
  <c r="BO34" i="4"/>
  <c r="BP34" i="4"/>
  <c r="BQ34" i="4"/>
  <c r="BR34" i="4"/>
  <c r="BS34" i="4"/>
  <c r="BT34" i="4"/>
  <c r="BU34" i="4"/>
  <c r="BV34" i="4"/>
  <c r="BW34" i="4"/>
  <c r="BX34" i="4"/>
  <c r="BY34" i="4"/>
  <c r="BZ34" i="4"/>
  <c r="CA34" i="4"/>
  <c r="CB34" i="4"/>
  <c r="CC34" i="4"/>
  <c r="CD34" i="4"/>
  <c r="CE34" i="4"/>
  <c r="CF34" i="4"/>
  <c r="CG34" i="4"/>
  <c r="CH34" i="4"/>
  <c r="CI34" i="4"/>
  <c r="CJ34" i="4"/>
  <c r="CK34" i="4"/>
  <c r="CL34" i="4"/>
  <c r="CM34" i="4"/>
  <c r="CN34" i="4"/>
  <c r="CO34" i="4"/>
  <c r="CP34" i="4"/>
  <c r="CQ34" i="4"/>
  <c r="CR34" i="4"/>
  <c r="CS34" i="4"/>
  <c r="CT34" i="4"/>
  <c r="CU34" i="4"/>
  <c r="CV34" i="4"/>
  <c r="CW34" i="4"/>
  <c r="CX34" i="4"/>
  <c r="CY34" i="4"/>
  <c r="CZ34" i="4"/>
  <c r="DA34" i="4"/>
  <c r="DB34" i="4"/>
  <c r="DC34" i="4"/>
  <c r="DD34" i="4"/>
  <c r="DE34" i="4"/>
  <c r="DF34" i="4"/>
  <c r="DG34" i="4"/>
  <c r="DH34" i="4"/>
  <c r="DI34" i="4"/>
  <c r="DJ34" i="4"/>
  <c r="DK34" i="4"/>
  <c r="DL34" i="4"/>
  <c r="DM34" i="4"/>
  <c r="DN34" i="4"/>
  <c r="DO34" i="4"/>
  <c r="DP34" i="4"/>
  <c r="DQ34" i="4"/>
  <c r="DR34" i="4"/>
  <c r="DS34" i="4"/>
  <c r="DT34" i="4"/>
  <c r="DU34" i="4"/>
  <c r="DV34" i="4"/>
  <c r="DW34" i="4"/>
  <c r="DX34" i="4"/>
  <c r="DY34" i="4"/>
  <c r="DZ34" i="4"/>
  <c r="EA34" i="4"/>
  <c r="EB34" i="4"/>
  <c r="EC34" i="4"/>
  <c r="ED34" i="4"/>
  <c r="EE34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AG35" i="4"/>
  <c r="AH35" i="4"/>
  <c r="AI35" i="4"/>
  <c r="AJ35" i="4"/>
  <c r="AK35" i="4"/>
  <c r="AL35" i="4"/>
  <c r="AM35" i="4"/>
  <c r="AN35" i="4"/>
  <c r="AO35" i="4"/>
  <c r="AP35" i="4"/>
  <c r="AQ35" i="4"/>
  <c r="AR35" i="4"/>
  <c r="AS35" i="4"/>
  <c r="AT35" i="4"/>
  <c r="AU35" i="4"/>
  <c r="AV35" i="4"/>
  <c r="AW35" i="4"/>
  <c r="AX35" i="4"/>
  <c r="AY35" i="4"/>
  <c r="AZ35" i="4"/>
  <c r="BA35" i="4"/>
  <c r="BB35" i="4"/>
  <c r="BC35" i="4"/>
  <c r="BD35" i="4"/>
  <c r="BE35" i="4"/>
  <c r="BF35" i="4"/>
  <c r="BG35" i="4"/>
  <c r="BH35" i="4"/>
  <c r="BI35" i="4"/>
  <c r="BJ35" i="4"/>
  <c r="BK35" i="4"/>
  <c r="BL35" i="4"/>
  <c r="BM35" i="4"/>
  <c r="BN35" i="4"/>
  <c r="BO35" i="4"/>
  <c r="BP35" i="4"/>
  <c r="BQ35" i="4"/>
  <c r="BR35" i="4"/>
  <c r="BS35" i="4"/>
  <c r="BT35" i="4"/>
  <c r="BU35" i="4"/>
  <c r="BV35" i="4"/>
  <c r="BW35" i="4"/>
  <c r="BX35" i="4"/>
  <c r="BY35" i="4"/>
  <c r="BZ35" i="4"/>
  <c r="CA35" i="4"/>
  <c r="CB35" i="4"/>
  <c r="CC35" i="4"/>
  <c r="CD35" i="4"/>
  <c r="CE35" i="4"/>
  <c r="CF35" i="4"/>
  <c r="CG35" i="4"/>
  <c r="CH35" i="4"/>
  <c r="CI35" i="4"/>
  <c r="CJ35" i="4"/>
  <c r="CK35" i="4"/>
  <c r="CL35" i="4"/>
  <c r="CM35" i="4"/>
  <c r="CN35" i="4"/>
  <c r="CO35" i="4"/>
  <c r="CP35" i="4"/>
  <c r="CQ35" i="4"/>
  <c r="CR35" i="4"/>
  <c r="CS35" i="4"/>
  <c r="CT35" i="4"/>
  <c r="CU35" i="4"/>
  <c r="CV35" i="4"/>
  <c r="CW35" i="4"/>
  <c r="CX35" i="4"/>
  <c r="CY35" i="4"/>
  <c r="CZ35" i="4"/>
  <c r="DA35" i="4"/>
  <c r="DB35" i="4"/>
  <c r="DC35" i="4"/>
  <c r="DD35" i="4"/>
  <c r="DE35" i="4"/>
  <c r="DF35" i="4"/>
  <c r="DG35" i="4"/>
  <c r="DH35" i="4"/>
  <c r="DI35" i="4"/>
  <c r="DJ35" i="4"/>
  <c r="DK35" i="4"/>
  <c r="DL35" i="4"/>
  <c r="DM35" i="4"/>
  <c r="DN35" i="4"/>
  <c r="DO35" i="4"/>
  <c r="DP35" i="4"/>
  <c r="DQ35" i="4"/>
  <c r="DR35" i="4"/>
  <c r="DS35" i="4"/>
  <c r="DT35" i="4"/>
  <c r="DU35" i="4"/>
  <c r="DV35" i="4"/>
  <c r="DW35" i="4"/>
  <c r="DX35" i="4"/>
  <c r="DY35" i="4"/>
  <c r="DZ35" i="4"/>
  <c r="EA35" i="4"/>
  <c r="EB35" i="4"/>
  <c r="EC35" i="4"/>
  <c r="ED35" i="4"/>
  <c r="EE35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AG36" i="4"/>
  <c r="AH36" i="4"/>
  <c r="AI36" i="4"/>
  <c r="AJ36" i="4"/>
  <c r="AK36" i="4"/>
  <c r="AL36" i="4"/>
  <c r="AM36" i="4"/>
  <c r="AN36" i="4"/>
  <c r="AO36" i="4"/>
  <c r="AP36" i="4"/>
  <c r="AQ36" i="4"/>
  <c r="AR36" i="4"/>
  <c r="AS36" i="4"/>
  <c r="AT36" i="4"/>
  <c r="AU36" i="4"/>
  <c r="AV36" i="4"/>
  <c r="AW36" i="4"/>
  <c r="AX36" i="4"/>
  <c r="AY36" i="4"/>
  <c r="AZ36" i="4"/>
  <c r="BA36" i="4"/>
  <c r="BB36" i="4"/>
  <c r="BC36" i="4"/>
  <c r="BD36" i="4"/>
  <c r="BE36" i="4"/>
  <c r="BF36" i="4"/>
  <c r="BG36" i="4"/>
  <c r="BH36" i="4"/>
  <c r="BI36" i="4"/>
  <c r="BJ36" i="4"/>
  <c r="BK36" i="4"/>
  <c r="BL36" i="4"/>
  <c r="BM36" i="4"/>
  <c r="BN36" i="4"/>
  <c r="BO36" i="4"/>
  <c r="BP36" i="4"/>
  <c r="BQ36" i="4"/>
  <c r="BR36" i="4"/>
  <c r="BS36" i="4"/>
  <c r="BT36" i="4"/>
  <c r="BU36" i="4"/>
  <c r="BV36" i="4"/>
  <c r="BW36" i="4"/>
  <c r="BX36" i="4"/>
  <c r="BY36" i="4"/>
  <c r="BZ36" i="4"/>
  <c r="CA36" i="4"/>
  <c r="CB36" i="4"/>
  <c r="CC36" i="4"/>
  <c r="CD36" i="4"/>
  <c r="CE36" i="4"/>
  <c r="CF36" i="4"/>
  <c r="CG36" i="4"/>
  <c r="CH36" i="4"/>
  <c r="CI36" i="4"/>
  <c r="CJ36" i="4"/>
  <c r="CK36" i="4"/>
  <c r="CL36" i="4"/>
  <c r="CM36" i="4"/>
  <c r="CN36" i="4"/>
  <c r="CO36" i="4"/>
  <c r="CP36" i="4"/>
  <c r="CQ36" i="4"/>
  <c r="CR36" i="4"/>
  <c r="CS36" i="4"/>
  <c r="CT36" i="4"/>
  <c r="CU36" i="4"/>
  <c r="CV36" i="4"/>
  <c r="CW36" i="4"/>
  <c r="CX36" i="4"/>
  <c r="CY36" i="4"/>
  <c r="CZ36" i="4"/>
  <c r="DA36" i="4"/>
  <c r="DB36" i="4"/>
  <c r="DC36" i="4"/>
  <c r="DD36" i="4"/>
  <c r="DE36" i="4"/>
  <c r="DF36" i="4"/>
  <c r="DG36" i="4"/>
  <c r="DH36" i="4"/>
  <c r="DI36" i="4"/>
  <c r="DJ36" i="4"/>
  <c r="DK36" i="4"/>
  <c r="DL36" i="4"/>
  <c r="DM36" i="4"/>
  <c r="DN36" i="4"/>
  <c r="DO36" i="4"/>
  <c r="DP36" i="4"/>
  <c r="DQ36" i="4"/>
  <c r="DR36" i="4"/>
  <c r="DS36" i="4"/>
  <c r="DT36" i="4"/>
  <c r="DU36" i="4"/>
  <c r="DV36" i="4"/>
  <c r="DW36" i="4"/>
  <c r="DX36" i="4"/>
  <c r="DY36" i="4"/>
  <c r="DZ36" i="4"/>
  <c r="EA36" i="4"/>
  <c r="EB36" i="4"/>
  <c r="EC36" i="4"/>
  <c r="ED36" i="4"/>
  <c r="EE36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AG37" i="4"/>
  <c r="AH37" i="4"/>
  <c r="AI37" i="4"/>
  <c r="AJ37" i="4"/>
  <c r="AK37" i="4"/>
  <c r="AL37" i="4"/>
  <c r="AM37" i="4"/>
  <c r="AN37" i="4"/>
  <c r="AO37" i="4"/>
  <c r="AP37" i="4"/>
  <c r="AQ37" i="4"/>
  <c r="AR37" i="4"/>
  <c r="AS37" i="4"/>
  <c r="AT37" i="4"/>
  <c r="AU37" i="4"/>
  <c r="AV37" i="4"/>
  <c r="AW37" i="4"/>
  <c r="AX37" i="4"/>
  <c r="AY37" i="4"/>
  <c r="AZ37" i="4"/>
  <c r="BA37" i="4"/>
  <c r="BB37" i="4"/>
  <c r="BC37" i="4"/>
  <c r="BD37" i="4"/>
  <c r="BE37" i="4"/>
  <c r="BF37" i="4"/>
  <c r="BG37" i="4"/>
  <c r="BH37" i="4"/>
  <c r="BI37" i="4"/>
  <c r="BJ37" i="4"/>
  <c r="BK37" i="4"/>
  <c r="BL37" i="4"/>
  <c r="BM37" i="4"/>
  <c r="BN37" i="4"/>
  <c r="BO37" i="4"/>
  <c r="BP37" i="4"/>
  <c r="BQ37" i="4"/>
  <c r="BR37" i="4"/>
  <c r="BS37" i="4"/>
  <c r="BT37" i="4"/>
  <c r="BU37" i="4"/>
  <c r="BV37" i="4"/>
  <c r="BW37" i="4"/>
  <c r="BX37" i="4"/>
  <c r="BY37" i="4"/>
  <c r="BZ37" i="4"/>
  <c r="CA37" i="4"/>
  <c r="CB37" i="4"/>
  <c r="CC37" i="4"/>
  <c r="CD37" i="4"/>
  <c r="CE37" i="4"/>
  <c r="CF37" i="4"/>
  <c r="CG37" i="4"/>
  <c r="CH37" i="4"/>
  <c r="CI37" i="4"/>
  <c r="CJ37" i="4"/>
  <c r="CK37" i="4"/>
  <c r="CL37" i="4"/>
  <c r="CM37" i="4"/>
  <c r="CN37" i="4"/>
  <c r="CO37" i="4"/>
  <c r="CP37" i="4"/>
  <c r="CQ37" i="4"/>
  <c r="CR37" i="4"/>
  <c r="CS37" i="4"/>
  <c r="CT37" i="4"/>
  <c r="CU37" i="4"/>
  <c r="CV37" i="4"/>
  <c r="CW37" i="4"/>
  <c r="CX37" i="4"/>
  <c r="CY37" i="4"/>
  <c r="CZ37" i="4"/>
  <c r="DA37" i="4"/>
  <c r="DB37" i="4"/>
  <c r="DC37" i="4"/>
  <c r="DD37" i="4"/>
  <c r="DE37" i="4"/>
  <c r="DF37" i="4"/>
  <c r="DG37" i="4"/>
  <c r="DH37" i="4"/>
  <c r="DI37" i="4"/>
  <c r="DJ37" i="4"/>
  <c r="DK37" i="4"/>
  <c r="DL37" i="4"/>
  <c r="DM37" i="4"/>
  <c r="DN37" i="4"/>
  <c r="DO37" i="4"/>
  <c r="DP37" i="4"/>
  <c r="DQ37" i="4"/>
  <c r="DR37" i="4"/>
  <c r="DS37" i="4"/>
  <c r="DT37" i="4"/>
  <c r="DU37" i="4"/>
  <c r="DV37" i="4"/>
  <c r="DW37" i="4"/>
  <c r="DX37" i="4"/>
  <c r="DY37" i="4"/>
  <c r="DZ37" i="4"/>
  <c r="EA37" i="4"/>
  <c r="EB37" i="4"/>
  <c r="EC37" i="4"/>
  <c r="ED37" i="4"/>
  <c r="EE37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AG38" i="4"/>
  <c r="AH38" i="4"/>
  <c r="AI38" i="4"/>
  <c r="AJ38" i="4"/>
  <c r="AK38" i="4"/>
  <c r="AL38" i="4"/>
  <c r="AM38" i="4"/>
  <c r="AN38" i="4"/>
  <c r="AO38" i="4"/>
  <c r="AP38" i="4"/>
  <c r="AQ38" i="4"/>
  <c r="AR38" i="4"/>
  <c r="AS38" i="4"/>
  <c r="AT38" i="4"/>
  <c r="AU38" i="4"/>
  <c r="AV38" i="4"/>
  <c r="AW38" i="4"/>
  <c r="AX38" i="4"/>
  <c r="AY38" i="4"/>
  <c r="AZ38" i="4"/>
  <c r="BA38" i="4"/>
  <c r="BB38" i="4"/>
  <c r="BC38" i="4"/>
  <c r="BD38" i="4"/>
  <c r="BE38" i="4"/>
  <c r="BF38" i="4"/>
  <c r="BG38" i="4"/>
  <c r="BH38" i="4"/>
  <c r="BI38" i="4"/>
  <c r="BJ38" i="4"/>
  <c r="BK38" i="4"/>
  <c r="BL38" i="4"/>
  <c r="BM38" i="4"/>
  <c r="BN38" i="4"/>
  <c r="BO38" i="4"/>
  <c r="BP38" i="4"/>
  <c r="BQ38" i="4"/>
  <c r="BR38" i="4"/>
  <c r="BS38" i="4"/>
  <c r="BT38" i="4"/>
  <c r="BU38" i="4"/>
  <c r="BV38" i="4"/>
  <c r="BW38" i="4"/>
  <c r="BX38" i="4"/>
  <c r="BY38" i="4"/>
  <c r="BZ38" i="4"/>
  <c r="CA38" i="4"/>
  <c r="CB38" i="4"/>
  <c r="CC38" i="4"/>
  <c r="CD38" i="4"/>
  <c r="CE38" i="4"/>
  <c r="CF38" i="4"/>
  <c r="CG38" i="4"/>
  <c r="CH38" i="4"/>
  <c r="CI38" i="4"/>
  <c r="CJ38" i="4"/>
  <c r="CK38" i="4"/>
  <c r="CL38" i="4"/>
  <c r="CM38" i="4"/>
  <c r="CN38" i="4"/>
  <c r="CO38" i="4"/>
  <c r="CP38" i="4"/>
  <c r="CQ38" i="4"/>
  <c r="CR38" i="4"/>
  <c r="CS38" i="4"/>
  <c r="CT38" i="4"/>
  <c r="CU38" i="4"/>
  <c r="CV38" i="4"/>
  <c r="CW38" i="4"/>
  <c r="CX38" i="4"/>
  <c r="CY38" i="4"/>
  <c r="CZ38" i="4"/>
  <c r="DA38" i="4"/>
  <c r="DB38" i="4"/>
  <c r="DC38" i="4"/>
  <c r="DD38" i="4"/>
  <c r="DE38" i="4"/>
  <c r="DF38" i="4"/>
  <c r="DG38" i="4"/>
  <c r="DH38" i="4"/>
  <c r="DI38" i="4"/>
  <c r="DJ38" i="4"/>
  <c r="DK38" i="4"/>
  <c r="DL38" i="4"/>
  <c r="DM38" i="4"/>
  <c r="DN38" i="4"/>
  <c r="DO38" i="4"/>
  <c r="DP38" i="4"/>
  <c r="DQ38" i="4"/>
  <c r="DR38" i="4"/>
  <c r="DS38" i="4"/>
  <c r="DT38" i="4"/>
  <c r="DU38" i="4"/>
  <c r="DV38" i="4"/>
  <c r="DW38" i="4"/>
  <c r="DX38" i="4"/>
  <c r="DY38" i="4"/>
  <c r="DZ38" i="4"/>
  <c r="EA38" i="4"/>
  <c r="EB38" i="4"/>
  <c r="EC38" i="4"/>
  <c r="ED38" i="4"/>
  <c r="EE38" i="4"/>
  <c r="D39" i="4" a="1"/>
  <c r="D39" i="4" s="1"/>
  <c r="E39" i="4" a="1"/>
  <c r="E39" i="4" s="1"/>
  <c r="F39" i="4" a="1"/>
  <c r="F39" i="4" s="1"/>
  <c r="G39" i="4" a="1"/>
  <c r="G39" i="4" s="1"/>
  <c r="H39" i="4" a="1"/>
  <c r="H39" i="4" s="1"/>
  <c r="I39" i="4" a="1"/>
  <c r="I39" i="4" s="1"/>
  <c r="J39" i="4" a="1"/>
  <c r="J39" i="4" s="1"/>
  <c r="K39" i="4" a="1"/>
  <c r="K39" i="4" s="1"/>
  <c r="L39" i="4" a="1"/>
  <c r="L39" i="4" s="1"/>
  <c r="M39" i="4" a="1"/>
  <c r="M39" i="4" s="1"/>
  <c r="N39" i="4" a="1"/>
  <c r="N39" i="4" s="1"/>
  <c r="O39" i="4" a="1"/>
  <c r="O39" i="4" s="1"/>
  <c r="P39" i="4" a="1"/>
  <c r="P39" i="4" s="1"/>
  <c r="Q39" i="4" a="1"/>
  <c r="Q39" i="4" s="1"/>
  <c r="R39" i="4" a="1"/>
  <c r="R39" i="4" s="1"/>
  <c r="S39" i="4" a="1"/>
  <c r="S39" i="4" s="1"/>
  <c r="T39" i="4" a="1"/>
  <c r="T39" i="4" s="1"/>
  <c r="U39" i="4" a="1"/>
  <c r="U39" i="4" s="1"/>
  <c r="V39" i="4" a="1"/>
  <c r="V39" i="4" s="1"/>
  <c r="W39" i="4" a="1"/>
  <c r="W39" i="4" s="1"/>
  <c r="X39" i="4" a="1"/>
  <c r="X39" i="4" s="1"/>
  <c r="Y39" i="4" a="1"/>
  <c r="Y39" i="4" s="1"/>
  <c r="Z39" i="4" a="1"/>
  <c r="Z39" i="4" s="1"/>
  <c r="AA39" i="4" a="1"/>
  <c r="AA39" i="4" s="1"/>
  <c r="AB39" i="4" a="1"/>
  <c r="AB39" i="4" s="1"/>
  <c r="AC39" i="4" a="1"/>
  <c r="AC39" i="4" s="1"/>
  <c r="AD39" i="4" a="1"/>
  <c r="AD39" i="4" s="1"/>
  <c r="AE39" i="4" a="1"/>
  <c r="AE39" i="4" s="1"/>
  <c r="AF39" i="4" a="1"/>
  <c r="AF39" i="4" s="1"/>
  <c r="AG39" i="4" a="1"/>
  <c r="AG39" i="4" s="1"/>
  <c r="AH39" i="4" a="1"/>
  <c r="AH39" i="4" s="1"/>
  <c r="AI39" i="4" a="1"/>
  <c r="AI39" i="4" s="1"/>
  <c r="AJ39" i="4" a="1"/>
  <c r="AJ39" i="4" s="1"/>
  <c r="AK39" i="4" a="1"/>
  <c r="AK39" i="4" s="1"/>
  <c r="AL39" i="4" a="1"/>
  <c r="AL39" i="4" s="1"/>
  <c r="AM39" i="4" a="1"/>
  <c r="AM39" i="4" s="1"/>
  <c r="AN39" i="4" a="1"/>
  <c r="AN39" i="4" s="1"/>
  <c r="AO39" i="4" a="1"/>
  <c r="AO39" i="4" s="1"/>
  <c r="AP39" i="4" a="1"/>
  <c r="AP39" i="4" s="1"/>
  <c r="AQ39" i="4" a="1"/>
  <c r="AQ39" i="4" s="1"/>
  <c r="AR39" i="4" a="1"/>
  <c r="AR39" i="4" s="1"/>
  <c r="AS39" i="4" a="1"/>
  <c r="AS39" i="4" s="1"/>
  <c r="AT39" i="4" a="1"/>
  <c r="AT39" i="4" s="1"/>
  <c r="AU39" i="4" a="1"/>
  <c r="AU39" i="4" s="1"/>
  <c r="AV39" i="4" a="1"/>
  <c r="AV39" i="4" s="1"/>
  <c r="AW39" i="4" a="1"/>
  <c r="AW39" i="4" s="1"/>
  <c r="AX39" i="4" a="1"/>
  <c r="AX39" i="4" s="1"/>
  <c r="AY39" i="4" a="1"/>
  <c r="AY39" i="4" s="1"/>
  <c r="AZ39" i="4" a="1"/>
  <c r="AZ39" i="4" s="1"/>
  <c r="BA39" i="4" a="1"/>
  <c r="BA39" i="4" s="1"/>
  <c r="BB39" i="4" a="1"/>
  <c r="BB39" i="4" s="1"/>
  <c r="BC39" i="4" a="1"/>
  <c r="BC39" i="4" s="1"/>
  <c r="BD39" i="4" a="1"/>
  <c r="BD39" i="4" s="1"/>
  <c r="BE39" i="4" a="1"/>
  <c r="BE39" i="4" s="1"/>
  <c r="BF39" i="4" a="1"/>
  <c r="BF39" i="4" s="1"/>
  <c r="BG39" i="4" a="1"/>
  <c r="BG39" i="4" s="1"/>
  <c r="BH39" i="4" a="1"/>
  <c r="BH39" i="4" s="1"/>
  <c r="BI39" i="4" a="1"/>
  <c r="BI39" i="4" s="1"/>
  <c r="BJ39" i="4" a="1"/>
  <c r="BJ39" i="4" s="1"/>
  <c r="BK39" i="4" a="1"/>
  <c r="BK39" i="4" s="1"/>
  <c r="BL39" i="4" a="1"/>
  <c r="BL39" i="4" s="1"/>
  <c r="BM39" i="4" a="1"/>
  <c r="BM39" i="4" s="1"/>
  <c r="BN39" i="4" a="1"/>
  <c r="BN39" i="4" s="1"/>
  <c r="BO39" i="4" a="1"/>
  <c r="BO39" i="4" s="1"/>
  <c r="BP39" i="4" a="1"/>
  <c r="BP39" i="4" s="1"/>
  <c r="BQ39" i="4" a="1"/>
  <c r="BQ39" i="4" s="1"/>
  <c r="BR39" i="4" a="1"/>
  <c r="BR39" i="4" s="1"/>
  <c r="BS39" i="4" a="1"/>
  <c r="BS39" i="4" s="1"/>
  <c r="BT39" i="4" a="1"/>
  <c r="BT39" i="4" s="1"/>
  <c r="BU39" i="4" a="1"/>
  <c r="BU39" i="4" s="1"/>
  <c r="BV39" i="4" a="1"/>
  <c r="BV39" i="4" s="1"/>
  <c r="BW39" i="4" a="1"/>
  <c r="BW39" i="4" s="1"/>
  <c r="BX39" i="4" a="1"/>
  <c r="BX39" i="4" s="1"/>
  <c r="BY39" i="4" a="1"/>
  <c r="BY39" i="4" s="1"/>
  <c r="BZ39" i="4" a="1"/>
  <c r="BZ39" i="4" s="1"/>
  <c r="CA39" i="4" a="1"/>
  <c r="CA39" i="4" s="1"/>
  <c r="CB39" i="4" a="1"/>
  <c r="CB39" i="4" s="1"/>
  <c r="CC39" i="4" a="1"/>
  <c r="CC39" i="4" s="1"/>
  <c r="CD39" i="4" a="1"/>
  <c r="CD39" i="4" s="1"/>
  <c r="CE39" i="4" a="1"/>
  <c r="CE39" i="4" s="1"/>
  <c r="CF39" i="4" a="1"/>
  <c r="CF39" i="4" s="1"/>
  <c r="CG39" i="4" a="1"/>
  <c r="CG39" i="4" s="1"/>
  <c r="CH39" i="4" a="1"/>
  <c r="CH39" i="4" s="1"/>
  <c r="CI39" i="4" a="1"/>
  <c r="CI39" i="4" s="1"/>
  <c r="CJ39" i="4" a="1"/>
  <c r="CJ39" i="4" s="1"/>
  <c r="CK39" i="4" a="1"/>
  <c r="CK39" i="4" s="1"/>
  <c r="CL39" i="4" a="1"/>
  <c r="CL39" i="4" s="1"/>
  <c r="CM39" i="4" a="1"/>
  <c r="CM39" i="4" s="1"/>
  <c r="CN39" i="4" a="1"/>
  <c r="CN39" i="4" s="1"/>
  <c r="CO39" i="4" a="1"/>
  <c r="CO39" i="4" s="1"/>
  <c r="CP39" i="4" a="1"/>
  <c r="CP39" i="4" s="1"/>
  <c r="CQ39" i="4" a="1"/>
  <c r="CQ39" i="4" s="1"/>
  <c r="CR39" i="4" a="1"/>
  <c r="CR39" i="4" s="1"/>
  <c r="CS39" i="4" a="1"/>
  <c r="CS39" i="4" s="1"/>
  <c r="CT39" i="4" a="1"/>
  <c r="CT39" i="4" s="1"/>
  <c r="CU39" i="4" a="1"/>
  <c r="CU39" i="4" s="1"/>
  <c r="CV39" i="4" a="1"/>
  <c r="CV39" i="4" s="1"/>
  <c r="CW39" i="4" a="1"/>
  <c r="CW39" i="4" s="1"/>
  <c r="CX39" i="4" a="1"/>
  <c r="CX39" i="4" s="1"/>
  <c r="CY39" i="4" a="1"/>
  <c r="CY39" i="4" s="1"/>
  <c r="CZ39" i="4" a="1"/>
  <c r="CZ39" i="4" s="1"/>
  <c r="DA39" i="4" a="1"/>
  <c r="DA39" i="4" s="1"/>
  <c r="DB39" i="4" a="1"/>
  <c r="DB39" i="4" s="1"/>
  <c r="DC39" i="4" a="1"/>
  <c r="DC39" i="4" s="1"/>
  <c r="DD39" i="4" a="1"/>
  <c r="DD39" i="4" s="1"/>
  <c r="DE39" i="4" a="1"/>
  <c r="DE39" i="4" s="1"/>
  <c r="DF39" i="4" a="1"/>
  <c r="DF39" i="4" s="1"/>
  <c r="DG39" i="4" a="1"/>
  <c r="DG39" i="4" s="1"/>
  <c r="DH39" i="4" a="1"/>
  <c r="DH39" i="4" s="1"/>
  <c r="DI39" i="4" a="1"/>
  <c r="DI39" i="4" s="1"/>
  <c r="DJ39" i="4" a="1"/>
  <c r="DJ39" i="4" s="1"/>
  <c r="DK39" i="4" a="1"/>
  <c r="DK39" i="4" s="1"/>
  <c r="DL39" i="4" a="1"/>
  <c r="DL39" i="4" s="1"/>
  <c r="DM39" i="4" a="1"/>
  <c r="DM39" i="4" s="1"/>
  <c r="DN39" i="4" a="1"/>
  <c r="DN39" i="4" s="1"/>
  <c r="DO39" i="4"/>
  <c r="DP39" i="4" a="1"/>
  <c r="DP39" i="4" s="1"/>
  <c r="DQ39" i="4" a="1"/>
  <c r="DQ39" i="4" s="1"/>
  <c r="DR39" i="4" a="1"/>
  <c r="DR39" i="4" s="1"/>
  <c r="DS39" i="4" a="1"/>
  <c r="DS39" i="4" s="1"/>
  <c r="DT39" i="4" a="1"/>
  <c r="DT39" i="4" s="1"/>
  <c r="DU39" i="4" a="1"/>
  <c r="DU39" i="4" s="1"/>
  <c r="DV39" i="4" a="1"/>
  <c r="DV39" i="4" s="1"/>
  <c r="DW39" i="4" a="1"/>
  <c r="DW39" i="4" s="1"/>
  <c r="DX39" i="4" a="1"/>
  <c r="DX39" i="4" s="1"/>
  <c r="DY39" i="4" a="1"/>
  <c r="DY39" i="4" s="1"/>
  <c r="DZ39" i="4" a="1"/>
  <c r="DZ39" i="4" s="1"/>
  <c r="EA39" i="4" a="1"/>
  <c r="EA39" i="4" s="1"/>
  <c r="EB39" i="4" a="1"/>
  <c r="EB39" i="4" s="1"/>
  <c r="EC39" i="4" a="1"/>
  <c r="EC39" i="4" s="1"/>
  <c r="ED39" i="4" a="1"/>
  <c r="ED39" i="4" s="1"/>
  <c r="EE39" i="4" a="1"/>
  <c r="EE39" i="4" s="1"/>
  <c r="C2" i="3"/>
  <c r="D6" i="3"/>
  <c r="C7" i="2"/>
  <c r="C2" i="2"/>
  <c r="C11" i="2"/>
  <c r="D7" i="4"/>
  <c r="E7" i="4" s="1"/>
  <c r="F7" i="4" s="1"/>
  <c r="G7" i="4" s="1"/>
  <c r="H7" i="4" s="1"/>
  <c r="I7" i="4" s="1"/>
  <c r="J7" i="4" s="1"/>
  <c r="K7" i="4" s="1"/>
  <c r="L7" i="4" s="1"/>
  <c r="M7" i="4" s="1"/>
  <c r="C12" i="2"/>
  <c r="C13" i="2"/>
  <c r="C14" i="2"/>
  <c r="C15" i="2"/>
  <c r="C16" i="2"/>
  <c r="C17" i="2"/>
  <c r="C18" i="2"/>
  <c r="C19" i="2"/>
  <c r="C20" i="2"/>
  <c r="C21" i="2"/>
  <c r="C22" i="2"/>
  <c r="C12" i="3" l="1"/>
  <c r="D12" i="3" s="1"/>
  <c r="C32" i="3"/>
  <c r="D32" i="3" s="1"/>
  <c r="E32" i="3" s="1"/>
  <c r="F32" i="3" s="1"/>
  <c r="G32" i="3" s="1"/>
  <c r="H32" i="3" s="1"/>
  <c r="I32" i="3" s="1"/>
  <c r="J32" i="3" s="1"/>
  <c r="K32" i="3" s="1"/>
  <c r="L32" i="3" s="1"/>
  <c r="M32" i="3" s="1"/>
  <c r="P32" i="3" s="1"/>
  <c r="Q32" i="3" s="1"/>
  <c r="C72" i="3"/>
  <c r="D72" i="3" s="1"/>
  <c r="E72" i="3" s="1"/>
  <c r="F72" i="3" s="1"/>
  <c r="C52" i="3"/>
  <c r="D52" i="3" s="1"/>
  <c r="E52" i="3" s="1"/>
  <c r="E12" i="3"/>
  <c r="G72" i="3" l="1"/>
  <c r="F12" i="3"/>
  <c r="F52" i="3"/>
  <c r="G12" i="3" l="1"/>
  <c r="G52" i="3"/>
  <c r="H72" i="3"/>
  <c r="I72" i="3" l="1"/>
  <c r="H12" i="3"/>
  <c r="H52" i="3"/>
  <c r="I52" i="3" l="1"/>
  <c r="I12" i="3"/>
  <c r="J72" i="3"/>
  <c r="K72" i="3" l="1"/>
  <c r="J12" i="3"/>
  <c r="J52" i="3"/>
  <c r="K12" i="3" l="1"/>
  <c r="K52" i="3"/>
  <c r="L72" i="3"/>
  <c r="M72" i="3" l="1"/>
  <c r="L52" i="3"/>
  <c r="L12" i="3"/>
  <c r="M12" i="3" l="1"/>
  <c r="P72" i="3"/>
  <c r="Q72" i="3" s="1"/>
  <c r="M52" i="3"/>
  <c r="N7" i="4" l="1"/>
  <c r="P52" i="3"/>
  <c r="Q52" i="3" s="1"/>
  <c r="P12" i="3"/>
  <c r="Q12" i="3" s="1"/>
  <c r="O7" i="4" l="1"/>
  <c r="P7" i="4" l="1"/>
  <c r="Q7" i="4" l="1"/>
  <c r="R7" i="4" l="1"/>
  <c r="S7" i="4" l="1"/>
  <c r="T7" i="4" l="1"/>
  <c r="U7" i="4" l="1"/>
  <c r="V7" i="4" l="1"/>
  <c r="W7" i="4" l="1"/>
  <c r="X7" i="4" l="1"/>
  <c r="Y7" i="4" l="1"/>
  <c r="Z7" i="4" l="1"/>
  <c r="AA7" i="4" l="1"/>
  <c r="AB7" i="4" l="1"/>
  <c r="AC7" i="4" l="1"/>
  <c r="AD7" i="4" l="1"/>
  <c r="AE7" i="4" l="1"/>
  <c r="AF7" i="4" l="1"/>
  <c r="AG7" i="4" l="1"/>
  <c r="AH7" i="4" l="1"/>
  <c r="AI7" i="4" l="1"/>
  <c r="AJ7" i="4" l="1"/>
  <c r="AK7" i="4" l="1"/>
  <c r="AL7" i="4" l="1"/>
  <c r="AM7" i="4" l="1"/>
  <c r="AN7" i="4" l="1"/>
  <c r="AO7" i="4" l="1"/>
  <c r="AP7" i="4" l="1"/>
  <c r="AQ7" i="4" l="1"/>
  <c r="AR7" i="4" l="1"/>
  <c r="AS7" i="4" l="1"/>
  <c r="AT7" i="4" l="1"/>
  <c r="AU7" i="4" l="1"/>
  <c r="AV7" i="4" l="1"/>
  <c r="AW7" i="4" l="1"/>
  <c r="AX7" i="4" l="1"/>
  <c r="AY7" i="4" l="1"/>
  <c r="AZ7" i="4" l="1"/>
  <c r="BA7" i="4" l="1"/>
  <c r="BB7" i="4" l="1"/>
  <c r="BC7" i="4" l="1"/>
  <c r="BD7" i="4" l="1"/>
  <c r="BE7" i="4" l="1"/>
  <c r="BF7" i="4" l="1"/>
  <c r="BG7" i="4" l="1"/>
  <c r="BH7" i="4" l="1"/>
  <c r="BI7" i="4" l="1"/>
  <c r="BJ7" i="4" l="1"/>
  <c r="BK7" i="4" l="1"/>
  <c r="BL7" i="4" l="1"/>
  <c r="BM7" i="4" l="1"/>
  <c r="BN7" i="4" l="1"/>
  <c r="BO7" i="4" l="1"/>
  <c r="BP7" i="4" l="1"/>
  <c r="BQ7" i="4" l="1"/>
  <c r="BR7" i="4" l="1"/>
  <c r="BS7" i="4" l="1"/>
  <c r="BT7" i="4" l="1"/>
  <c r="BU7" i="4" l="1"/>
  <c r="BV7" i="4" l="1"/>
  <c r="BW7" i="4" l="1"/>
  <c r="BX7" i="4" l="1"/>
  <c r="BY7" i="4" l="1"/>
  <c r="BZ7" i="4" l="1"/>
  <c r="CA7" i="4" l="1"/>
  <c r="CB7" i="4" l="1"/>
  <c r="CC7" i="4" l="1"/>
  <c r="CD7" i="4" l="1"/>
  <c r="CE7" i="4" l="1"/>
  <c r="CF7" i="4" l="1"/>
  <c r="CG7" i="4" l="1"/>
  <c r="CH7" i="4" l="1"/>
  <c r="CI7" i="4" l="1"/>
  <c r="CJ7" i="4" l="1"/>
  <c r="CK7" i="4" l="1"/>
  <c r="CL7" i="4" l="1"/>
  <c r="CM7" i="4" l="1"/>
  <c r="CN7" i="4" l="1"/>
  <c r="CO7" i="4" l="1"/>
  <c r="CP7" i="4" l="1"/>
  <c r="CQ7" i="4" l="1"/>
  <c r="CR7" i="4" l="1"/>
  <c r="CS7" i="4" l="1"/>
  <c r="CT7" i="4" l="1"/>
  <c r="CU7" i="4" l="1"/>
  <c r="CV7" i="4" l="1"/>
  <c r="CW7" i="4" l="1"/>
  <c r="CX7" i="4" l="1"/>
  <c r="CY7" i="4" l="1"/>
  <c r="CZ7" i="4" l="1"/>
  <c r="DA7" i="4" l="1"/>
  <c r="DB7" i="4" l="1"/>
  <c r="DC7" i="4" l="1"/>
  <c r="DD7" i="4" l="1"/>
  <c r="DE7" i="4" l="1"/>
  <c r="DF7" i="4" l="1"/>
  <c r="DG7" i="4" l="1"/>
  <c r="DH7" i="4" l="1"/>
  <c r="DI7" i="4" l="1"/>
  <c r="DJ7" i="4" l="1"/>
  <c r="DK7" i="4" l="1"/>
  <c r="DL7" i="4" l="1"/>
  <c r="DM7" i="4" l="1"/>
  <c r="DN7" i="4" l="1"/>
  <c r="DO7" i="4" l="1"/>
  <c r="DP7" i="4" l="1"/>
  <c r="DQ7" i="4" l="1"/>
  <c r="DR7" i="4" l="1"/>
  <c r="DS7" i="4" l="1"/>
  <c r="DT7" i="4" l="1"/>
  <c r="DU7" i="4" l="1"/>
  <c r="DV7" i="4" l="1"/>
  <c r="DW7" i="4" l="1"/>
  <c r="DX7" i="4" l="1"/>
  <c r="DY7" i="4" l="1"/>
  <c r="DZ7" i="4" l="1"/>
  <c r="EA7" i="4" l="1"/>
  <c r="EB7" i="4" l="1"/>
  <c r="EC7" i="4" l="1"/>
  <c r="ED7" i="4" l="1"/>
  <c r="EE7" i="4" l="1"/>
  <c r="P33" i="3" l="1"/>
  <c r="P53" i="3"/>
  <c r="H73" i="3"/>
  <c r="M13" i="3"/>
  <c r="I13" i="3"/>
  <c r="G53" i="3"/>
  <c r="E53" i="3"/>
  <c r="K73" i="3"/>
  <c r="P73" i="3"/>
  <c r="E13" i="3"/>
  <c r="Q33" i="3"/>
  <c r="Q73" i="3"/>
  <c r="L33" i="3"/>
  <c r="K53" i="3"/>
  <c r="M73" i="3"/>
  <c r="F33" i="3"/>
  <c r="M33" i="3"/>
  <c r="I53" i="3"/>
  <c r="F73" i="3"/>
  <c r="G13" i="3"/>
  <c r="I73" i="3"/>
  <c r="D73" i="3"/>
  <c r="D53" i="3"/>
  <c r="L13" i="3"/>
  <c r="P13" i="3"/>
  <c r="G73" i="3"/>
  <c r="J13" i="3"/>
  <c r="I33" i="3"/>
  <c r="F53" i="3"/>
  <c r="H53" i="3"/>
  <c r="Q13" i="3"/>
  <c r="G33" i="3"/>
  <c r="D33" i="3"/>
  <c r="L73" i="3"/>
  <c r="C13" i="3"/>
  <c r="K33" i="3"/>
  <c r="Q53" i="3"/>
  <c r="C73" i="3"/>
  <c r="E33" i="3"/>
  <c r="L53" i="3"/>
  <c r="J53" i="3"/>
  <c r="E73" i="3"/>
  <c r="K13" i="3"/>
  <c r="H33" i="3"/>
  <c r="D13" i="3"/>
  <c r="M53" i="3"/>
  <c r="J33" i="3"/>
  <c r="C53" i="3"/>
  <c r="F13" i="3"/>
  <c r="H13" i="3"/>
  <c r="C33" i="3"/>
  <c r="J73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<sst xmlns="http://schemas.openxmlformats.org/spreadsheetml/2006/main" count="95" uniqueCount="70">
  <si>
    <t>Choose your colour scheme:</t>
  </si>
  <si>
    <t>Copyright: Veera Seaman</t>
  </si>
  <si>
    <t>Year</t>
  </si>
  <si>
    <t>Month</t>
  </si>
  <si>
    <t>#</t>
  </si>
  <si>
    <t xml:space="preserve">Add your logo (please resize to fit): </t>
  </si>
  <si>
    <t>Header</t>
  </si>
  <si>
    <t>Highlight</t>
  </si>
  <si>
    <t>Month and year</t>
  </si>
  <si>
    <t>Select year to view:</t>
  </si>
  <si>
    <t>Select month to view:</t>
  </si>
  <si>
    <t>Number of registered customers</t>
  </si>
  <si>
    <t>Percentage of customer base growth from previous month</t>
  </si>
  <si>
    <t>Number of customers visiting store for a second of subsequent time</t>
  </si>
  <si>
    <t xml:space="preserve">Add your indicator names below: </t>
  </si>
  <si>
    <r>
      <t xml:space="preserve">Insert your data here. You can give your indicators their own </t>
    </r>
    <r>
      <rPr>
        <b/>
        <sz val="12"/>
        <color theme="1"/>
        <rFont val="Aptos Narrow"/>
        <family val="2"/>
        <scheme val="minor"/>
      </rPr>
      <t>identifier (KPI ID)</t>
    </r>
    <r>
      <rPr>
        <sz val="11"/>
        <color theme="1"/>
        <rFont val="Aptos Narrow"/>
        <family val="2"/>
        <scheme val="minor"/>
      </rPr>
      <t xml:space="preserve"> or use the ones listed below. </t>
    </r>
  </si>
  <si>
    <t>KPI ID 1</t>
  </si>
  <si>
    <t>KPI ID 1 %</t>
  </si>
  <si>
    <t>KPI ID 3</t>
  </si>
  <si>
    <t>KPI ID 4 %</t>
  </si>
  <si>
    <t>KPI ID 5</t>
  </si>
  <si>
    <t>KPI ID 6</t>
  </si>
  <si>
    <t>KPI ID 7</t>
  </si>
  <si>
    <t>KPI ID 8 %</t>
  </si>
  <si>
    <t>KPI ID 9 %</t>
  </si>
  <si>
    <t>KPI ID 10</t>
  </si>
  <si>
    <t>KPI ID 11</t>
  </si>
  <si>
    <t>KPI ID 12 %</t>
  </si>
  <si>
    <t>KPI ID 13</t>
  </si>
  <si>
    <t>KPI ID 14</t>
  </si>
  <si>
    <t>KPI ID 15</t>
  </si>
  <si>
    <t>KPI ID 16 %</t>
  </si>
  <si>
    <t>KPI ID 17</t>
  </si>
  <si>
    <t>KPI ID 18</t>
  </si>
  <si>
    <t>KPI ID 19 %</t>
  </si>
  <si>
    <t>KPI ID 20 %</t>
  </si>
  <si>
    <t>KPI ID 21 %</t>
  </si>
  <si>
    <t>KPI ID 22</t>
  </si>
  <si>
    <t>KPI ID 23 R</t>
  </si>
  <si>
    <t>KPI ID 24</t>
  </si>
  <si>
    <t>KPI ID 25 R</t>
  </si>
  <si>
    <t>KPI ID 26</t>
  </si>
  <si>
    <t>KPI ID 27</t>
  </si>
  <si>
    <t>KPI ID 28 %</t>
  </si>
  <si>
    <t>KPI ID 29 %</t>
  </si>
  <si>
    <t>KPI ID 30</t>
  </si>
  <si>
    <t>KPI ID 31 R</t>
  </si>
  <si>
    <t>KPI ID 32</t>
  </si>
  <si>
    <t>Year calculation (do not edit)</t>
  </si>
  <si>
    <t xml:space="preserve">To set up the list below, please write the start year (replace the current year with the year your data count starts from): </t>
  </si>
  <si>
    <r>
      <t xml:space="preserve">If you want to change the start year, please do so in the </t>
    </r>
    <r>
      <rPr>
        <b/>
        <sz val="12"/>
        <color theme="1"/>
        <rFont val="Aptos Narrow"/>
        <family val="2"/>
        <scheme val="minor"/>
      </rPr>
      <t>Lists</t>
    </r>
    <r>
      <rPr>
        <sz val="11"/>
        <color theme="1"/>
        <rFont val="Aptos Narrow"/>
        <family val="2"/>
        <scheme val="minor"/>
      </rPr>
      <t xml:space="preserve"> tab. </t>
    </r>
  </si>
  <si>
    <t xml:space="preserve">If you would like more options, such as define the start month, please contact me (You will find my contact details in the Contact tab). </t>
  </si>
  <si>
    <t>Copyright</t>
  </si>
  <si>
    <t xml:space="preserve">If you would like more indicators, please contact me (You will find my contact details in the Contact tab). </t>
  </si>
  <si>
    <t>Percentage of customers buying teddy bears</t>
  </si>
  <si>
    <t>Number of teddy bears in stock</t>
  </si>
  <si>
    <t>Number of green handbacks in stock</t>
  </si>
  <si>
    <t>Percentage of faulty items of all stock</t>
  </si>
  <si>
    <t>Percentage of faulty items sent back to manufacturer</t>
  </si>
  <si>
    <t>Number of full-time employees</t>
  </si>
  <si>
    <t>Number of part-fime employees</t>
  </si>
  <si>
    <t xml:space="preserve">Number of all employees </t>
  </si>
  <si>
    <t>Percentage of part-time employees of all employees</t>
  </si>
  <si>
    <t>Example indicator</t>
  </si>
  <si>
    <t>Percentage of value 1 of value 2</t>
  </si>
  <si>
    <t>Number of red beach towels in stock</t>
  </si>
  <si>
    <t xml:space="preserve">Please contact me to discuss dashboard / dataset solutions for your small or medium sized business. </t>
  </si>
  <si>
    <t>veeraseaman@gmail.com</t>
  </si>
  <si>
    <t>January</t>
  </si>
  <si>
    <t>Summer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</si>
</sst>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"/>
      <color theme="0"/>
      <name val="Aptos Narrow"/>
      <family val="2"/>
      <scheme val="minor"/>
    </font>
    <font>
      <i/>
      <sz val="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i/>
      <sz val="11"/>
      <name val="Aptos Narrow"/>
      <family val="2"/>
      <scheme val="minor"/>
    </font>
    <font>
      <i/>
      <sz val="1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/>
      <right/>
      <top style="thin">
        <color auto="1"/>
      </top>
      <bottom/>
      <diagonal/>
    </border>
    <border>
      <left style="thin">
        <color theme="7" tint="0.39994506668294322"/>
      </left>
      <right/>
      <top style="thin">
        <color theme="7" tint="0.39994506668294322"/>
      </top>
      <bottom/>
      <diagonal/>
    </border>
    <border>
      <left/>
      <right/>
      <top style="thin">
        <color theme="7" tint="0.39994506668294322"/>
      </top>
      <bottom/>
      <diagonal/>
    </border>
    <border>
      <left/>
      <right style="thin">
        <color theme="7" tint="0.39994506668294322"/>
      </right>
      <top style="thin">
        <color theme="7" tint="0.39994506668294322"/>
      </top>
      <bottom/>
      <diagonal/>
    </border>
    <border>
      <left style="thin">
        <color theme="7" tint="0.39994506668294322"/>
      </left>
      <right/>
      <top/>
      <bottom/>
      <diagonal/>
    </border>
    <border>
      <left/>
      <right style="thin">
        <color theme="7" tint="0.39994506668294322"/>
      </right>
      <top/>
      <bottom/>
      <diagonal/>
    </border>
    <border>
      <left style="thin">
        <color theme="7" tint="0.39994506668294322"/>
      </left>
      <right/>
      <top/>
      <bottom style="thin">
        <color theme="7" tint="0.39994506668294322"/>
      </bottom>
      <diagonal/>
    </border>
    <border>
      <left/>
      <right/>
      <top/>
      <bottom style="thin">
        <color theme="7" tint="0.39994506668294322"/>
      </bottom>
      <diagonal/>
    </border>
    <border>
      <left/>
      <right style="thin">
        <color theme="7" tint="0.39994506668294322"/>
      </right>
      <top/>
      <bottom style="thin">
        <color theme="7" tint="0.39994506668294322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52">
    <xf numFmtId="0" fontId="0" fillId="0" borderId="0" xfId="0"/>
    <xf numFmtId="0" fontId="1" fillId="0" borderId="0" xfId="0" applyFont="1"/>
    <xf numFmtId="0" fontId="3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horizontal="right" vertical="top" wrapText="1"/>
    </xf>
    <xf numFmtId="0" fontId="0" fillId="0" borderId="0" xfId="0" applyAlignment="1">
      <alignment wrapText="1"/>
    </xf>
    <xf numFmtId="0" fontId="0" fillId="0" borderId="2" xfId="0" applyBorder="1"/>
    <xf numFmtId="0" fontId="4" fillId="0" borderId="0" xfId="0" applyFont="1"/>
    <xf numFmtId="0" fontId="2" fillId="0" borderId="0" xfId="0" applyFont="1"/>
    <xf numFmtId="0" fontId="0" fillId="0" borderId="1" xfId="0" applyBorder="1" applyAlignment="1" applyProtection="1">
      <alignment vertical="top"/>
    </xf>
    <xf numFmtId="1" fontId="0" fillId="0" borderId="1" xfId="0" applyNumberFormat="1" applyBorder="1" applyAlignment="1" applyProtection="1">
      <alignment vertical="top"/>
    </xf>
    <xf numFmtId="14" fontId="0" fillId="0" borderId="1" xfId="0" applyNumberFormat="1" applyBorder="1" applyAlignment="1" applyProtection="1">
      <alignment vertical="top"/>
    </xf>
    <xf numFmtId="1" fontId="0" fillId="0" borderId="1" xfId="0" applyNumberFormat="1" applyBorder="1" applyAlignment="1" applyProtection="1">
      <alignment horizontal="center" vertical="top"/>
    </xf>
    <xf numFmtId="1" fontId="0" fillId="0" borderId="0" xfId="0" applyNumberFormat="1" applyAlignment="1" applyProtection="1">
      <alignment horizontal="center" vertical="top"/>
    </xf>
    <xf numFmtId="0" fontId="5" fillId="3" borderId="0" xfId="0" applyFont="1" applyFill="1" applyAlignment="1">
      <alignment horizontal="center" vertical="top"/>
    </xf>
    <xf numFmtId="0" fontId="5" fillId="3" borderId="0" xfId="0" applyFont="1" applyFill="1" applyAlignment="1">
      <alignment vertical="top"/>
    </xf>
    <xf numFmtId="0" fontId="0" fillId="0" borderId="0" xfId="0" applyAlignment="1">
      <alignment vertical="top" wrapText="1"/>
    </xf>
    <xf numFmtId="2" fontId="0" fillId="0" borderId="0" xfId="0" applyNumberFormat="1" applyAlignment="1">
      <alignment horizontal="center" vertical="top"/>
    </xf>
    <xf numFmtId="0" fontId="0" fillId="4" borderId="0" xfId="0" applyFill="1" applyAlignment="1" applyProtection="1">
      <alignment horizontal="right" indent="3"/>
      <protection locked="0"/>
    </xf>
    <xf numFmtId="0" fontId="1" fillId="2" borderId="0" xfId="0" applyFont="1" applyFill="1" applyAlignment="1">
      <alignment horizontal="center" vertical="top"/>
    </xf>
    <xf numFmtId="49" fontId="0" fillId="0" borderId="0" xfId="0" applyNumberFormat="1"/>
    <xf numFmtId="0" fontId="0" fillId="4" borderId="0" xfId="0" applyFill="1" applyAlignment="1">
      <alignment horizontal="right" vertical="top" indent="2"/>
    </xf>
    <xf numFmtId="0" fontId="0" fillId="4" borderId="0" xfId="0" applyFill="1" applyAlignment="1">
      <alignment horizontal="right" indent="2"/>
    </xf>
    <xf numFmtId="0" fontId="0" fillId="0" borderId="0" xfId="0" applyAlignment="1">
      <alignment horizontal="center" vertical="top"/>
    </xf>
    <xf numFmtId="17" fontId="0" fillId="0" borderId="0" xfId="0" applyNumberFormat="1"/>
    <xf numFmtId="0" fontId="1" fillId="0" borderId="0" xfId="0" applyFont="1" applyAlignment="1">
      <alignment horizontal="left" indent="5"/>
    </xf>
    <xf numFmtId="0" fontId="7" fillId="3" borderId="0" xfId="0" applyFont="1" applyFill="1" applyAlignment="1">
      <alignment vertical="top"/>
    </xf>
    <xf numFmtId="0" fontId="0" fillId="0" borderId="0" xfId="0" applyAlignment="1">
      <alignment horizontal="center" vertical="top" wrapText="1"/>
    </xf>
    <xf numFmtId="0" fontId="7" fillId="3" borderId="0" xfId="0" applyFont="1" applyFill="1" applyAlignment="1">
      <alignment horizontal="right" vertical="top" wrapText="1"/>
    </xf>
    <xf numFmtId="0" fontId="4" fillId="0" borderId="0" xfId="0" applyFont="1" applyProtection="1"/>
    <xf numFmtId="0" fontId="6" fillId="0" borderId="0" xfId="0" applyFont="1" applyAlignment="1">
      <alignment horizontal="left" vertical="top" indent="1"/>
    </xf>
    <xf numFmtId="0" fontId="10" fillId="0" borderId="0" xfId="0" applyFont="1" applyAlignment="1">
      <alignment horizontal="center" vertical="top"/>
    </xf>
    <xf numFmtId="0" fontId="6" fillId="0" borderId="0" xfId="0" applyFont="1" applyAlignment="1">
      <alignment horizontal="left" vertical="top"/>
    </xf>
    <xf numFmtId="0" fontId="11" fillId="0" borderId="0" xfId="1"/>
    <xf numFmtId="0" fontId="0" fillId="0" borderId="0" xfId="0" applyProtection="1">
      <protection locked="0"/>
    </xf>
    <xf numFmtId="0" fontId="0" fillId="0" borderId="3" xfId="0" applyBorder="1" applyProtection="1">
      <protection locked="0"/>
    </xf>
    <xf numFmtId="0" fontId="0" fillId="0" borderId="4" xfId="0" applyBorder="1" applyProtection="1">
      <protection locked="0"/>
    </xf>
    <xf numFmtId="0" fontId="0" fillId="0" borderId="5" xfId="0" applyBorder="1" applyProtection="1">
      <protection locked="0"/>
    </xf>
    <xf numFmtId="0" fontId="0" fillId="0" borderId="6" xfId="0" applyBorder="1" applyProtection="1">
      <protection locked="0"/>
    </xf>
    <xf numFmtId="0" fontId="0" fillId="0" borderId="0" xfId="0" applyBorder="1" applyProtection="1">
      <protection locked="0"/>
    </xf>
    <xf numFmtId="0" fontId="0" fillId="0" borderId="7" xfId="0" applyBorder="1" applyProtection="1">
      <protection locked="0"/>
    </xf>
    <xf numFmtId="0" fontId="0" fillId="0" borderId="8" xfId="0" applyBorder="1" applyProtection="1">
      <protection locked="0"/>
    </xf>
    <xf numFmtId="0" fontId="0" fillId="0" borderId="9" xfId="0" applyBorder="1" applyProtection="1">
      <protection locked="0"/>
    </xf>
    <xf numFmtId="0" fontId="0" fillId="0" borderId="10" xfId="0" applyBorder="1" applyProtection="1"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right" vertical="top" indent="1"/>
      <protection locked="0"/>
    </xf>
    <xf numFmtId="1" fontId="0" fillId="0" borderId="0" xfId="0" applyNumberFormat="1" applyAlignment="1" applyProtection="1">
      <alignment horizontal="right" vertical="top" indent="1"/>
      <protection locked="0"/>
    </xf>
    <xf numFmtId="0" fontId="0" fillId="0" borderId="0" xfId="0" applyAlignment="1" applyProtection="1">
      <alignment horizontal="right" vertical="top" wrapText="1" indent="1"/>
      <protection locked="0"/>
    </xf>
    <xf numFmtId="0" fontId="0" fillId="0" borderId="0" xfId="0" applyAlignment="1" applyProtection="1">
      <alignment horizontal="left" vertical="top"/>
      <protection locked="0"/>
    </xf>
    <xf numFmtId="4" fontId="0" fillId="0" borderId="0" xfId="0" applyNumberFormat="1" applyProtection="1">
      <protection locked="0"/>
    </xf>
    <xf numFmtId="0" fontId="8" fillId="3" borderId="0" xfId="0" applyFont="1" applyFill="1" applyAlignment="1">
      <alignment horizontal="right" vertical="top" wrapText="1"/>
    </xf>
    <xf numFmtId="0" fontId="0" fillId="0" borderId="0" xfId="0" applyAlignment="1">
      <alignment horizontal="left" vertical="top" wrapText="1"/>
    </xf>
  </cellXfs>
  <cellStyles count="2">
    <cellStyle name="Hyperlink" xfId="1" builtinId="8"/>
    <cellStyle name="Normal" xfId="0" builtinId="0"/>
  </cellStyles>
  <dxfs count="73">
    <dxf>
      <font>
        <b/>
        <i val="0"/>
      </font>
      <fill>
        <patternFill patternType="mediumGray">
          <fgColor theme="0"/>
          <bgColor rgb="FFCC99FF"/>
        </patternFill>
      </fill>
    </dxf>
    <dxf>
      <font>
        <b/>
        <i val="0"/>
        <color theme="1"/>
      </font>
      <fill>
        <patternFill>
          <bgColor rgb="FFCCFF99"/>
        </patternFill>
      </fill>
    </dxf>
    <dxf>
      <font>
        <b/>
        <i val="0"/>
        <color theme="9"/>
      </font>
      <fill>
        <gradientFill degree="90">
          <stop position="0">
            <color rgb="FFCCECFF"/>
          </stop>
          <stop position="1">
            <color rgb="FF99FF99"/>
          </stop>
        </gradientFill>
      </fill>
    </dxf>
    <dxf>
      <font>
        <b/>
        <i val="0"/>
        <color theme="5" tint="-0.499984740745262"/>
      </font>
      <fill>
        <patternFill>
          <bgColor theme="5" tint="0.59996337778862885"/>
        </patternFill>
      </fill>
    </dxf>
    <dxf>
      <fill>
        <patternFill>
          <bgColor theme="0" tint="-4.9989318521683403E-2"/>
        </patternFill>
      </fill>
    </dxf>
    <dxf>
      <font>
        <b/>
        <i val="0"/>
        <color theme="9" tint="-0.24994659260841701"/>
      </font>
      <fill>
        <patternFill>
          <bgColor rgb="FFCCFFCC"/>
        </patternFill>
      </fill>
    </dxf>
    <dxf>
      <font>
        <b/>
        <i val="0"/>
        <color theme="5" tint="-0.499984740745262"/>
      </font>
      <fill>
        <gradientFill type="path">
          <stop position="0">
            <color theme="5" tint="0.80001220740379042"/>
          </stop>
          <stop position="1">
            <color theme="5" tint="0.59999389629810485"/>
          </stop>
        </gradientFill>
      </fill>
    </dxf>
    <dxf>
      <font>
        <b/>
        <i val="0"/>
        <color theme="3"/>
      </font>
      <fill>
        <gradientFill degree="90">
          <stop position="0">
            <color theme="7" tint="0.80001220740379042"/>
          </stop>
          <stop position="1">
            <color theme="7" tint="0.59999389629810485"/>
          </stop>
        </gradientFill>
      </fill>
    </dxf>
    <dxf>
      <font>
        <b/>
        <i val="0"/>
        <color theme="6" tint="-0.499984740745262"/>
      </font>
      <fill>
        <patternFill>
          <bgColor rgb="FFFFFF66"/>
        </patternFill>
      </fill>
    </dxf>
    <dxf>
      <font>
        <b/>
        <i val="0"/>
      </font>
      <fill>
        <patternFill patternType="mediumGray">
          <fgColor theme="0"/>
          <bgColor rgb="FFCC99FF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0"/>
      </font>
      <fill>
        <patternFill patternType="none">
          <bgColor auto="1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border>
        <left style="thin">
          <color theme="3"/>
        </left>
        <right style="thin">
          <color theme="3"/>
        </right>
        <top style="thin">
          <color theme="3"/>
        </top>
        <bottom style="thin">
          <color theme="3"/>
        </bottom>
        <vertical/>
        <horizontal/>
      </border>
    </dxf>
    <dxf>
      <border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rgb="FF92D050"/>
        </left>
        <right style="thin">
          <color rgb="FF92D050"/>
        </right>
        <top style="thin">
          <color rgb="FF92D050"/>
        </top>
        <bottom style="thin">
          <color rgb="FF92D050"/>
        </bottom>
        <vertical/>
        <horizontal/>
      </border>
    </dxf>
    <dxf>
      <font>
        <b/>
        <i val="0"/>
        <color theme="6" tint="-0.499984740745262"/>
      </font>
      <fill>
        <patternFill>
          <bgColor rgb="FFFFFF66"/>
        </patternFill>
      </fill>
    </dxf>
    <dxf>
      <font>
        <b/>
        <i val="0"/>
      </font>
      <fill>
        <patternFill patternType="mediumGray">
          <fgColor theme="0"/>
          <bgColor rgb="FFCC99FF"/>
        </patternFill>
      </fill>
    </dxf>
    <dxf>
      <font>
        <b/>
        <i val="0"/>
        <color theme="9" tint="-0.24994659260841701"/>
      </font>
      <fill>
        <patternFill>
          <bgColor rgb="FFCCFFCC"/>
        </patternFill>
      </fill>
    </dxf>
    <dxf>
      <font>
        <b/>
        <i val="0"/>
        <color theme="5" tint="-0.499984740745262"/>
      </font>
      <fill>
        <gradientFill type="path">
          <stop position="0">
            <color theme="5" tint="0.80001220740379042"/>
          </stop>
          <stop position="1">
            <color theme="5" tint="0.59999389629810485"/>
          </stop>
        </gradientFill>
      </fill>
    </dxf>
    <dxf>
      <font>
        <b/>
        <i val="0"/>
        <color theme="3"/>
      </font>
      <fill>
        <gradientFill degree="90">
          <stop position="0">
            <color theme="7" tint="0.80001220740379042"/>
          </stop>
          <stop position="1">
            <color theme="7" tint="0.59999389629810485"/>
          </stop>
        </gradientFill>
      </fill>
    </dxf>
    <dxf>
      <font>
        <b/>
        <i val="0"/>
      </font>
      <fill>
        <patternFill patternType="mediumGray">
          <fgColor theme="0"/>
          <bgColor rgb="FFCC99FF"/>
        </patternFill>
      </fill>
    </dxf>
    <dxf>
      <font>
        <b/>
        <i val="0"/>
        <color theme="9" tint="-0.24994659260841701"/>
      </font>
      <fill>
        <patternFill>
          <bgColor rgb="FFCCFFCC"/>
        </patternFill>
      </fill>
    </dxf>
    <dxf>
      <font>
        <b/>
        <i val="0"/>
        <color theme="5" tint="-0.499984740745262"/>
      </font>
      <fill>
        <gradientFill type="path">
          <stop position="0">
            <color theme="5" tint="0.80001220740379042"/>
          </stop>
          <stop position="1">
            <color theme="5" tint="0.59999389629810485"/>
          </stop>
        </gradientFill>
      </fill>
    </dxf>
    <dxf>
      <font>
        <b/>
        <i val="0"/>
        <color theme="3"/>
      </font>
      <fill>
        <gradientFill degree="90">
          <stop position="0">
            <color theme="7" tint="0.80001220740379042"/>
          </stop>
          <stop position="1">
            <color theme="7" tint="0.59999389629810485"/>
          </stop>
        </gradientFill>
      </fill>
    </dxf>
    <dxf>
      <font>
        <b/>
        <i val="0"/>
        <color theme="6" tint="-0.499984740745262"/>
      </font>
      <fill>
        <patternFill>
          <bgColor rgb="FFFFFF66"/>
        </patternFill>
      </fill>
    </dxf>
    <dxf>
      <font>
        <b/>
        <i val="0"/>
      </font>
      <fill>
        <patternFill patternType="mediumGray">
          <fgColor theme="0"/>
          <bgColor rgb="FFCC99FF"/>
        </patternFill>
      </fill>
    </dxf>
    <dxf>
      <font>
        <b/>
        <i val="0"/>
        <color theme="9" tint="-0.24994659260841701"/>
      </font>
      <fill>
        <patternFill>
          <bgColor rgb="FFCCFFCC"/>
        </patternFill>
      </fill>
    </dxf>
    <dxf>
      <font>
        <b/>
        <i val="0"/>
        <color theme="5" tint="-0.499984740745262"/>
      </font>
      <fill>
        <gradientFill type="path">
          <stop position="0">
            <color theme="5" tint="0.80001220740379042"/>
          </stop>
          <stop position="1">
            <color theme="5" tint="0.59999389629810485"/>
          </stop>
        </gradientFill>
      </fill>
    </dxf>
    <dxf>
      <font>
        <b/>
        <i val="0"/>
        <color theme="3"/>
      </font>
      <fill>
        <gradientFill degree="90">
          <stop position="0">
            <color theme="7" tint="0.80001220740379042"/>
          </stop>
          <stop position="1">
            <color theme="7" tint="0.59999389629810485"/>
          </stop>
        </gradientFill>
      </fill>
    </dxf>
    <dxf>
      <font>
        <b/>
        <i val="0"/>
        <color theme="6" tint="-0.499984740745262"/>
      </font>
      <fill>
        <patternFill>
          <bgColor rgb="FFFFFF66"/>
        </patternFill>
      </fill>
    </dxf>
    <dxf>
      <font>
        <b/>
        <i val="0"/>
        <color theme="5" tint="-0.499984740745262"/>
      </font>
      <fill>
        <gradientFill type="path">
          <stop position="0">
            <color theme="5" tint="0.80001220740379042"/>
          </stop>
          <stop position="1">
            <color theme="5" tint="0.59999389629810485"/>
          </stop>
        </gradientFill>
      </fill>
    </dxf>
    <dxf>
      <font>
        <b/>
        <i val="0"/>
        <color theme="3"/>
      </font>
      <fill>
        <gradientFill degree="90">
          <stop position="0">
            <color theme="7" tint="0.80001220740379042"/>
          </stop>
          <stop position="1">
            <color theme="7" tint="0.59999389629810485"/>
          </stop>
        </gradientFill>
      </fill>
    </dxf>
    <dxf>
      <font>
        <b/>
        <i val="0"/>
        <color theme="6" tint="-0.499984740745262"/>
      </font>
      <fill>
        <patternFill>
          <bgColor rgb="FFFFFF66"/>
        </patternFill>
      </fill>
    </dxf>
    <dxf>
      <font>
        <b/>
        <i val="0"/>
        <color theme="9" tint="-0.24994659260841701"/>
      </font>
      <fill>
        <patternFill>
          <bgColor rgb="FFCCFFCC"/>
        </patternFill>
      </fill>
    </dxf>
    <dxf>
      <font>
        <b/>
        <i val="0"/>
      </font>
      <fill>
        <patternFill patternType="mediumGray">
          <fgColor theme="0"/>
          <bgColor rgb="FFCC99FF"/>
        </patternFill>
      </fill>
    </dxf>
    <dxf>
      <font>
        <b/>
        <i val="0"/>
        <color theme="9" tint="-0.24994659260841701"/>
      </font>
      <fill>
        <patternFill>
          <bgColor rgb="FFCCFFCC"/>
        </patternFill>
      </fill>
    </dxf>
    <dxf>
      <font>
        <b/>
        <i val="0"/>
        <color theme="5" tint="-0.499984740745262"/>
      </font>
      <fill>
        <gradientFill type="path">
          <stop position="0">
            <color theme="5" tint="0.80001220740379042"/>
          </stop>
          <stop position="1">
            <color theme="5" tint="0.59999389629810485"/>
          </stop>
        </gradientFill>
      </fill>
    </dxf>
    <dxf>
      <font>
        <b/>
        <i val="0"/>
        <color theme="3"/>
      </font>
      <fill>
        <gradientFill degree="90">
          <stop position="0">
            <color theme="7" tint="0.80001220740379042"/>
          </stop>
          <stop position="1">
            <color theme="7" tint="0.59999389629810485"/>
          </stop>
        </gradientFill>
      </fill>
    </dxf>
    <dxf>
      <font>
        <b/>
        <i val="0"/>
        <color theme="6" tint="-0.499984740745262"/>
      </font>
      <fill>
        <patternFill>
          <bgColor rgb="FFFFFF66"/>
        </patternFill>
      </fill>
    </dxf>
    <dxf>
      <border>
        <left style="thin">
          <color rgb="FF92D050"/>
        </left>
        <right style="thin">
          <color rgb="FF92D050"/>
        </right>
        <top style="thin">
          <color rgb="FF92D050"/>
        </top>
        <bottom style="thin">
          <color rgb="FF92D050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theme="3"/>
        </left>
        <right style="thin">
          <color theme="3"/>
        </right>
        <top style="thin">
          <color theme="3"/>
        </top>
        <bottom style="thin">
          <color theme="3"/>
        </bottom>
        <vertical/>
        <horizontal/>
      </border>
    </dxf>
    <dxf>
      <border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  <vertical/>
        <horizontal/>
      </border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theme="9" tint="-0.24994659260841701"/>
      </font>
      <fill>
        <patternFill>
          <bgColor rgb="FFCCFFCC"/>
        </patternFill>
      </fill>
    </dxf>
    <dxf>
      <font>
        <b/>
        <i val="0"/>
        <color theme="5" tint="-0.499984740745262"/>
      </font>
      <fill>
        <gradientFill type="path">
          <stop position="0">
            <color theme="5" tint="0.80001220740379042"/>
          </stop>
          <stop position="1">
            <color theme="5" tint="0.59999389629810485"/>
          </stop>
        </gradientFill>
      </fill>
    </dxf>
    <dxf>
      <font>
        <b/>
        <i val="0"/>
        <color theme="3"/>
      </font>
      <fill>
        <gradientFill degree="90">
          <stop position="0">
            <color theme="7" tint="0.80001220740379042"/>
          </stop>
          <stop position="1">
            <color theme="7" tint="0.59999389629810485"/>
          </stop>
        </gradientFill>
      </fill>
    </dxf>
    <dxf>
      <font>
        <b/>
        <i val="0"/>
        <color theme="6" tint="-0.499984740745262"/>
      </font>
      <fill>
        <patternFill>
          <bgColor rgb="FFFFFF66"/>
        </patternFill>
      </fill>
    </dxf>
    <dxf>
      <border>
        <left style="thin">
          <color rgb="FF92D050"/>
        </left>
        <right style="thin">
          <color rgb="FF92D050"/>
        </right>
        <top style="thin">
          <color rgb="FF92D050"/>
        </top>
        <bottom style="thin">
          <color rgb="FF92D050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theme="3"/>
        </left>
        <right style="thin">
          <color theme="3"/>
        </right>
        <top style="thin">
          <color theme="3"/>
        </top>
        <bottom style="thin">
          <color theme="3"/>
        </bottom>
        <vertical/>
        <horizontal/>
      </border>
    </dxf>
    <dxf>
      <border>
        <left style="thin">
          <color theme="8"/>
        </left>
        <right style="thin">
          <color theme="8"/>
        </right>
        <top style="thin">
          <color theme="8"/>
        </top>
        <bottom style="thin">
          <color theme="8"/>
        </bottom>
        <vertical/>
        <horizontal/>
      </border>
    </dxf>
    <dxf>
      <font>
        <b/>
        <i val="0"/>
      </font>
      <fill>
        <patternFill patternType="mediumGray">
          <fgColor theme="0"/>
          <bgColor rgb="FFCC99FF"/>
        </patternFill>
      </fill>
    </dxf>
    <dxf>
      <font>
        <b/>
        <i val="0"/>
        <color theme="9" tint="-0.24994659260841701"/>
      </font>
      <fill>
        <patternFill>
          <bgColor rgb="FFCCFFCC"/>
        </patternFill>
      </fill>
    </dxf>
    <dxf>
      <font>
        <b/>
        <i val="0"/>
        <color theme="5" tint="-0.499984740745262"/>
      </font>
      <fill>
        <gradientFill type="path">
          <stop position="0">
            <color theme="5" tint="0.80001220740379042"/>
          </stop>
          <stop position="1">
            <color theme="5" tint="0.59999389629810485"/>
          </stop>
        </gradientFill>
      </fill>
    </dxf>
    <dxf>
      <font>
        <b/>
        <i val="0"/>
        <color theme="3"/>
      </font>
      <fill>
        <gradientFill degree="90">
          <stop position="0">
            <color theme="7" tint="0.80001220740379042"/>
          </stop>
          <stop position="1">
            <color theme="7" tint="0.59999389629810485"/>
          </stop>
        </gradientFill>
      </fill>
    </dxf>
    <dxf>
      <font>
        <b/>
        <i val="0"/>
        <color theme="6" tint="-0.499984740745262"/>
      </font>
      <fill>
        <patternFill>
          <bgColor rgb="FFFFFF66"/>
        </patternFill>
      </fill>
    </dxf>
    <dxf>
      <font>
        <b/>
        <i val="0"/>
        <color theme="1"/>
      </font>
      <fill>
        <patternFill>
          <bgColor rgb="FFCCFF99"/>
        </patternFill>
      </fill>
    </dxf>
    <dxf>
      <font>
        <b/>
        <i val="0"/>
        <color theme="9"/>
      </font>
      <fill>
        <gradientFill degree="90">
          <stop position="0">
            <color rgb="FFCCECFF"/>
          </stop>
          <stop position="1">
            <color rgb="FF99FF99"/>
          </stop>
        </gradientFill>
      </fill>
    </dxf>
    <dxf>
      <font>
        <b/>
        <i val="0"/>
        <color theme="5" tint="-0.499984740745262"/>
      </font>
      <fill>
        <patternFill>
          <bgColor theme="5" tint="0.59996337778862885"/>
        </patternFill>
      </fill>
    </dxf>
    <dxf>
      <fill>
        <patternFill>
          <bgColor theme="0" tint="-4.9989318521683403E-2"/>
        </patternFill>
      </fill>
    </dxf>
  </dxfs>
  <tableStyles count="1" defaultTableStyle="TableStyleMedium2" defaultPivotStyle="PivotStyleLight16">
    <tableStyle name="Table Style 1" pivot="0" count="0" xr9:uid="{D7B9A76F-B4E8-4065-A3F2-414A2382E00E}"/>
  </tableStyles>
  <colors>
    <mruColors>
      <color rgb="FFCCFF99"/>
      <color rgb="FFCC99FF"/>
      <color rgb="FF66FFFF"/>
      <color rgb="FFFF99FF"/>
      <color rgb="FFFFFFFF"/>
      <color rgb="FFCC3399"/>
      <color rgb="FFCCECFF"/>
      <color rgb="FF99FF99"/>
      <color rgb="FFFFFF00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Dashboard!$B$10</c:f>
              <c:strCache>
                <c:ptCount val="1"/>
                <c:pt idx="0">
                  <c:v>Percentage of faulty items of all stock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25400" cap="rnd">
                <a:solidFill>
                  <a:schemeClr val="accent3">
                    <a:lumMod val="60000"/>
                    <a:lumOff val="40000"/>
                  </a:schemeClr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Dashboard!$C$12:$M$12</c:f>
              <c:strCache>
                <c:ptCount val="11"/>
                <c:pt idx="0">
                  <c:v>Jan-24</c:v>
                </c:pt>
                <c:pt idx="1">
                  <c:v>Feb-24</c:v>
                </c:pt>
                <c:pt idx="2">
                  <c:v>Mar-24</c:v>
                </c:pt>
                <c:pt idx="3">
                  <c:v>Apr-24</c:v>
                </c:pt>
                <c:pt idx="4">
                  <c:v>May-24</c:v>
                </c:pt>
                <c:pt idx="5">
                  <c:v>Jun-24</c:v>
                </c:pt>
                <c:pt idx="6">
                  <c:v>Jul-24</c:v>
                </c:pt>
                <c:pt idx="7">
                  <c:v>Aug-24</c:v>
                </c:pt>
                <c:pt idx="8">
                  <c:v>Sep-24</c:v>
                </c:pt>
                <c:pt idx="9">
                  <c:v>Oct-24</c:v>
                </c:pt>
                <c:pt idx="10">
                  <c:v>Nov-24</c:v>
                </c:pt>
              </c:strCache>
            </c:strRef>
          </c:cat>
          <c:val>
            <c:numRef>
              <c:f>Dashboard!$C$13:$M$13</c:f>
              <c:numCache>
                <c:formatCode>0.00</c:formatCode>
                <c:ptCount val="11"/>
                <c:pt idx="0">
                  <c:v>0.50033642616704022</c:v>
                </c:pt>
                <c:pt idx="1">
                  <c:v>0.26627218275757603</c:v>
                </c:pt>
                <c:pt idx="2">
                  <c:v>0.27653855359325308</c:v>
                </c:pt>
                <c:pt idx="3">
                  <c:v>0.82832655904376606</c:v>
                </c:pt>
                <c:pt idx="4">
                  <c:v>0.31641198139550009</c:v>
                </c:pt>
                <c:pt idx="5">
                  <c:v>0.24418863762159537</c:v>
                </c:pt>
                <c:pt idx="6">
                  <c:v>0.4048810385849152</c:v>
                </c:pt>
                <c:pt idx="7">
                  <c:v>0.13060967504553389</c:v>
                </c:pt>
                <c:pt idx="8">
                  <c:v>0.98525400570509203</c:v>
                </c:pt>
                <c:pt idx="9">
                  <c:v>0.72836436042956332</c:v>
                </c:pt>
                <c:pt idx="10">
                  <c:v>0.47811929334423708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078-41FE-8BB7-3BE688540A3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759325808"/>
        <c:axId val="609912952"/>
      </c:lineChart>
      <c:catAx>
        <c:axId val="759325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9912952"/>
        <c:crosses val="autoZero"/>
        <c:auto val="1"/>
        <c:lblAlgn val="ctr"/>
        <c:lblOffset val="100"/>
        <c:noMultiLvlLbl val="0"/>
      </c:catAx>
      <c:valAx>
        <c:axId val="609912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9325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15875" cap="flat" cmpd="sng" algn="ctr">
      <a:solidFill>
        <a:schemeClr val="accent1">
          <a:lumMod val="60000"/>
          <a:lumOff val="4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Dashboard!$B$30</c:f>
              <c:strCache>
                <c:ptCount val="1"/>
                <c:pt idx="0">
                  <c:v>Number of red beach towels in stock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25400" cap="rnd">
                <a:solidFill>
                  <a:schemeClr val="accent3">
                    <a:lumMod val="60000"/>
                    <a:lumOff val="40000"/>
                  </a:schemeClr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Dashboard!$C$32:$M$32</c:f>
              <c:strCache>
                <c:ptCount val="11"/>
                <c:pt idx="0">
                  <c:v>Jan-24</c:v>
                </c:pt>
                <c:pt idx="1">
                  <c:v>Feb-24</c:v>
                </c:pt>
                <c:pt idx="2">
                  <c:v>Mar-24</c:v>
                </c:pt>
                <c:pt idx="3">
                  <c:v>Apr-24</c:v>
                </c:pt>
                <c:pt idx="4">
                  <c:v>May-24</c:v>
                </c:pt>
                <c:pt idx="5">
                  <c:v>Jun-24</c:v>
                </c:pt>
                <c:pt idx="6">
                  <c:v>Jul-24</c:v>
                </c:pt>
                <c:pt idx="7">
                  <c:v>Aug-24</c:v>
                </c:pt>
                <c:pt idx="8">
                  <c:v>Sep-24</c:v>
                </c:pt>
                <c:pt idx="9">
                  <c:v>Oct-24</c:v>
                </c:pt>
                <c:pt idx="10">
                  <c:v>Nov-24</c:v>
                </c:pt>
              </c:strCache>
            </c:strRef>
          </c:cat>
          <c:val>
            <c:numRef>
              <c:f>Dashboard!$C$33:$M$33</c:f>
              <c:numCache>
                <c:formatCode>0.00</c:formatCode>
                <c:ptCount val="11"/>
                <c:pt idx="0">
                  <c:v>34</c:v>
                </c:pt>
                <c:pt idx="1">
                  <c:v>12</c:v>
                </c:pt>
                <c:pt idx="2">
                  <c:v>2</c:v>
                </c:pt>
                <c:pt idx="3">
                  <c:v>18</c:v>
                </c:pt>
                <c:pt idx="4">
                  <c:v>21</c:v>
                </c:pt>
                <c:pt idx="5">
                  <c:v>12</c:v>
                </c:pt>
                <c:pt idx="6">
                  <c:v>4</c:v>
                </c:pt>
                <c:pt idx="7">
                  <c:v>9</c:v>
                </c:pt>
                <c:pt idx="8">
                  <c:v>40</c:v>
                </c:pt>
                <c:pt idx="9">
                  <c:v>5</c:v>
                </c:pt>
                <c:pt idx="10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4B6-4798-8E04-48AC04657F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9325808"/>
        <c:axId val="609912952"/>
      </c:lineChart>
      <c:catAx>
        <c:axId val="759325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9912952"/>
        <c:crosses val="autoZero"/>
        <c:auto val="1"/>
        <c:lblAlgn val="ctr"/>
        <c:lblOffset val="100"/>
        <c:noMultiLvlLbl val="0"/>
      </c:catAx>
      <c:valAx>
        <c:axId val="609912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9325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15875" cap="flat" cmpd="sng" algn="ctr">
      <a:solidFill>
        <a:schemeClr val="accent1">
          <a:lumMod val="60000"/>
          <a:lumOff val="4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Dashboard!$B$50</c:f>
              <c:strCache>
                <c:ptCount val="1"/>
                <c:pt idx="0">
                  <c:v>Example indicator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25400" cap="rnd">
                <a:solidFill>
                  <a:schemeClr val="accent3">
                    <a:lumMod val="60000"/>
                    <a:lumOff val="40000"/>
                  </a:schemeClr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Dashboard!$C$52:$M$52</c:f>
              <c:strCache>
                <c:ptCount val="11"/>
                <c:pt idx="0">
                  <c:v>Jan-24</c:v>
                </c:pt>
                <c:pt idx="1">
                  <c:v>Feb-24</c:v>
                </c:pt>
                <c:pt idx="2">
                  <c:v>Mar-24</c:v>
                </c:pt>
                <c:pt idx="3">
                  <c:v>Apr-24</c:v>
                </c:pt>
                <c:pt idx="4">
                  <c:v>May-24</c:v>
                </c:pt>
                <c:pt idx="5">
                  <c:v>Jun-24</c:v>
                </c:pt>
                <c:pt idx="6">
                  <c:v>Jul-24</c:v>
                </c:pt>
                <c:pt idx="7">
                  <c:v>Aug-24</c:v>
                </c:pt>
                <c:pt idx="8">
                  <c:v>Sep-24</c:v>
                </c:pt>
                <c:pt idx="9">
                  <c:v>Oct-24</c:v>
                </c:pt>
                <c:pt idx="10">
                  <c:v>Nov-24</c:v>
                </c:pt>
              </c:strCache>
            </c:strRef>
          </c:cat>
          <c:val>
            <c:numRef>
              <c:f>Dashboard!$C$53:$M$53</c:f>
              <c:numCache>
                <c:formatCode>0.00</c:formatCode>
                <c:ptCount val="11"/>
                <c:pt idx="0">
                  <c:v>12</c:v>
                </c:pt>
                <c:pt idx="1">
                  <c:v>16</c:v>
                </c:pt>
                <c:pt idx="2">
                  <c:v>26</c:v>
                </c:pt>
                <c:pt idx="3">
                  <c:v>22</c:v>
                </c:pt>
                <c:pt idx="4">
                  <c:v>9</c:v>
                </c:pt>
                <c:pt idx="5">
                  <c:v>19</c:v>
                </c:pt>
                <c:pt idx="6">
                  <c:v>17</c:v>
                </c:pt>
                <c:pt idx="7">
                  <c:v>17</c:v>
                </c:pt>
                <c:pt idx="8">
                  <c:v>2</c:v>
                </c:pt>
                <c:pt idx="9">
                  <c:v>22</c:v>
                </c:pt>
                <c:pt idx="10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B2D-4A95-A417-EEF3F60197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9325808"/>
        <c:axId val="609912952"/>
      </c:lineChart>
      <c:catAx>
        <c:axId val="759325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9912952"/>
        <c:crosses val="autoZero"/>
        <c:auto val="1"/>
        <c:lblAlgn val="ctr"/>
        <c:lblOffset val="100"/>
        <c:noMultiLvlLbl val="0"/>
      </c:catAx>
      <c:valAx>
        <c:axId val="609912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9325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15875" cap="flat" cmpd="sng" algn="ctr">
      <a:solidFill>
        <a:schemeClr val="accent1">
          <a:lumMod val="60000"/>
          <a:lumOff val="4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Dashboard!$B$70</c:f>
              <c:strCache>
                <c:ptCount val="1"/>
                <c:pt idx="0">
                  <c:v>Number of registered customers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25400" cap="rnd">
                <a:solidFill>
                  <a:schemeClr val="accent3">
                    <a:lumMod val="60000"/>
                    <a:lumOff val="40000"/>
                  </a:schemeClr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Dashboard!$C$72:$M$72</c:f>
              <c:strCache>
                <c:ptCount val="11"/>
                <c:pt idx="0">
                  <c:v>Jan-24</c:v>
                </c:pt>
                <c:pt idx="1">
                  <c:v>Feb-24</c:v>
                </c:pt>
                <c:pt idx="2">
                  <c:v>Mar-24</c:v>
                </c:pt>
                <c:pt idx="3">
                  <c:v>Apr-24</c:v>
                </c:pt>
                <c:pt idx="4">
                  <c:v>May-24</c:v>
                </c:pt>
                <c:pt idx="5">
                  <c:v>Jun-24</c:v>
                </c:pt>
                <c:pt idx="6">
                  <c:v>Jul-24</c:v>
                </c:pt>
                <c:pt idx="7">
                  <c:v>Aug-24</c:v>
                </c:pt>
                <c:pt idx="8">
                  <c:v>Sep-24</c:v>
                </c:pt>
                <c:pt idx="9">
                  <c:v>Oct-24</c:v>
                </c:pt>
                <c:pt idx="10">
                  <c:v>Nov-24</c:v>
                </c:pt>
              </c:strCache>
            </c:strRef>
          </c:cat>
          <c:val>
            <c:numRef>
              <c:f>Dashboard!$C$73:$M$73</c:f>
              <c:numCache>
                <c:formatCode>0.00</c:formatCode>
                <c:ptCount val="11"/>
                <c:pt idx="0">
                  <c:v>387</c:v>
                </c:pt>
                <c:pt idx="1">
                  <c:v>391</c:v>
                </c:pt>
                <c:pt idx="2">
                  <c:v>393</c:v>
                </c:pt>
                <c:pt idx="3">
                  <c:v>401</c:v>
                </c:pt>
                <c:pt idx="4">
                  <c:v>407</c:v>
                </c:pt>
                <c:pt idx="5">
                  <c:v>410</c:v>
                </c:pt>
                <c:pt idx="6">
                  <c:v>413</c:v>
                </c:pt>
                <c:pt idx="7">
                  <c:v>423</c:v>
                </c:pt>
                <c:pt idx="8">
                  <c:v>425</c:v>
                </c:pt>
                <c:pt idx="9">
                  <c:v>435</c:v>
                </c:pt>
                <c:pt idx="10">
                  <c:v>437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CE-4D10-9F30-187D70538F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9325808"/>
        <c:axId val="609912952"/>
      </c:lineChart>
      <c:catAx>
        <c:axId val="759325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9912952"/>
        <c:crosses val="autoZero"/>
        <c:auto val="1"/>
        <c:lblAlgn val="ctr"/>
        <c:lblOffset val="100"/>
        <c:noMultiLvlLbl val="0"/>
      </c:catAx>
      <c:valAx>
        <c:axId val="609912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9325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15875" cap="flat" cmpd="sng" algn="ctr">
      <a:solidFill>
        <a:schemeClr val="accent1">
          <a:lumMod val="60000"/>
          <a:lumOff val="40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2.emf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125186</xdr:colOff>
      <xdr:row>3</xdr:row>
      <xdr:rowOff>54429</xdr:rowOff>
    </xdr:from>
    <xdr:to>
      <xdr:col>4</xdr:col>
      <xdr:colOff>598714</xdr:colOff>
      <xdr:row>4</xdr:row>
      <xdr:rowOff>35389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305F454-4335-836A-EFAC-7228952AD6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770415" y="609600"/>
          <a:ext cx="2373085" cy="35107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652367</xdr:colOff>
          <xdr:row>0</xdr:row>
          <xdr:rowOff>157067</xdr:rowOff>
        </xdr:from>
        <xdr:to>
          <xdr:col>7</xdr:col>
          <xdr:colOff>293138</xdr:colOff>
          <xdr:row>4</xdr:row>
          <xdr:rowOff>162509</xdr:rowOff>
        </xdr:to>
        <xdr:pic>
          <xdr:nvPicPr>
            <xdr:cNvPr id="2" name="Picture 1">
              <a:extLst>
                <a:ext uri="{FF2B5EF4-FFF2-40B4-BE49-F238E27FC236}">
                  <a16:creationId xmlns:a16="http://schemas.microsoft.com/office/drawing/2014/main" id="{6BD17262-60F8-8870-CF84-FFACFFDC0D01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Set-up'!$C$4:$H$6" spid="_x0000_s2071"/>
                </a:ext>
              </a:extLst>
            </xdr:cNvPicPr>
          </xdr:nvPicPr>
          <xdr:blipFill>
            <a:blip xmlns:r="http://schemas.openxmlformats.org/officeDocument/2006/relationships" r:embed="rId1">
              <a:lum bright="40000" contrast="-40000"/>
            </a:blip>
            <a:srcRect/>
            <a:stretch>
              <a:fillRect/>
            </a:stretch>
          </xdr:blipFill>
          <xdr:spPr bwMode="auto">
            <a:xfrm>
              <a:off x="652367" y="157067"/>
              <a:ext cx="4523791" cy="751891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52370</xdr:colOff>
      <xdr:row>13</xdr:row>
      <xdr:rowOff>169323</xdr:rowOff>
    </xdr:from>
    <xdr:to>
      <xdr:col>12</xdr:col>
      <xdr:colOff>614722</xdr:colOff>
      <xdr:row>28</xdr:row>
      <xdr:rowOff>113338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BDE0847-00AD-4A92-81E9-F43DE0E821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52370</xdr:colOff>
      <xdr:row>33</xdr:row>
      <xdr:rowOff>169323</xdr:rowOff>
    </xdr:from>
    <xdr:to>
      <xdr:col>12</xdr:col>
      <xdr:colOff>614722</xdr:colOff>
      <xdr:row>48</xdr:row>
      <xdr:rowOff>113338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AD699F6-73D3-4D90-9976-5A11992979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52370</xdr:colOff>
      <xdr:row>53</xdr:row>
      <xdr:rowOff>169323</xdr:rowOff>
    </xdr:from>
    <xdr:to>
      <xdr:col>12</xdr:col>
      <xdr:colOff>614722</xdr:colOff>
      <xdr:row>68</xdr:row>
      <xdr:rowOff>113338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E89E759-CE4B-4571-88A4-59756164B2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52370</xdr:colOff>
      <xdr:row>73</xdr:row>
      <xdr:rowOff>169323</xdr:rowOff>
    </xdr:from>
    <xdr:to>
      <xdr:col>12</xdr:col>
      <xdr:colOff>614722</xdr:colOff>
      <xdr:row>88</xdr:row>
      <xdr:rowOff>113338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9CCCE33-FC52-48C0-803F-4E5CE0DE61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5</xdr:col>
          <xdr:colOff>415144</xdr:colOff>
          <xdr:row>4</xdr:row>
          <xdr:rowOff>176150</xdr:rowOff>
        </xdr:to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868CE8C1-F3AA-4E29-AAFC-369D089550F2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Set-up'!$C$4:$H$6" spid="_x0000_s3097"/>
                </a:ext>
              </a:extLst>
            </xdr:cNvPicPr>
          </xdr:nvPicPr>
          <xdr:blipFill>
            <a:blip xmlns:r="http://schemas.openxmlformats.org/officeDocument/2006/relationships" r:embed="rId5">
              <a:lum bright="40000" contrast="-40000"/>
            </a:blip>
            <a:srcRect/>
            <a:stretch>
              <a:fillRect/>
            </a:stretch>
          </xdr:blipFill>
          <xdr:spPr bwMode="auto">
            <a:xfrm>
              <a:off x="653144" y="188025"/>
              <a:ext cx="4512129" cy="740229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652367</xdr:colOff>
          <xdr:row>0</xdr:row>
          <xdr:rowOff>157067</xdr:rowOff>
        </xdr:from>
        <xdr:to>
          <xdr:col>4</xdr:col>
          <xdr:colOff>367006</xdr:colOff>
          <xdr:row>3</xdr:row>
          <xdr:rowOff>306357</xdr:rowOff>
        </xdr:to>
        <xdr:pic>
          <xdr:nvPicPr>
            <xdr:cNvPr id="5" name="Picture 4" descr="Logo&#10;">
              <a:extLst>
                <a:ext uri="{FF2B5EF4-FFF2-40B4-BE49-F238E27FC236}">
                  <a16:creationId xmlns:a16="http://schemas.microsoft.com/office/drawing/2014/main" id="{D512F51B-F7C2-4D55-80A1-52AFDE7466F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Set-up'!$C$4:$H$6" spid="_x0000_s4115"/>
                </a:ext>
              </a:extLst>
            </xdr:cNvPicPr>
          </xdr:nvPicPr>
          <xdr:blipFill>
            <a:blip xmlns:r="http://schemas.openxmlformats.org/officeDocument/2006/relationships" r:embed="rId1">
              <a:lum bright="40000" contrast="-40000"/>
            </a:blip>
            <a:srcRect/>
            <a:stretch>
              <a:fillRect/>
            </a:stretch>
          </xdr:blipFill>
          <xdr:spPr bwMode="auto">
            <a:xfrm>
              <a:off x="652367" y="157067"/>
              <a:ext cx="4512129" cy="740229"/>
            </a:xfrm>
            <a:prstGeom prst="rect">
              <a:avLst/>
            </a:prstGeom>
            <a:solidFill>
              <a:srgbClr val="FFFFFF" mc:Ignorable="a14" a14:legacySpreadsheetColorIndex="9"/>
            </a:solidFill>
            <a:ln w="9525">
              <a:noFill/>
              <a:miter lim="800000"/>
              <a:headEnd/>
              <a:tailEnd/>
            </a:ln>
          </xdr:spPr>
        </xdr:pic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mailto:veeraseama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CA4E1-0FFF-4837-AB4B-8AEA6D993C6A}">
  <sheetPr>
    <tabColor rgb="FFFFFF00"/>
    <pageSetUpPr fitToPage="1"/>
  </sheetPr>
  <dimension ref="B2:H13"/>
  <sheetViews>
    <sheetView tabSelected="1" workbookViewId="0">
      <selection activeCell="C2" sqref="C2"/>
    </sheetView>
  </sheetViews>
  <sheetFormatPr defaultRowHeight="14.6" x14ac:dyDescent="0.4"/>
  <cols>
    <col min="2" max="2" width="28.15234375" customWidth="1"/>
    <col min="3" max="3" width="17.61328125" customWidth="1"/>
  </cols>
  <sheetData>
    <row r="2" spans="2:8" ht="15.9" x14ac:dyDescent="0.4">
      <c r="B2" s="4" t="s">
        <v>0</v>
      </c>
      <c r="C2" s="34" t="s">
        <v>69</v>
      </c>
      <c r="D2" s="3" t="s">
        <v>6</v>
      </c>
      <c r="E2" s="31" t="s">
        <v>7</v>
      </c>
      <c r="F2" s="23"/>
      <c r="G2" s="23" t="s">
        <v>52</v>
      </c>
    </row>
    <row r="3" spans="2:8" x14ac:dyDescent="0.4">
      <c r="B3" s="4"/>
    </row>
    <row r="4" spans="2:8" ht="29.15" x14ac:dyDescent="0.4">
      <c r="B4" s="4" t="s">
        <v>5</v>
      </c>
      <c r="C4" s="35"/>
      <c r="D4" s="36"/>
      <c r="E4" s="36"/>
      <c r="F4" s="36"/>
      <c r="G4" s="36"/>
      <c r="H4" s="37"/>
    </row>
    <row r="5" spans="2:8" x14ac:dyDescent="0.4">
      <c r="B5" s="4"/>
      <c r="C5" s="38"/>
      <c r="D5" s="39"/>
      <c r="E5" s="39"/>
      <c r="F5" s="39"/>
      <c r="G5" s="39"/>
      <c r="H5" s="40"/>
    </row>
    <row r="6" spans="2:8" x14ac:dyDescent="0.4">
      <c r="B6" s="4"/>
      <c r="C6" s="41"/>
      <c r="D6" s="42"/>
      <c r="E6" s="42"/>
      <c r="F6" s="42"/>
      <c r="G6" s="42"/>
      <c r="H6" s="43"/>
    </row>
    <row r="7" spans="2:8" x14ac:dyDescent="0.4">
      <c r="B7" s="4"/>
    </row>
    <row r="8" spans="2:8" x14ac:dyDescent="0.4">
      <c r="B8" s="4"/>
    </row>
    <row r="9" spans="2:8" x14ac:dyDescent="0.4">
      <c r="B9" s="5"/>
    </row>
    <row r="10" spans="2:8" x14ac:dyDescent="0.4">
      <c r="B10" s="5"/>
    </row>
    <row r="11" spans="2:8" x14ac:dyDescent="0.4">
      <c r="B11" s="5"/>
    </row>
    <row r="12" spans="2:8" x14ac:dyDescent="0.4">
      <c r="B12" s="5"/>
    </row>
    <row r="13" spans="2:8" x14ac:dyDescent="0.4">
      <c r="B13" s="5"/>
    </row>
  </sheetData>
  <sheetProtection algorithmName="SHA-512" hashValue="OUMpQ4aKBAf3MfFH4UoMIqkzb4F1rLmS/KDVYu0SdVNmJF8YYi8Ei19NFPLkZM+e4lHojd8/Z9HEqSOAPPhqAw==" saltValue="2FFBdXZHyE4+eJ0E0R7svw==" spinCount="100000" sheet="1" selectLockedCells="1"/>
  <conditionalFormatting sqref="D2">
    <cfRule type="expression" dxfId="72" priority="15" stopIfTrue="1">
      <formula>$C$2="Winter"</formula>
    </cfRule>
    <cfRule type="expression" dxfId="71" priority="16" stopIfTrue="1">
      <formula>$C$2="Autumn"</formula>
    </cfRule>
    <cfRule type="expression" dxfId="70" priority="17" stopIfTrue="1">
      <formula>$C$2="Summer"</formula>
    </cfRule>
    <cfRule type="expression" dxfId="69" priority="20" stopIfTrue="1">
      <formula>$C$2="Spring"</formula>
    </cfRule>
    <cfRule type="expression" priority="21" stopIfTrue="1">
      <formula>$C$2="Blank"</formula>
    </cfRule>
  </conditionalFormatting>
  <conditionalFormatting sqref="E2">
    <cfRule type="expression" dxfId="68" priority="10">
      <formula>$C$2="Summer"</formula>
    </cfRule>
    <cfRule type="expression" dxfId="67" priority="11">
      <formula>$C$2="Winter"</formula>
    </cfRule>
    <cfRule type="expression" dxfId="66" priority="12">
      <formula>$C$2="Autumn"</formula>
    </cfRule>
    <cfRule type="expression" dxfId="65" priority="13">
      <formula>$C$2="Spring"</formula>
    </cfRule>
  </conditionalFormatting>
  <conditionalFormatting sqref="E2:G2">
    <cfRule type="notContainsBlanks" dxfId="64" priority="22">
      <formula>LEN(TRIM(E2))&gt;0</formula>
    </cfRule>
  </conditionalFormatting>
  <conditionalFormatting sqref="F2">
    <cfRule type="expression" dxfId="63" priority="6">
      <formula>$C$2="Autumn"</formula>
    </cfRule>
    <cfRule type="expression" dxfId="62" priority="7">
      <formula>$C$2="Winter"</formula>
    </cfRule>
    <cfRule type="expression" dxfId="61" priority="8">
      <formula>$C$2="Summer"</formula>
    </cfRule>
    <cfRule type="expression" dxfId="60" priority="9">
      <formula>$C$2="Spring"</formula>
    </cfRule>
  </conditionalFormatting>
  <dataValidations count="1">
    <dataValidation type="list" allowBlank="1" showInputMessage="1" showErrorMessage="1" sqref="C2" xr:uid="{8E001634-5DE9-4094-B571-B53396EFD94F}">
      <formula1>"Blank,Spring,Summer,Autumn,Winter"</formula1>
    </dataValidation>
  </dataValidations>
  <pageMargins left="0.70866141732283472" right="0.70866141732283472" top="0.74803149606299213" bottom="0.74803149606299213" header="0.31496062992125984" footer="0.31496062992125984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E7A40-49C6-44C1-A3FB-CDEAC8310C85}">
  <sheetPr>
    <tabColor rgb="FFFF99FF"/>
    <pageSetUpPr fitToPage="1"/>
  </sheetPr>
  <dimension ref="B2:N26"/>
  <sheetViews>
    <sheetView topLeftCell="A4" zoomScale="85" zoomScaleNormal="85" workbookViewId="0">
      <selection activeCell="F8" sqref="F8"/>
    </sheetView>
  </sheetViews>
  <sheetFormatPr defaultRowHeight="14.6" x14ac:dyDescent="0.4"/>
  <cols>
    <col min="2" max="2" width="2.61328125" customWidth="1"/>
    <col min="3" max="3" width="10.07421875" bestFit="1" customWidth="1"/>
    <col min="5" max="5" width="10.07421875" bestFit="1" customWidth="1"/>
    <col min="6" max="6" width="18.4609375" customWidth="1"/>
  </cols>
  <sheetData>
    <row r="2" spans="2:14" x14ac:dyDescent="0.4">
      <c r="C2" s="7" t="str">
        <f>'Set-up'!$C$2</f>
        <v>Summer</v>
      </c>
    </row>
    <row r="3" spans="2:14" x14ac:dyDescent="0.4">
      <c r="B3" s="7"/>
    </row>
    <row r="5" spans="2:14" x14ac:dyDescent="0.4">
      <c r="B5" s="7"/>
      <c r="C5" s="7"/>
      <c r="D5" s="7"/>
      <c r="E5" s="7"/>
      <c r="F5" s="7"/>
    </row>
    <row r="6" spans="2:14" ht="6.75" customHeight="1" x14ac:dyDescent="0.4">
      <c r="B6" s="7"/>
      <c r="C6" s="7"/>
      <c r="D6" s="7"/>
      <c r="E6" s="7"/>
      <c r="F6" s="7"/>
    </row>
    <row r="7" spans="2:14" s="2" customFormat="1" ht="3" customHeight="1" x14ac:dyDescent="0.4">
      <c r="B7" s="14"/>
      <c r="C7" s="15" t="str">
        <f ca="1">TEXT(TODAY(), "Mmmm")</f>
        <v>October</v>
      </c>
      <c r="D7" s="15" t="str">
        <f ca="1">TEXT(TODAY(), "Yyyy")</f>
        <v>2025</v>
      </c>
      <c r="E7" s="15"/>
      <c r="F7" s="15"/>
    </row>
    <row r="8" spans="2:14" s="2" customFormat="1" ht="53.15" customHeight="1" x14ac:dyDescent="0.4">
      <c r="B8" s="14"/>
      <c r="C8" s="50" t="s">
        <v>49</v>
      </c>
      <c r="D8" s="50"/>
      <c r="E8" s="50"/>
      <c r="F8" s="44">
        <v>2020</v>
      </c>
    </row>
    <row r="9" spans="2:14" s="2" customFormat="1" ht="6.75" customHeight="1" x14ac:dyDescent="0.4">
      <c r="B9" s="14"/>
      <c r="C9" s="28"/>
      <c r="D9" s="28"/>
      <c r="E9" s="28"/>
      <c r="F9" s="26"/>
    </row>
    <row r="10" spans="2:14" ht="29.15" x14ac:dyDescent="0.4">
      <c r="B10" s="3" t="s">
        <v>4</v>
      </c>
      <c r="C10" s="3" t="s">
        <v>3</v>
      </c>
      <c r="D10" s="3"/>
      <c r="E10" s="3" t="s">
        <v>2</v>
      </c>
      <c r="F10" s="27" t="s">
        <v>48</v>
      </c>
      <c r="G10" s="1"/>
      <c r="H10" s="1"/>
      <c r="J10" s="1"/>
      <c r="K10" s="1"/>
      <c r="L10" s="1"/>
      <c r="M10" s="1"/>
      <c r="N10" s="1"/>
    </row>
    <row r="11" spans="2:14" x14ac:dyDescent="0.4">
      <c r="B11" s="12">
        <v>0</v>
      </c>
      <c r="C11" s="9" t="str">
        <f ca="1">TEXT(TODAY(), "Mmmm")</f>
        <v>October</v>
      </c>
      <c r="D11" s="9"/>
      <c r="E11" s="10">
        <f>F8</f>
        <v>2020</v>
      </c>
      <c r="F11" s="13">
        <f ca="1">E11-$D$7</f>
        <v>-5</v>
      </c>
    </row>
    <row r="12" spans="2:14" x14ac:dyDescent="0.4">
      <c r="B12" s="12">
        <v>1</v>
      </c>
      <c r="C12" s="11" t="str">
        <f t="shared" ref="C12:C22" ca="1" si="0">TEXT(DATE(YEAR(TODAY()),MONTH(TODAY())+B12,DAY(TODAY())), "Mmmm")</f>
        <v>November</v>
      </c>
      <c r="D12" s="9"/>
      <c r="E12" s="10">
        <f>E11+1</f>
        <v>2021</v>
      </c>
      <c r="F12" s="13">
        <f t="shared" ref="F12:F26" ca="1" si="1">E12-$D$7</f>
        <v>-4</v>
      </c>
    </row>
    <row r="13" spans="2:14" x14ac:dyDescent="0.4">
      <c r="B13" s="12">
        <v>2</v>
      </c>
      <c r="C13" s="11" t="str">
        <f t="shared" ca="1" si="0"/>
        <v>December</v>
      </c>
      <c r="D13" s="9"/>
      <c r="E13" s="10">
        <f t="shared" ref="E13:E25" si="2">E12+1</f>
        <v>2022</v>
      </c>
      <c r="F13" s="13">
        <f t="shared" ca="1" si="1"/>
        <v>-3</v>
      </c>
    </row>
    <row r="14" spans="2:14" x14ac:dyDescent="0.4">
      <c r="B14" s="12">
        <v>3</v>
      </c>
      <c r="C14" s="11" t="str">
        <f t="shared" ca="1" si="0"/>
        <v>January</v>
      </c>
      <c r="D14" s="9"/>
      <c r="E14" s="10">
        <f t="shared" si="2"/>
        <v>2023</v>
      </c>
      <c r="F14" s="13">
        <f t="shared" ca="1" si="1"/>
        <v>-2</v>
      </c>
    </row>
    <row r="15" spans="2:14" x14ac:dyDescent="0.4">
      <c r="B15" s="12">
        <v>4</v>
      </c>
      <c r="C15" s="11" t="str">
        <f t="shared" ca="1" si="0"/>
        <v>March</v>
      </c>
      <c r="D15" s="9"/>
      <c r="E15" s="10">
        <f t="shared" si="2"/>
        <v>2024</v>
      </c>
      <c r="F15" s="13">
        <f t="shared" ca="1" si="1"/>
        <v>-1</v>
      </c>
    </row>
    <row r="16" spans="2:14" x14ac:dyDescent="0.4">
      <c r="B16" s="12">
        <v>5</v>
      </c>
      <c r="C16" s="11" t="str">
        <f t="shared" ca="1" si="0"/>
        <v>March</v>
      </c>
      <c r="D16" s="9"/>
      <c r="E16" s="10">
        <f t="shared" si="2"/>
        <v>2025</v>
      </c>
      <c r="F16" s="13">
        <f t="shared" ca="1" si="1"/>
        <v>0</v>
      </c>
    </row>
    <row r="17" spans="2:6" x14ac:dyDescent="0.4">
      <c r="B17" s="12">
        <v>6</v>
      </c>
      <c r="C17" s="11" t="str">
        <f t="shared" ca="1" si="0"/>
        <v>April</v>
      </c>
      <c r="D17" s="9"/>
      <c r="E17" s="10">
        <f t="shared" si="2"/>
        <v>2026</v>
      </c>
      <c r="F17" s="13">
        <f t="shared" ca="1" si="1"/>
        <v>1</v>
      </c>
    </row>
    <row r="18" spans="2:6" x14ac:dyDescent="0.4">
      <c r="B18" s="12">
        <v>7</v>
      </c>
      <c r="C18" s="11" t="str">
        <f t="shared" ca="1" si="0"/>
        <v>May</v>
      </c>
      <c r="D18" s="9"/>
      <c r="E18" s="10">
        <f t="shared" si="2"/>
        <v>2027</v>
      </c>
      <c r="F18" s="13">
        <f t="shared" ca="1" si="1"/>
        <v>2</v>
      </c>
    </row>
    <row r="19" spans="2:6" x14ac:dyDescent="0.4">
      <c r="B19" s="12">
        <v>8</v>
      </c>
      <c r="C19" s="11" t="str">
        <f t="shared" ca="1" si="0"/>
        <v>June</v>
      </c>
      <c r="D19" s="9"/>
      <c r="E19" s="10">
        <f t="shared" si="2"/>
        <v>2028</v>
      </c>
      <c r="F19" s="13">
        <f t="shared" ca="1" si="1"/>
        <v>3</v>
      </c>
    </row>
    <row r="20" spans="2:6" x14ac:dyDescent="0.4">
      <c r="B20" s="12">
        <v>9</v>
      </c>
      <c r="C20" s="11" t="str">
        <f t="shared" ca="1" si="0"/>
        <v>July</v>
      </c>
      <c r="D20" s="9"/>
      <c r="E20" s="10">
        <f t="shared" si="2"/>
        <v>2029</v>
      </c>
      <c r="F20" s="13">
        <f t="shared" ca="1" si="1"/>
        <v>4</v>
      </c>
    </row>
    <row r="21" spans="2:6" x14ac:dyDescent="0.4">
      <c r="B21" s="12">
        <v>10</v>
      </c>
      <c r="C21" s="11" t="str">
        <f t="shared" ca="1" si="0"/>
        <v>August</v>
      </c>
      <c r="D21" s="9"/>
      <c r="E21" s="10">
        <f t="shared" si="2"/>
        <v>2030</v>
      </c>
      <c r="F21" s="13">
        <f t="shared" ca="1" si="1"/>
        <v>5</v>
      </c>
    </row>
    <row r="22" spans="2:6" x14ac:dyDescent="0.4">
      <c r="B22" s="12">
        <v>11</v>
      </c>
      <c r="C22" s="11" t="str">
        <f t="shared" ca="1" si="0"/>
        <v>September</v>
      </c>
      <c r="D22" s="9"/>
      <c r="E22" s="10">
        <f t="shared" si="2"/>
        <v>2031</v>
      </c>
      <c r="F22" s="13">
        <f t="shared" ca="1" si="1"/>
        <v>6</v>
      </c>
    </row>
    <row r="23" spans="2:6" x14ac:dyDescent="0.4">
      <c r="E23" s="10">
        <f>E22+1</f>
        <v>2032</v>
      </c>
      <c r="F23" s="13">
        <f t="shared" ca="1" si="1"/>
        <v>7</v>
      </c>
    </row>
    <row r="24" spans="2:6" x14ac:dyDescent="0.4">
      <c r="E24" s="10">
        <f t="shared" si="2"/>
        <v>2033</v>
      </c>
      <c r="F24" s="13">
        <f t="shared" ca="1" si="1"/>
        <v>8</v>
      </c>
    </row>
    <row r="25" spans="2:6" x14ac:dyDescent="0.4">
      <c r="E25" s="10">
        <f t="shared" si="2"/>
        <v>2034</v>
      </c>
      <c r="F25" s="13">
        <f t="shared" ca="1" si="1"/>
        <v>9</v>
      </c>
    </row>
    <row r="26" spans="2:6" x14ac:dyDescent="0.4">
      <c r="E26" s="10">
        <f>E25+1</f>
        <v>2035</v>
      </c>
      <c r="F26" s="13">
        <f t="shared" ca="1" si="1"/>
        <v>10</v>
      </c>
    </row>
  </sheetData>
  <sheetProtection algorithmName="SHA-512" hashValue="/WdMhObGv3jMX8r+lH/h0XPkhcH/9JQRdaWZjh3+oEVQBpWZxmo9NCAxCFbh2s4fuRjS/wWcae7/2QMk5Y0jaA==" saltValue="D/OO6h2Wi+s6FS4jAhg/zQ==" spinCount="100000" sheet="1" selectLockedCells="1"/>
  <mergeCells count="1">
    <mergeCell ref="C8:E8"/>
  </mergeCells>
  <conditionalFormatting sqref="B10:F10">
    <cfRule type="expression" priority="10">
      <formula>$C$2="Blank"</formula>
    </cfRule>
    <cfRule type="expression" dxfId="59" priority="11">
      <formula>$C$2="Summer"</formula>
    </cfRule>
    <cfRule type="expression" dxfId="58" priority="12">
      <formula>$C$2="Winter"</formula>
    </cfRule>
    <cfRule type="expression" dxfId="57" priority="13">
      <formula>$C$2="Autumn"</formula>
    </cfRule>
    <cfRule type="expression" dxfId="56" priority="14">
      <formula>$C$2="Spring"</formula>
    </cfRule>
  </conditionalFormatting>
  <conditionalFormatting sqref="C11:C22">
    <cfRule type="cellIs" dxfId="55" priority="7" operator="equal">
      <formula>$C$7</formula>
    </cfRule>
  </conditionalFormatting>
  <conditionalFormatting sqref="E11:E26">
    <cfRule type="cellIs" dxfId="54" priority="6" operator="equal">
      <formula>$D$7</formula>
    </cfRule>
  </conditionalFormatting>
  <conditionalFormatting sqref="F8">
    <cfRule type="expression" priority="1">
      <formula>$C$2="Blank"</formula>
    </cfRule>
    <cfRule type="expression" dxfId="53" priority="2">
      <formula>$C$2="Autumn"</formula>
    </cfRule>
    <cfRule type="expression" dxfId="52" priority="3">
      <formula>$C$2="Winter"</formula>
    </cfRule>
    <cfRule type="expression" dxfId="51" priority="4">
      <formula>$C$2="Summer"</formula>
    </cfRule>
    <cfRule type="expression" dxfId="50" priority="5">
      <formula>$C$2="Spring"</formula>
    </cfRule>
  </conditionalFormatting>
  <pageMargins left="0.70866141732283472" right="0.70866141732283472" top="0.74803149606299213" bottom="0.74803149606299213" header="0.31496062992125984" footer="0.31496062992125984"/>
  <pageSetup paperSize="9"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3CFB2-DF58-4A44-9A47-3391188E4CEC}">
  <sheetPr>
    <tabColor rgb="FF66FFFF"/>
    <pageSetUpPr fitToPage="1"/>
  </sheetPr>
  <dimension ref="B2:V91"/>
  <sheetViews>
    <sheetView zoomScale="55" zoomScaleNormal="55" workbookViewId="0">
      <selection activeCell="S8" sqref="S8"/>
    </sheetView>
  </sheetViews>
  <sheetFormatPr defaultRowHeight="14.6" x14ac:dyDescent="0.4"/>
  <cols>
    <col min="2" max="2" width="28.921875" customWidth="1"/>
    <col min="3" max="3" width="10.53515625" customWidth="1"/>
  </cols>
  <sheetData>
    <row r="2" spans="2:22" x14ac:dyDescent="0.4">
      <c r="C2" s="7" t="str">
        <f>'Set-up'!$C$2</f>
        <v>Summer</v>
      </c>
    </row>
    <row r="6" spans="2:22" ht="6.9" customHeight="1" x14ac:dyDescent="0.4">
      <c r="D6" s="8" t="str">
        <f>TEXT(($C$7&amp;" "&amp;$C$8),"MMm-YY")</f>
        <v>Jan-24</v>
      </c>
    </row>
    <row r="7" spans="2:22" ht="19.850000000000001" customHeight="1" x14ac:dyDescent="0.4">
      <c r="B7" s="21" t="s">
        <v>10</v>
      </c>
      <c r="C7" s="45" t="s">
        <v>68</v>
      </c>
    </row>
    <row r="8" spans="2:22" ht="19.850000000000001" customHeight="1" x14ac:dyDescent="0.4">
      <c r="B8" s="22" t="s">
        <v>9</v>
      </c>
      <c r="C8" s="46">
        <v>2024</v>
      </c>
    </row>
    <row r="10" spans="2:22" ht="15.9" x14ac:dyDescent="0.4">
      <c r="B10" s="32" t="str">
        <f>VLOOKUP(B13, Raw!$A$8:$B$200, 2, FALSE)</f>
        <v>Percentage of faulty items of all stock</v>
      </c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</row>
    <row r="11" spans="2:22" ht="1" customHeight="1" x14ac:dyDescent="0.4">
      <c r="B11" s="30"/>
      <c r="C11" s="20"/>
    </row>
    <row r="12" spans="2:22" x14ac:dyDescent="0.4">
      <c r="B12" s="3" t="s">
        <v>8</v>
      </c>
      <c r="C12" s="3" t="str">
        <f>IF(ISBLANK($D$6),"",(TEXT(($D$6),"mmm-yy")))</f>
        <v>Jan-24</v>
      </c>
      <c r="D12" s="3" t="str">
        <f t="shared" ref="D12:M12" si="0">(TEXT(DATE(YEAR(C12),MONTH(C12)+1,DAY(C12)),"MMM-YY"))</f>
        <v>Feb-24</v>
      </c>
      <c r="E12" s="3" t="str">
        <f t="shared" si="0"/>
        <v>Mar-24</v>
      </c>
      <c r="F12" s="3" t="str">
        <f t="shared" si="0"/>
        <v>Apr-24</v>
      </c>
      <c r="G12" s="3" t="str">
        <f t="shared" si="0"/>
        <v>May-24</v>
      </c>
      <c r="H12" s="3" t="str">
        <f t="shared" si="0"/>
        <v>Jun-24</v>
      </c>
      <c r="I12" s="3" t="str">
        <f t="shared" si="0"/>
        <v>Jul-24</v>
      </c>
      <c r="J12" s="3" t="str">
        <f t="shared" si="0"/>
        <v>Aug-24</v>
      </c>
      <c r="K12" s="3" t="str">
        <f t="shared" si="0"/>
        <v>Sep-24</v>
      </c>
      <c r="L12" s="3" t="str">
        <f t="shared" si="0"/>
        <v>Oct-24</v>
      </c>
      <c r="M12" s="3" t="str">
        <f t="shared" si="0"/>
        <v>Nov-24</v>
      </c>
      <c r="P12" s="19" t="str">
        <f>IFERROR(IF(DATEVALUE(M12)&gt;=DATEVALUE($EF$5),"",(TEXT(DATE(YEAR(M12),MONTH(M12)+1,DAY(M12)),"MMM-YY"))),"")</f>
        <v/>
      </c>
      <c r="Q12" s="19" t="str">
        <f>IFERROR(IF(DATEVALUE(P12)&gt;=DATEVALUE($EF$5),"",(TEXT(DATE(YEAR(P12),MONTH(P12)+1,DAY(P12)),"MMM-YY"))),"")</f>
        <v/>
      </c>
    </row>
    <row r="13" spans="2:22" x14ac:dyDescent="0.4">
      <c r="B13" s="18" t="s">
        <v>23</v>
      </c>
      <c r="C13" s="17">
        <f ca="1">IF(ISBLANK($D$6),"",(IFERROR(INDEX(Raw!$C$7:$EE$39,MATCH($B13,Raw!$C$7:$C$39,0),MATCH(C12,Raw!$C$7:$EE$7,0)),"")))</f>
        <v>0.50033642616704022</v>
      </c>
      <c r="D13" s="17">
        <f ca="1">IF(ISBLANK($D$6),"",(IFERROR(INDEX(Raw!$C$7:$EE$39,MATCH($B13,Raw!$C$7:$C$39,0),MATCH(D12,Raw!$C$7:$EE$7,0)),"")))</f>
        <v>0.26627218275757603</v>
      </c>
      <c r="E13" s="17">
        <f ca="1">IF(ISBLANK($D$6),"",(IFERROR(INDEX(Raw!$C$7:$EE$39,MATCH($B13,Raw!$C$7:$C$39,0),MATCH(E12,Raw!$C$7:$EE$7,0)),"")))</f>
        <v>0.27653855359325308</v>
      </c>
      <c r="F13" s="17">
        <f ca="1">IF(ISBLANK($D$6),"",(IFERROR(INDEX(Raw!$C$7:$EE$39,MATCH($B13,Raw!$C$7:$C$39,0),MATCH(F12,Raw!$C$7:$EE$7,0)),"")))</f>
        <v>0.82832655904376606</v>
      </c>
      <c r="G13" s="17">
        <f ca="1">IF(ISBLANK($D$6),"",(IFERROR(INDEX(Raw!$C$7:$EE$39,MATCH($B13,Raw!$C$7:$C$39,0),MATCH(G12,Raw!$C$7:$EE$7,0)),"")))</f>
        <v>0.31641198139550009</v>
      </c>
      <c r="H13" s="17">
        <f ca="1">IF(ISBLANK($D$6),"",(IFERROR(INDEX(Raw!$C$7:$EE$39,MATCH($B13,Raw!$C$7:$C$39,0),MATCH(H12,Raw!$C$7:$EE$7,0)),"")))</f>
        <v>0.24418863762159537</v>
      </c>
      <c r="I13" s="17">
        <f ca="1">IF(ISBLANK($D$6),"",(IFERROR(INDEX(Raw!$C$7:$EE$39,MATCH($B13,Raw!$C$7:$C$39,0),MATCH(I12,Raw!$C$7:$EE$7,0)),"")))</f>
        <v>0.4048810385849152</v>
      </c>
      <c r="J13" s="17">
        <f ca="1">IF(ISBLANK($D$6),"",(IFERROR(INDEX(Raw!$C$7:$EE$39,MATCH($B13,Raw!$C$7:$C$39,0),MATCH(J12,Raw!$C$7:$EE$7,0)),"")))</f>
        <v>0.13060967504553389</v>
      </c>
      <c r="K13" s="17">
        <f ca="1">IF(ISBLANK($D$6),"",(IFERROR(INDEX(Raw!$C$7:$EE$39,MATCH($B13,Raw!$C$7:$C$39,0),MATCH(K12,Raw!$C$7:$EE$7,0)),"")))</f>
        <v>0.98525400570509203</v>
      </c>
      <c r="L13" s="17">
        <f ca="1">IF(ISBLANK($D$6),"",(IFERROR(INDEX(Raw!$C$7:$EE$39,MATCH($B13,Raw!$C$7:$C$39,0),MATCH(L12,Raw!$C$7:$EE$7,0)),"")))</f>
        <v>0.72836436042956332</v>
      </c>
      <c r="M13" s="17">
        <f ca="1">IF(ISBLANK($D$6),"",(IFERROR(INDEX(Raw!$C$7:$EE$39,MATCH($B13,Raw!$C$7:$C$39,0),MATCH(M12,Raw!$C$7:$EE$7,0)),"")))</f>
        <v>0.47811929334423708</v>
      </c>
      <c r="P13" s="17" t="str">
        <f>(IFERROR(INDEX(Raw!$C$7:$EE$39,MATCH(#REF!,Raw!$C$7:$C$39,0),MATCH(P$87,Raw!$C$7:$EE$7,0)),""))</f>
        <v/>
      </c>
      <c r="Q13" s="17" t="str">
        <f>(IFERROR(INDEX(Raw!$C$7:$EE$39,MATCH(#REF!,Raw!$C$7:$C$39,0),MATCH(Q$87,Raw!$C$7:$EE$7,0)),""))</f>
        <v/>
      </c>
    </row>
    <row r="16" spans="2:22" x14ac:dyDescent="0.4">
      <c r="R16" s="16"/>
      <c r="S16" s="16"/>
      <c r="T16" s="16"/>
      <c r="U16" s="16"/>
      <c r="V16" s="16"/>
    </row>
    <row r="17" spans="2:22" x14ac:dyDescent="0.4">
      <c r="R17" s="16"/>
      <c r="S17" s="16"/>
      <c r="T17" s="16"/>
      <c r="U17" s="16"/>
      <c r="V17" s="16"/>
    </row>
    <row r="18" spans="2:22" x14ac:dyDescent="0.4">
      <c r="R18" s="16"/>
      <c r="S18" s="16"/>
      <c r="T18" s="16"/>
      <c r="U18" s="16"/>
      <c r="V18" s="16"/>
    </row>
    <row r="19" spans="2:22" x14ac:dyDescent="0.4">
      <c r="R19" s="16"/>
      <c r="S19" s="16"/>
      <c r="T19" s="16"/>
      <c r="U19" s="16"/>
      <c r="V19" s="16"/>
    </row>
    <row r="20" spans="2:22" x14ac:dyDescent="0.4">
      <c r="R20" s="16"/>
      <c r="S20" s="16"/>
      <c r="T20" s="16"/>
      <c r="U20" s="16"/>
      <c r="V20" s="16"/>
    </row>
    <row r="21" spans="2:22" x14ac:dyDescent="0.4">
      <c r="R21" s="16"/>
      <c r="S21" s="16"/>
      <c r="T21" s="16"/>
      <c r="U21" s="16"/>
      <c r="V21" s="16"/>
    </row>
    <row r="22" spans="2:22" x14ac:dyDescent="0.4">
      <c r="R22" s="16"/>
      <c r="S22" s="16"/>
      <c r="T22" s="16"/>
      <c r="U22" s="16"/>
      <c r="V22" s="16"/>
    </row>
    <row r="23" spans="2:22" x14ac:dyDescent="0.4">
      <c r="R23" s="16"/>
      <c r="S23" s="16"/>
      <c r="T23" s="16"/>
      <c r="U23" s="16"/>
      <c r="V23" s="16"/>
    </row>
    <row r="24" spans="2:22" x14ac:dyDescent="0.4">
      <c r="R24" s="16"/>
      <c r="S24" s="16"/>
      <c r="T24" s="16"/>
      <c r="U24" s="16"/>
      <c r="V24" s="16"/>
    </row>
    <row r="25" spans="2:22" x14ac:dyDescent="0.4">
      <c r="R25" s="16"/>
      <c r="S25" s="16"/>
      <c r="T25" s="16"/>
      <c r="U25" s="16"/>
      <c r="V25" s="16"/>
    </row>
    <row r="30" spans="2:22" ht="15.9" x14ac:dyDescent="0.4">
      <c r="B30" s="32" t="str">
        <f>VLOOKUP(B33, Raw!$A$8:$B$200, 2, FALSE)</f>
        <v>Number of red beach towels in stock</v>
      </c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</row>
    <row r="31" spans="2:22" ht="1" customHeight="1" x14ac:dyDescent="0.4">
      <c r="B31" s="30"/>
      <c r="C31" s="20"/>
    </row>
    <row r="32" spans="2:22" x14ac:dyDescent="0.4">
      <c r="B32" s="3" t="s">
        <v>8</v>
      </c>
      <c r="C32" s="3" t="str">
        <f>IF(ISBLANK($D$6),"",(TEXT(($D$6),"mmm-yy")))</f>
        <v>Jan-24</v>
      </c>
      <c r="D32" s="3" t="str">
        <f t="shared" ref="D32:M32" si="1">(TEXT(DATE(YEAR(C32),MONTH(C32)+1,DAY(C32)),"MMM-YY"))</f>
        <v>Feb-24</v>
      </c>
      <c r="E32" s="3" t="str">
        <f t="shared" si="1"/>
        <v>Mar-24</v>
      </c>
      <c r="F32" s="3" t="str">
        <f t="shared" si="1"/>
        <v>Apr-24</v>
      </c>
      <c r="G32" s="3" t="str">
        <f t="shared" si="1"/>
        <v>May-24</v>
      </c>
      <c r="H32" s="3" t="str">
        <f t="shared" si="1"/>
        <v>Jun-24</v>
      </c>
      <c r="I32" s="3" t="str">
        <f t="shared" si="1"/>
        <v>Jul-24</v>
      </c>
      <c r="J32" s="3" t="str">
        <f t="shared" si="1"/>
        <v>Aug-24</v>
      </c>
      <c r="K32" s="3" t="str">
        <f t="shared" si="1"/>
        <v>Sep-24</v>
      </c>
      <c r="L32" s="3" t="str">
        <f t="shared" si="1"/>
        <v>Oct-24</v>
      </c>
      <c r="M32" s="3" t="str">
        <f t="shared" si="1"/>
        <v>Nov-24</v>
      </c>
      <c r="P32" s="19" t="str">
        <f>IFERROR(IF(DATEVALUE(M32)&gt;=DATEVALUE($EF$5),"",(TEXT(DATE(YEAR(M32),MONTH(M32)+1,DAY(M32)),"MMM-YY"))),"")</f>
        <v/>
      </c>
      <c r="Q32" s="19" t="str">
        <f>IFERROR(IF(DATEVALUE(P32)&gt;=DATEVALUE($EF$5),"",(TEXT(DATE(YEAR(P32),MONTH(P32)+1,DAY(P32)),"MMM-YY"))),"")</f>
        <v/>
      </c>
    </row>
    <row r="33" spans="2:22" x14ac:dyDescent="0.4">
      <c r="B33" s="18" t="s">
        <v>21</v>
      </c>
      <c r="C33" s="17">
        <f ca="1">IF(ISBLANK($D$6),"",(IFERROR(INDEX(Raw!$C$7:$EE$39,MATCH($B33,Raw!$C$7:$C$39,0),MATCH(C32,Raw!$C$7:$EE$7,0)),"")))</f>
        <v>34</v>
      </c>
      <c r="D33" s="17">
        <f ca="1">IF(ISBLANK($D$6),"",(IFERROR(INDEX(Raw!$C$7:$EE$39,MATCH($B33,Raw!$C$7:$C$39,0),MATCH(D32,Raw!$C$7:$EE$7,0)),"")))</f>
        <v>12</v>
      </c>
      <c r="E33" s="17">
        <f ca="1">IF(ISBLANK($D$6),"",(IFERROR(INDEX(Raw!$C$7:$EE$39,MATCH($B33,Raw!$C$7:$C$39,0),MATCH(E32,Raw!$C$7:$EE$7,0)),"")))</f>
        <v>2</v>
      </c>
      <c r="F33" s="17">
        <f ca="1">IF(ISBLANK($D$6),"",(IFERROR(INDEX(Raw!$C$7:$EE$39,MATCH($B33,Raw!$C$7:$C$39,0),MATCH(F32,Raw!$C$7:$EE$7,0)),"")))</f>
        <v>18</v>
      </c>
      <c r="G33" s="17">
        <f ca="1">IF(ISBLANK($D$6),"",(IFERROR(INDEX(Raw!$C$7:$EE$39,MATCH($B33,Raw!$C$7:$C$39,0),MATCH(G32,Raw!$C$7:$EE$7,0)),"")))</f>
        <v>21</v>
      </c>
      <c r="H33" s="17">
        <f ca="1">IF(ISBLANK($D$6),"",(IFERROR(INDEX(Raw!$C$7:$EE$39,MATCH($B33,Raw!$C$7:$C$39,0),MATCH(H32,Raw!$C$7:$EE$7,0)),"")))</f>
        <v>12</v>
      </c>
      <c r="I33" s="17">
        <f ca="1">IF(ISBLANK($D$6),"",(IFERROR(INDEX(Raw!$C$7:$EE$39,MATCH($B33,Raw!$C$7:$C$39,0),MATCH(I32,Raw!$C$7:$EE$7,0)),"")))</f>
        <v>4</v>
      </c>
      <c r="J33" s="17">
        <f ca="1">IF(ISBLANK($D$6),"",(IFERROR(INDEX(Raw!$C$7:$EE$39,MATCH($B33,Raw!$C$7:$C$39,0),MATCH(J32,Raw!$C$7:$EE$7,0)),"")))</f>
        <v>9</v>
      </c>
      <c r="K33" s="17">
        <f ca="1">IF(ISBLANK($D$6),"",(IFERROR(INDEX(Raw!$C$7:$EE$39,MATCH($B33,Raw!$C$7:$C$39,0),MATCH(K32,Raw!$C$7:$EE$7,0)),"")))</f>
        <v>40</v>
      </c>
      <c r="L33" s="17">
        <f ca="1">IF(ISBLANK($D$6),"",(IFERROR(INDEX(Raw!$C$7:$EE$39,MATCH($B33,Raw!$C$7:$C$39,0),MATCH(L32,Raw!$C$7:$EE$7,0)),"")))</f>
        <v>5</v>
      </c>
      <c r="M33" s="17">
        <f ca="1">IF(ISBLANK($D$6),"",(IFERROR(INDEX(Raw!$C$7:$EE$39,MATCH($B33,Raw!$C$7:$C$39,0),MATCH(M32,Raw!$C$7:$EE$7,0)),"")))</f>
        <v>21</v>
      </c>
      <c r="P33" s="17" t="str">
        <f>(IFERROR(INDEX(Raw!$C$7:$EE$39,MATCH(#REF!,Raw!$C$7:$C$39,0),MATCH(P$87,Raw!$C$7:$EE$7,0)),""))</f>
        <v/>
      </c>
      <c r="Q33" s="17" t="str">
        <f>(IFERROR(INDEX(Raw!$C$7:$EE$39,MATCH(#REF!,Raw!$C$7:$C$39,0),MATCH(Q$87,Raw!$C$7:$EE$7,0)),""))</f>
        <v/>
      </c>
    </row>
    <row r="36" spans="2:22" x14ac:dyDescent="0.4">
      <c r="R36" s="16"/>
      <c r="S36" s="16"/>
      <c r="T36" s="16"/>
      <c r="U36" s="16"/>
      <c r="V36" s="16"/>
    </row>
    <row r="37" spans="2:22" x14ac:dyDescent="0.4">
      <c r="R37" s="16"/>
      <c r="S37" s="16"/>
      <c r="T37" s="16"/>
      <c r="U37" s="16"/>
      <c r="V37" s="16"/>
    </row>
    <row r="38" spans="2:22" x14ac:dyDescent="0.4">
      <c r="R38" s="16"/>
      <c r="S38" s="16"/>
      <c r="T38" s="16"/>
      <c r="U38" s="16"/>
      <c r="V38" s="16"/>
    </row>
    <row r="39" spans="2:22" x14ac:dyDescent="0.4">
      <c r="R39" s="16"/>
      <c r="S39" s="16"/>
      <c r="T39" s="16"/>
      <c r="U39" s="16"/>
      <c r="V39" s="16"/>
    </row>
    <row r="40" spans="2:22" x14ac:dyDescent="0.4">
      <c r="R40" s="16"/>
      <c r="S40" s="16"/>
      <c r="T40" s="16"/>
      <c r="U40" s="16"/>
      <c r="V40" s="16"/>
    </row>
    <row r="41" spans="2:22" x14ac:dyDescent="0.4">
      <c r="R41" s="16"/>
      <c r="S41" s="16"/>
      <c r="T41" s="16"/>
      <c r="U41" s="16"/>
      <c r="V41" s="16"/>
    </row>
    <row r="42" spans="2:22" x14ac:dyDescent="0.4">
      <c r="R42" s="16"/>
      <c r="S42" s="16"/>
      <c r="T42" s="16"/>
      <c r="U42" s="16"/>
      <c r="V42" s="16"/>
    </row>
    <row r="43" spans="2:22" x14ac:dyDescent="0.4">
      <c r="R43" s="16"/>
      <c r="S43" s="16"/>
      <c r="T43" s="16"/>
      <c r="U43" s="16"/>
      <c r="V43" s="16"/>
    </row>
    <row r="44" spans="2:22" x14ac:dyDescent="0.4">
      <c r="R44" s="16"/>
      <c r="S44" s="16"/>
      <c r="T44" s="16"/>
      <c r="U44" s="16"/>
      <c r="V44" s="16"/>
    </row>
    <row r="45" spans="2:22" x14ac:dyDescent="0.4">
      <c r="R45" s="16"/>
      <c r="S45" s="16"/>
      <c r="T45" s="16"/>
      <c r="U45" s="16"/>
      <c r="V45" s="16"/>
    </row>
    <row r="50" spans="2:22" ht="15.9" x14ac:dyDescent="0.4">
      <c r="B50" s="32" t="str">
        <f>VLOOKUP(B53, Raw!$A$8:$B$200, 2, FALSE)</f>
        <v>Example indicator</v>
      </c>
      <c r="C50" s="32"/>
      <c r="D50" s="32"/>
      <c r="E50" s="32"/>
      <c r="F50" s="32"/>
      <c r="G50" s="32"/>
      <c r="H50" s="32"/>
      <c r="I50" s="32"/>
      <c r="J50" s="32"/>
      <c r="K50" s="32"/>
      <c r="L50" s="32"/>
      <c r="M50" s="32"/>
    </row>
    <row r="51" spans="2:22" ht="1" customHeight="1" x14ac:dyDescent="0.4">
      <c r="B51" s="30"/>
      <c r="C51" s="20"/>
    </row>
    <row r="52" spans="2:22" x14ac:dyDescent="0.4">
      <c r="B52" s="3" t="s">
        <v>8</v>
      </c>
      <c r="C52" s="3" t="str">
        <f>IF(ISBLANK($D$6),"",(TEXT(($D$6),"mmm-yy")))</f>
        <v>Jan-24</v>
      </c>
      <c r="D52" s="3" t="str">
        <f t="shared" ref="D52:M52" si="2">(TEXT(DATE(YEAR(C52),MONTH(C52)+1,DAY(C52)),"MMM-YY"))</f>
        <v>Feb-24</v>
      </c>
      <c r="E52" s="3" t="str">
        <f t="shared" si="2"/>
        <v>Mar-24</v>
      </c>
      <c r="F52" s="3" t="str">
        <f t="shared" si="2"/>
        <v>Apr-24</v>
      </c>
      <c r="G52" s="3" t="str">
        <f t="shared" si="2"/>
        <v>May-24</v>
      </c>
      <c r="H52" s="3" t="str">
        <f t="shared" si="2"/>
        <v>Jun-24</v>
      </c>
      <c r="I52" s="3" t="str">
        <f t="shared" si="2"/>
        <v>Jul-24</v>
      </c>
      <c r="J52" s="3" t="str">
        <f t="shared" si="2"/>
        <v>Aug-24</v>
      </c>
      <c r="K52" s="3" t="str">
        <f t="shared" si="2"/>
        <v>Sep-24</v>
      </c>
      <c r="L52" s="3" t="str">
        <f t="shared" si="2"/>
        <v>Oct-24</v>
      </c>
      <c r="M52" s="3" t="str">
        <f t="shared" si="2"/>
        <v>Nov-24</v>
      </c>
      <c r="P52" s="19" t="str">
        <f>IFERROR(IF(DATEVALUE(M52)&gt;=DATEVALUE($EF$5),"",(TEXT(DATE(YEAR(M52),MONTH(M52)+1,DAY(M52)),"MMM-YY"))),"")</f>
        <v/>
      </c>
      <c r="Q52" s="19" t="str">
        <f>IFERROR(IF(DATEVALUE(P52)&gt;=DATEVALUE($EF$5),"",(TEXT(DATE(YEAR(P52),MONTH(P52)+1,DAY(P52)),"MMM-YY"))),"")</f>
        <v/>
      </c>
    </row>
    <row r="53" spans="2:22" x14ac:dyDescent="0.4">
      <c r="B53" s="18" t="s">
        <v>40</v>
      </c>
      <c r="C53" s="17">
        <f ca="1">IF(ISBLANK($D$6),"",(IFERROR(INDEX(Raw!$C$7:$EE$39,MATCH($B53,Raw!$C$7:$C$39,0),MATCH(C52,Raw!$C$7:$EE$7,0)),"")))</f>
        <v>12</v>
      </c>
      <c r="D53" s="17">
        <f ca="1">IF(ISBLANK($D$6),"",(IFERROR(INDEX(Raw!$C$7:$EE$39,MATCH($B53,Raw!$C$7:$C$39,0),MATCH(D52,Raw!$C$7:$EE$7,0)),"")))</f>
        <v>16</v>
      </c>
      <c r="E53" s="17">
        <f ca="1">IF(ISBLANK($D$6),"",(IFERROR(INDEX(Raw!$C$7:$EE$39,MATCH($B53,Raw!$C$7:$C$39,0),MATCH(E52,Raw!$C$7:$EE$7,0)),"")))</f>
        <v>26</v>
      </c>
      <c r="F53" s="17">
        <f ca="1">IF(ISBLANK($D$6),"",(IFERROR(INDEX(Raw!$C$7:$EE$39,MATCH($B53,Raw!$C$7:$C$39,0),MATCH(F52,Raw!$C$7:$EE$7,0)),"")))</f>
        <v>22</v>
      </c>
      <c r="G53" s="17">
        <f ca="1">IF(ISBLANK($D$6),"",(IFERROR(INDEX(Raw!$C$7:$EE$39,MATCH($B53,Raw!$C$7:$C$39,0),MATCH(G52,Raw!$C$7:$EE$7,0)),"")))</f>
        <v>9</v>
      </c>
      <c r="H53" s="17">
        <f ca="1">IF(ISBLANK($D$6),"",(IFERROR(INDEX(Raw!$C$7:$EE$39,MATCH($B53,Raw!$C$7:$C$39,0),MATCH(H52,Raw!$C$7:$EE$7,0)),"")))</f>
        <v>19</v>
      </c>
      <c r="I53" s="17">
        <f ca="1">IF(ISBLANK($D$6),"",(IFERROR(INDEX(Raw!$C$7:$EE$39,MATCH($B53,Raw!$C$7:$C$39,0),MATCH(I52,Raw!$C$7:$EE$7,0)),"")))</f>
        <v>17</v>
      </c>
      <c r="J53" s="17">
        <f ca="1">IF(ISBLANK($D$6),"",(IFERROR(INDEX(Raw!$C$7:$EE$39,MATCH($B53,Raw!$C$7:$C$39,0),MATCH(J52,Raw!$C$7:$EE$7,0)),"")))</f>
        <v>17</v>
      </c>
      <c r="K53" s="17">
        <f ca="1">IF(ISBLANK($D$6),"",(IFERROR(INDEX(Raw!$C$7:$EE$39,MATCH($B53,Raw!$C$7:$C$39,0),MATCH(K52,Raw!$C$7:$EE$7,0)),"")))</f>
        <v>2</v>
      </c>
      <c r="L53" s="17">
        <f ca="1">IF(ISBLANK($D$6),"",(IFERROR(INDEX(Raw!$C$7:$EE$39,MATCH($B53,Raw!$C$7:$C$39,0),MATCH(L52,Raw!$C$7:$EE$7,0)),"")))</f>
        <v>22</v>
      </c>
      <c r="M53" s="17">
        <f ca="1">IF(ISBLANK($D$6),"",(IFERROR(INDEX(Raw!$C$7:$EE$39,MATCH($B53,Raw!$C$7:$C$39,0),MATCH(M52,Raw!$C$7:$EE$7,0)),"")))</f>
        <v>17</v>
      </c>
      <c r="P53" s="17" t="str">
        <f>(IFERROR(INDEX(Raw!$C$7:$EE$39,MATCH(#REF!,Raw!$C$7:$C$39,0),MATCH(P$87,Raw!$C$7:$EE$7,0)),""))</f>
        <v/>
      </c>
      <c r="Q53" s="17" t="str">
        <f>(IFERROR(INDEX(Raw!$C$7:$EE$39,MATCH(#REF!,Raw!$C$7:$C$39,0),MATCH(Q$87,Raw!$C$7:$EE$7,0)),""))</f>
        <v/>
      </c>
    </row>
    <row r="56" spans="2:22" x14ac:dyDescent="0.4">
      <c r="R56" s="16"/>
      <c r="S56" s="16"/>
      <c r="T56" s="16"/>
      <c r="U56" s="16"/>
      <c r="V56" s="16"/>
    </row>
    <row r="57" spans="2:22" x14ac:dyDescent="0.4">
      <c r="R57" s="16"/>
      <c r="S57" s="16"/>
      <c r="T57" s="16"/>
      <c r="U57" s="16"/>
      <c r="V57" s="16"/>
    </row>
    <row r="58" spans="2:22" x14ac:dyDescent="0.4">
      <c r="R58" s="16"/>
      <c r="S58" s="16"/>
      <c r="T58" s="16"/>
      <c r="U58" s="16"/>
      <c r="V58" s="16"/>
    </row>
    <row r="59" spans="2:22" x14ac:dyDescent="0.4">
      <c r="R59" s="16"/>
      <c r="S59" s="16"/>
      <c r="T59" s="16"/>
      <c r="U59" s="16"/>
      <c r="V59" s="16"/>
    </row>
    <row r="60" spans="2:22" x14ac:dyDescent="0.4">
      <c r="R60" s="16"/>
      <c r="S60" s="16"/>
      <c r="T60" s="16"/>
      <c r="U60" s="16"/>
      <c r="V60" s="16"/>
    </row>
    <row r="61" spans="2:22" x14ac:dyDescent="0.4">
      <c r="R61" s="16"/>
      <c r="S61" s="16"/>
      <c r="T61" s="16"/>
      <c r="U61" s="16"/>
      <c r="V61" s="16"/>
    </row>
    <row r="62" spans="2:22" x14ac:dyDescent="0.4">
      <c r="R62" s="16"/>
      <c r="S62" s="16"/>
      <c r="T62" s="16"/>
      <c r="U62" s="16"/>
      <c r="V62" s="16"/>
    </row>
    <row r="63" spans="2:22" x14ac:dyDescent="0.4">
      <c r="R63" s="16"/>
      <c r="S63" s="16"/>
      <c r="T63" s="16"/>
      <c r="U63" s="16"/>
      <c r="V63" s="16"/>
    </row>
    <row r="64" spans="2:22" x14ac:dyDescent="0.4">
      <c r="R64" s="16"/>
      <c r="S64" s="16"/>
      <c r="T64" s="16"/>
      <c r="U64" s="16"/>
      <c r="V64" s="16"/>
    </row>
    <row r="65" spans="2:22" x14ac:dyDescent="0.4">
      <c r="R65" s="16"/>
      <c r="S65" s="16"/>
      <c r="T65" s="16"/>
      <c r="U65" s="16"/>
      <c r="V65" s="16"/>
    </row>
    <row r="70" spans="2:22" ht="15.9" x14ac:dyDescent="0.4">
      <c r="B70" s="32" t="str">
        <f>VLOOKUP(B73, Raw!$A$8:$B$200, 2, FALSE)</f>
        <v>Number of registered customers</v>
      </c>
      <c r="C70" s="32"/>
      <c r="D70" s="32"/>
      <c r="E70" s="32"/>
      <c r="F70" s="32"/>
      <c r="G70" s="32"/>
      <c r="H70" s="32"/>
      <c r="I70" s="32"/>
      <c r="J70" s="32"/>
      <c r="K70" s="32"/>
      <c r="L70" s="32"/>
      <c r="M70" s="32"/>
    </row>
    <row r="71" spans="2:22" ht="1" customHeight="1" x14ac:dyDescent="0.4">
      <c r="B71" s="30"/>
      <c r="C71" s="20"/>
    </row>
    <row r="72" spans="2:22" x14ac:dyDescent="0.4">
      <c r="B72" s="3" t="s">
        <v>8</v>
      </c>
      <c r="C72" s="3" t="str">
        <f>IF(ISBLANK($D$6),"",(TEXT(($D$6),"mmm-yy")))</f>
        <v>Jan-24</v>
      </c>
      <c r="D72" s="3" t="str">
        <f t="shared" ref="D72:M72" si="3">(TEXT(DATE(YEAR(C72),MONTH(C72)+1,DAY(C72)),"MMM-YY"))</f>
        <v>Feb-24</v>
      </c>
      <c r="E72" s="3" t="str">
        <f t="shared" si="3"/>
        <v>Mar-24</v>
      </c>
      <c r="F72" s="3" t="str">
        <f t="shared" si="3"/>
        <v>Apr-24</v>
      </c>
      <c r="G72" s="3" t="str">
        <f t="shared" si="3"/>
        <v>May-24</v>
      </c>
      <c r="H72" s="3" t="str">
        <f t="shared" si="3"/>
        <v>Jun-24</v>
      </c>
      <c r="I72" s="3" t="str">
        <f t="shared" si="3"/>
        <v>Jul-24</v>
      </c>
      <c r="J72" s="3" t="str">
        <f t="shared" si="3"/>
        <v>Aug-24</v>
      </c>
      <c r="K72" s="3" t="str">
        <f t="shared" si="3"/>
        <v>Sep-24</v>
      </c>
      <c r="L72" s="3" t="str">
        <f t="shared" si="3"/>
        <v>Oct-24</v>
      </c>
      <c r="M72" s="3" t="str">
        <f t="shared" si="3"/>
        <v>Nov-24</v>
      </c>
      <c r="P72" s="19" t="str">
        <f>IFERROR(IF(DATEVALUE(M72)&gt;=DATEVALUE($EF$5),"",(TEXT(DATE(YEAR(M72),MONTH(M72)+1,DAY(M72)),"MMM-YY"))),"")</f>
        <v/>
      </c>
      <c r="Q72" s="19" t="str">
        <f>IFERROR(IF(DATEVALUE(P72)&gt;=DATEVALUE($EF$5),"",(TEXT(DATE(YEAR(P72),MONTH(P72)+1,DAY(P72)),"MMM-YY"))),"")</f>
        <v/>
      </c>
    </row>
    <row r="73" spans="2:22" x14ac:dyDescent="0.4">
      <c r="B73" s="18" t="s">
        <v>16</v>
      </c>
      <c r="C73" s="17">
        <f ca="1">IF(ISBLANK($D$6),"",(IFERROR(INDEX(Raw!$C$7:$EE$39,MATCH($B73,Raw!$C$7:$C$39,0),MATCH(C72,Raw!$C$7:$EE$7,0)),"")))</f>
        <v>387</v>
      </c>
      <c r="D73" s="17">
        <f ca="1">IF(ISBLANK($D$6),"",(IFERROR(INDEX(Raw!$C$7:$EE$39,MATCH($B73,Raw!$C$7:$C$39,0),MATCH(D72,Raw!$C$7:$EE$7,0)),"")))</f>
        <v>391</v>
      </c>
      <c r="E73" s="17">
        <f ca="1">IF(ISBLANK($D$6),"",(IFERROR(INDEX(Raw!$C$7:$EE$39,MATCH($B73,Raw!$C$7:$C$39,0),MATCH(E72,Raw!$C$7:$EE$7,0)),"")))</f>
        <v>393</v>
      </c>
      <c r="F73" s="17">
        <f ca="1">IF(ISBLANK($D$6),"",(IFERROR(INDEX(Raw!$C$7:$EE$39,MATCH($B73,Raw!$C$7:$C$39,0),MATCH(F72,Raw!$C$7:$EE$7,0)),"")))</f>
        <v>401</v>
      </c>
      <c r="G73" s="17">
        <f ca="1">IF(ISBLANK($D$6),"",(IFERROR(INDEX(Raw!$C$7:$EE$39,MATCH($B73,Raw!$C$7:$C$39,0),MATCH(G72,Raw!$C$7:$EE$7,0)),"")))</f>
        <v>407</v>
      </c>
      <c r="H73" s="17">
        <f ca="1">IF(ISBLANK($D$6),"",(IFERROR(INDEX(Raw!$C$7:$EE$39,MATCH($B73,Raw!$C$7:$C$39,0),MATCH(H72,Raw!$C$7:$EE$7,0)),"")))</f>
        <v>410</v>
      </c>
      <c r="I73" s="17">
        <f ca="1">IF(ISBLANK($D$6),"",(IFERROR(INDEX(Raw!$C$7:$EE$39,MATCH($B73,Raw!$C$7:$C$39,0),MATCH(I72,Raw!$C$7:$EE$7,0)),"")))</f>
        <v>413</v>
      </c>
      <c r="J73" s="17">
        <f ca="1">IF(ISBLANK($D$6),"",(IFERROR(INDEX(Raw!$C$7:$EE$39,MATCH($B73,Raw!$C$7:$C$39,0),MATCH(J72,Raw!$C$7:$EE$7,0)),"")))</f>
        <v>423</v>
      </c>
      <c r="K73" s="17">
        <f ca="1">IF(ISBLANK($D$6),"",(IFERROR(INDEX(Raw!$C$7:$EE$39,MATCH($B73,Raw!$C$7:$C$39,0),MATCH(K72,Raw!$C$7:$EE$7,0)),"")))</f>
        <v>425</v>
      </c>
      <c r="L73" s="17">
        <f ca="1">IF(ISBLANK($D$6),"",(IFERROR(INDEX(Raw!$C$7:$EE$39,MATCH($B73,Raw!$C$7:$C$39,0),MATCH(L72,Raw!$C$7:$EE$7,0)),"")))</f>
        <v>435</v>
      </c>
      <c r="M73" s="17">
        <f ca="1">IF(ISBLANK($D$6),"",(IFERROR(INDEX(Raw!$C$7:$EE$39,MATCH($B73,Raw!$C$7:$C$39,0),MATCH(M72,Raw!$C$7:$EE$7,0)),"")))</f>
        <v>437</v>
      </c>
      <c r="P73" s="17" t="str">
        <f>(IFERROR(INDEX(Raw!$C$7:$EE$39,MATCH(#REF!,Raw!$C$7:$C$39,0),MATCH(P$87,Raw!$C$7:$EE$7,0)),""))</f>
        <v/>
      </c>
      <c r="Q73" s="17" t="str">
        <f>(IFERROR(INDEX(Raw!$C$7:$EE$39,MATCH(#REF!,Raw!$C$7:$C$39,0),MATCH(Q$87,Raw!$C$7:$EE$7,0)),""))</f>
        <v/>
      </c>
    </row>
    <row r="76" spans="2:22" x14ac:dyDescent="0.4">
      <c r="R76" s="16"/>
      <c r="S76" s="16"/>
      <c r="T76" s="16"/>
      <c r="U76" s="16"/>
      <c r="V76" s="16"/>
    </row>
    <row r="77" spans="2:22" x14ac:dyDescent="0.4">
      <c r="R77" s="16"/>
      <c r="S77" s="16"/>
      <c r="T77" s="16"/>
      <c r="U77" s="16"/>
      <c r="V77" s="16"/>
    </row>
    <row r="78" spans="2:22" x14ac:dyDescent="0.4">
      <c r="R78" s="16"/>
      <c r="S78" s="16"/>
      <c r="T78" s="16"/>
      <c r="U78" s="16"/>
      <c r="V78" s="16"/>
    </row>
    <row r="79" spans="2:22" x14ac:dyDescent="0.4">
      <c r="R79" s="16"/>
      <c r="S79" s="16"/>
      <c r="T79" s="16"/>
      <c r="U79" s="16"/>
      <c r="V79" s="16"/>
    </row>
    <row r="80" spans="2:22" x14ac:dyDescent="0.4">
      <c r="R80" s="16"/>
      <c r="S80" s="16"/>
      <c r="T80" s="16"/>
      <c r="U80" s="16"/>
      <c r="V80" s="16"/>
    </row>
    <row r="81" spans="11:22" x14ac:dyDescent="0.4">
      <c r="R81" s="16"/>
      <c r="S81" s="16"/>
      <c r="T81" s="16"/>
      <c r="U81" s="16"/>
      <c r="V81" s="16"/>
    </row>
    <row r="82" spans="11:22" x14ac:dyDescent="0.4">
      <c r="R82" s="16"/>
      <c r="S82" s="16"/>
      <c r="T82" s="16"/>
      <c r="U82" s="16"/>
      <c r="V82" s="16"/>
    </row>
    <row r="83" spans="11:22" x14ac:dyDescent="0.4">
      <c r="R83" s="16"/>
      <c r="S83" s="16"/>
      <c r="T83" s="16"/>
      <c r="U83" s="16"/>
      <c r="V83" s="16"/>
    </row>
    <row r="84" spans="11:22" x14ac:dyDescent="0.4">
      <c r="R84" s="16"/>
      <c r="S84" s="16"/>
      <c r="T84" s="16"/>
      <c r="U84" s="16"/>
      <c r="V84" s="16"/>
    </row>
    <row r="85" spans="11:22" x14ac:dyDescent="0.4">
      <c r="R85" s="16"/>
      <c r="S85" s="16"/>
      <c r="T85" s="16"/>
      <c r="U85" s="16"/>
      <c r="V85" s="16"/>
    </row>
    <row r="91" spans="11:22" x14ac:dyDescent="0.4">
      <c r="K91" t="s">
        <v>1</v>
      </c>
    </row>
  </sheetData>
  <sheetProtection algorithmName="SHA-512" hashValue="fGBrGrF2m0037bbB6Zb3QyjuJxRRdCXzI9hDQ7yrOnZ/sTEWLcoh6ZxZ30/SMDBO3i0TnZKb9EhKhA0TOvP1Qw==" saltValue="+IWRE03FlI+0iXqsQkfqUg==" spinCount="100000" sheet="1" objects="1" scenarios="1"/>
  <conditionalFormatting sqref="B10:M10">
    <cfRule type="expression" dxfId="49" priority="16">
      <formula>$C$2="Summer"</formula>
    </cfRule>
    <cfRule type="expression" dxfId="48" priority="17">
      <formula>$C$2="Winter"</formula>
    </cfRule>
    <cfRule type="expression" dxfId="47" priority="18">
      <formula>$C$2="Autumn"</formula>
    </cfRule>
    <cfRule type="expression" dxfId="46" priority="19">
      <formula>$C$2="Spring"</formula>
    </cfRule>
    <cfRule type="notContainsBlanks" dxfId="45" priority="20">
      <formula>LEN(TRIM(B10))&gt;0</formula>
    </cfRule>
  </conditionalFormatting>
  <conditionalFormatting sqref="B12:M12 B32:M32 B52:M52 B72:M72">
    <cfRule type="expression" priority="49">
      <formula>$C$2="Blank"</formula>
    </cfRule>
    <cfRule type="expression" dxfId="44" priority="92">
      <formula>$C$2="Spring"</formula>
    </cfRule>
    <cfRule type="expression" dxfId="43" priority="89">
      <formula>$C$2="Summer"</formula>
    </cfRule>
    <cfRule type="expression" dxfId="42" priority="90">
      <formula>$C$2="Winter"</formula>
    </cfRule>
    <cfRule type="expression" dxfId="41" priority="91">
      <formula>$C$2="Autumn"</formula>
    </cfRule>
  </conditionalFormatting>
  <conditionalFormatting sqref="B30:M30">
    <cfRule type="expression" dxfId="40" priority="11">
      <formula>$C$2="Summer"</formula>
    </cfRule>
    <cfRule type="expression" dxfId="39" priority="12">
      <formula>$C$2="Winter"</formula>
    </cfRule>
    <cfRule type="expression" dxfId="38" priority="13">
      <formula>$C$2="Autumn"</formula>
    </cfRule>
    <cfRule type="expression" dxfId="37" priority="14">
      <formula>$C$2="Spring"</formula>
    </cfRule>
    <cfRule type="notContainsBlanks" dxfId="36" priority="15">
      <formula>LEN(TRIM(B30))&gt;0</formula>
    </cfRule>
  </conditionalFormatting>
  <conditionalFormatting sqref="B50:M50">
    <cfRule type="expression" dxfId="35" priority="6">
      <formula>$C$2="Summer"</formula>
    </cfRule>
    <cfRule type="expression" dxfId="34" priority="7">
      <formula>$C$2="Winter"</formula>
    </cfRule>
    <cfRule type="expression" dxfId="33" priority="8">
      <formula>$C$2="Autumn"</formula>
    </cfRule>
    <cfRule type="expression" dxfId="32" priority="9">
      <formula>$C$2="Spring"</formula>
    </cfRule>
    <cfRule type="notContainsBlanks" dxfId="31" priority="10">
      <formula>LEN(TRIM(B50))&gt;0</formula>
    </cfRule>
  </conditionalFormatting>
  <conditionalFormatting sqref="B70:M70">
    <cfRule type="expression" dxfId="30" priority="2">
      <formula>$C$2="Winter"</formula>
    </cfRule>
    <cfRule type="expression" dxfId="29" priority="3">
      <formula>$C$2="Autumn"</formula>
    </cfRule>
    <cfRule type="expression" dxfId="28" priority="4">
      <formula>$C$2="Spring"</formula>
    </cfRule>
    <cfRule type="notContainsBlanks" dxfId="27" priority="5">
      <formula>LEN(TRIM(B70))&gt;0</formula>
    </cfRule>
    <cfRule type="expression" dxfId="26" priority="1">
      <formula>$C$2="Summer"</formula>
    </cfRule>
  </conditionalFormatting>
  <conditionalFormatting sqref="C7:C8">
    <cfRule type="expression" dxfId="25" priority="48">
      <formula>$C$2="Spring"</formula>
    </cfRule>
    <cfRule type="expression" dxfId="24" priority="47">
      <formula>$C$2="Summer"</formula>
    </cfRule>
    <cfRule type="expression" priority="44">
      <formula>$C$2="Blank"</formula>
    </cfRule>
    <cfRule type="expression" dxfId="23" priority="45">
      <formula>$C$2="Autumn"</formula>
    </cfRule>
    <cfRule type="expression" dxfId="22" priority="46">
      <formula>$C$2="Winter"</formula>
    </cfRule>
  </conditionalFormatting>
  <conditionalFormatting sqref="C11">
    <cfRule type="duplicateValues" dxfId="21" priority="86"/>
  </conditionalFormatting>
  <conditionalFormatting sqref="C31">
    <cfRule type="duplicateValues" dxfId="20" priority="43"/>
  </conditionalFormatting>
  <conditionalFormatting sqref="C51">
    <cfRule type="duplicateValues" dxfId="19" priority="42"/>
  </conditionalFormatting>
  <conditionalFormatting sqref="C71">
    <cfRule type="duplicateValues" dxfId="18" priority="41"/>
  </conditionalFormatting>
  <conditionalFormatting sqref="P12:Q13">
    <cfRule type="containsErrors" dxfId="17" priority="87">
      <formula>ISERROR(P12)</formula>
    </cfRule>
    <cfRule type="containsBlanks" dxfId="16" priority="88">
      <formula>LEN(TRIM(P12))=0</formula>
    </cfRule>
  </conditionalFormatting>
  <conditionalFormatting sqref="P32:Q33">
    <cfRule type="containsErrors" dxfId="15" priority="84">
      <formula>ISERROR(P32)</formula>
    </cfRule>
    <cfRule type="containsBlanks" dxfId="14" priority="85">
      <formula>LEN(TRIM(P32))=0</formula>
    </cfRule>
  </conditionalFormatting>
  <conditionalFormatting sqref="P52:Q53">
    <cfRule type="containsBlanks" dxfId="13" priority="81">
      <formula>LEN(TRIM(P52))=0</formula>
    </cfRule>
    <cfRule type="containsErrors" dxfId="12" priority="80">
      <formula>ISERROR(P52)</formula>
    </cfRule>
  </conditionalFormatting>
  <conditionalFormatting sqref="P72:Q73">
    <cfRule type="containsBlanks" dxfId="11" priority="77">
      <formula>LEN(TRIM(P72))=0</formula>
    </cfRule>
    <cfRule type="containsErrors" dxfId="10" priority="76">
      <formula>ISERROR(P72)</formula>
    </cfRule>
  </conditionalFormatting>
  <dataValidations count="1">
    <dataValidation type="list" allowBlank="1" showInputMessage="1" showErrorMessage="1" sqref="C10:C11 C30:C31 C50:C51 C70:C71" xr:uid="{2179E878-22B6-4EAE-B43C-AF69A57EAF2B}">
      <formula1>$D$6:$D$41</formula1>
    </dataValidation>
  </dataValidations>
  <pageMargins left="0.70866141732283472" right="0.70866141732283472" top="0.74803149606299213" bottom="0.74803149606299213" header="0.31496062992125984" footer="0.31496062992125984"/>
  <pageSetup paperSize="9" scale="55" orientation="portrait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17ED9BDD-633B-4DC6-9A41-1A8574FD0996}">
          <x14:formula1>
            <xm:f>Lists!$E$11:$E$21</xm:f>
          </x14:formula1>
          <xm:sqref>C8</xm:sqref>
        </x14:dataValidation>
        <x14:dataValidation type="list" allowBlank="1" showInputMessage="1" showErrorMessage="1" xr:uid="{F1A5CE54-D3D1-4A6B-B27D-EBFE0B549EC6}">
          <x14:formula1>
            <xm:f>Lists!$C$11:$C$22</xm:f>
          </x14:formula1>
          <xm:sqref>C7</xm:sqref>
        </x14:dataValidation>
        <x14:dataValidation type="list" allowBlank="1" showInputMessage="1" showErrorMessage="1" xr:uid="{394BF927-283C-4426-8B1D-FB0C47EBB2B9}">
          <x14:formula1>
            <xm:f>Raw!$C$8:$C$200</xm:f>
          </x14:formula1>
          <xm:sqref>B13 B33 B53 B73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98169-491C-473C-A955-DC9B370E0249}">
  <sheetPr>
    <tabColor rgb="FFCC99FF"/>
    <pageSetUpPr fitToPage="1"/>
  </sheetPr>
  <dimension ref="A2:EH203"/>
  <sheetViews>
    <sheetView topLeftCell="B1" zoomScale="70" zoomScaleNormal="70" workbookViewId="0">
      <pane ySplit="7" topLeftCell="A8" activePane="bottomLeft" state="frozen"/>
      <selection activeCell="B2" sqref="B2"/>
      <selection pane="bottomLeft" activeCell="B8" sqref="B8"/>
    </sheetView>
  </sheetViews>
  <sheetFormatPr defaultRowHeight="14.6" x14ac:dyDescent="0.4"/>
  <cols>
    <col min="2" max="2" width="34.3828125" customWidth="1"/>
    <col min="3" max="3" width="16" customWidth="1"/>
    <col min="4" max="4" width="8.15234375" customWidth="1"/>
    <col min="5" max="5" width="8.53515625" customWidth="1"/>
    <col min="6" max="6" width="8" customWidth="1"/>
    <col min="7" max="7" width="7.69140625" customWidth="1"/>
    <col min="8" max="9" width="8.3828125" customWidth="1"/>
    <col min="10" max="10" width="8.23046875" customWidth="1"/>
    <col min="11" max="11" width="8.4609375" customWidth="1"/>
    <col min="12" max="12" width="8.53515625" customWidth="1"/>
    <col min="13" max="13" width="8" customWidth="1"/>
    <col min="14" max="14" width="8.3828125" customWidth="1"/>
    <col min="15" max="15" width="8.4609375" customWidth="1"/>
    <col min="16" max="16" width="8.15234375" customWidth="1"/>
    <col min="17" max="17" width="8.53515625" customWidth="1"/>
    <col min="18" max="18" width="8" customWidth="1"/>
    <col min="19" max="19" width="7.69140625" customWidth="1"/>
    <col min="20" max="21" width="8.3828125" customWidth="1"/>
    <col min="22" max="22" width="8.23046875" customWidth="1"/>
    <col min="23" max="23" width="8.4609375" customWidth="1"/>
    <col min="24" max="24" width="8.53515625" customWidth="1"/>
    <col min="25" max="25" width="8" customWidth="1"/>
    <col min="26" max="26" width="8.3828125" customWidth="1"/>
    <col min="27" max="27" width="8.4609375" customWidth="1"/>
    <col min="28" max="28" width="8.15234375" customWidth="1"/>
    <col min="29" max="29" width="8.53515625" customWidth="1"/>
    <col min="30" max="30" width="8" customWidth="1"/>
    <col min="31" max="31" width="7.69140625" customWidth="1"/>
    <col min="32" max="33" width="8.3828125" customWidth="1"/>
    <col min="34" max="34" width="8.23046875" customWidth="1"/>
    <col min="35" max="35" width="8.4609375" customWidth="1"/>
    <col min="36" max="36" width="8.53515625" customWidth="1"/>
    <col min="37" max="37" width="8" customWidth="1"/>
    <col min="38" max="38" width="8.3828125" customWidth="1"/>
    <col min="39" max="39" width="8.4609375" customWidth="1"/>
    <col min="40" max="40" width="8.15234375" customWidth="1"/>
    <col min="41" max="49" width="9.921875" customWidth="1"/>
    <col min="50" max="135" width="10.84375" customWidth="1"/>
  </cols>
  <sheetData>
    <row r="2" spans="1:138" ht="15.9" x14ac:dyDescent="0.45">
      <c r="C2" s="7" t="str">
        <f>'Set-up'!$C$2</f>
        <v>Summer</v>
      </c>
      <c r="H2" t="s">
        <v>15</v>
      </c>
    </row>
    <row r="3" spans="1:138" ht="15.9" x14ac:dyDescent="0.45">
      <c r="B3" s="7"/>
      <c r="H3" t="s">
        <v>50</v>
      </c>
    </row>
    <row r="4" spans="1:138" ht="44.25" customHeight="1" x14ac:dyDescent="0.4">
      <c r="H4" s="51" t="s">
        <v>51</v>
      </c>
      <c r="I4" s="51"/>
      <c r="J4" s="51"/>
      <c r="K4" s="51"/>
      <c r="L4" s="51"/>
      <c r="M4" s="51"/>
    </row>
    <row r="5" spans="1:138" ht="6.75" customHeight="1" x14ac:dyDescent="0.4">
      <c r="B5" s="7"/>
      <c r="C5" s="7"/>
      <c r="D5" s="7"/>
      <c r="E5" s="7"/>
      <c r="F5" s="7"/>
    </row>
    <row r="6" spans="1:138" s="2" customFormat="1" ht="4.8499999999999996" customHeight="1" x14ac:dyDescent="0.4">
      <c r="B6" s="14"/>
      <c r="C6" s="15" t="str">
        <f ca="1">TEXT(TODAY(), "Mmmm")</f>
        <v>October</v>
      </c>
      <c r="D6" s="15"/>
      <c r="E6" s="15" t="str">
        <f ca="1">TEXT(TODAY(), "Yyyy")</f>
        <v>2025</v>
      </c>
      <c r="F6" s="15"/>
    </row>
    <row r="7" spans="1:138" ht="23.15" customHeight="1" x14ac:dyDescent="0.4">
      <c r="B7" s="25" t="s">
        <v>14</v>
      </c>
      <c r="C7" s="3" t="s">
        <v>8</v>
      </c>
      <c r="D7" s="3" t="str">
        <f>TEXT(DATE(Lists!$E$11, MONTH(1), DAY(1)), "Mmm-YY")</f>
        <v>Jan-20</v>
      </c>
      <c r="E7" s="3" t="str">
        <f t="shared" ref="E7:AJ7" si="0">TEXT(DATE(YEAR(D7), MONTH(D7)+1, DAY(D7)), "Mmm-yy")</f>
        <v>Feb-20</v>
      </c>
      <c r="F7" s="3" t="str">
        <f t="shared" si="0"/>
        <v>Mar-20</v>
      </c>
      <c r="G7" s="3" t="str">
        <f t="shared" si="0"/>
        <v>Apr-20</v>
      </c>
      <c r="H7" s="3" t="str">
        <f t="shared" si="0"/>
        <v>May-20</v>
      </c>
      <c r="I7" s="3" t="str">
        <f t="shared" si="0"/>
        <v>Jun-20</v>
      </c>
      <c r="J7" s="3" t="str">
        <f t="shared" si="0"/>
        <v>Jul-20</v>
      </c>
      <c r="K7" s="3" t="str">
        <f t="shared" si="0"/>
        <v>Aug-20</v>
      </c>
      <c r="L7" s="3" t="str">
        <f t="shared" si="0"/>
        <v>Sep-20</v>
      </c>
      <c r="M7" s="3" t="str">
        <f t="shared" si="0"/>
        <v>Oct-20</v>
      </c>
      <c r="N7" s="3" t="str">
        <f t="shared" si="0"/>
        <v>Nov-20</v>
      </c>
      <c r="O7" s="3" t="str">
        <f t="shared" si="0"/>
        <v>Dec-20</v>
      </c>
      <c r="P7" s="3" t="str">
        <f t="shared" si="0"/>
        <v>Jan-21</v>
      </c>
      <c r="Q7" s="3" t="str">
        <f t="shared" si="0"/>
        <v>Feb-21</v>
      </c>
      <c r="R7" s="3" t="str">
        <f t="shared" si="0"/>
        <v>Mar-21</v>
      </c>
      <c r="S7" s="3" t="str">
        <f t="shared" si="0"/>
        <v>Apr-21</v>
      </c>
      <c r="T7" s="3" t="str">
        <f t="shared" si="0"/>
        <v>May-21</v>
      </c>
      <c r="U7" s="3" t="str">
        <f t="shared" si="0"/>
        <v>Jun-21</v>
      </c>
      <c r="V7" s="3" t="str">
        <f t="shared" si="0"/>
        <v>Jul-21</v>
      </c>
      <c r="W7" s="3" t="str">
        <f t="shared" si="0"/>
        <v>Aug-21</v>
      </c>
      <c r="X7" s="3" t="str">
        <f t="shared" si="0"/>
        <v>Sep-21</v>
      </c>
      <c r="Y7" s="3" t="str">
        <f t="shared" si="0"/>
        <v>Oct-21</v>
      </c>
      <c r="Z7" s="3" t="str">
        <f t="shared" si="0"/>
        <v>Nov-21</v>
      </c>
      <c r="AA7" s="3" t="str">
        <f t="shared" si="0"/>
        <v>Dec-21</v>
      </c>
      <c r="AB7" s="3" t="str">
        <f t="shared" si="0"/>
        <v>Jan-22</v>
      </c>
      <c r="AC7" s="3" t="str">
        <f t="shared" si="0"/>
        <v>Feb-22</v>
      </c>
      <c r="AD7" s="3" t="str">
        <f t="shared" si="0"/>
        <v>Mar-22</v>
      </c>
      <c r="AE7" s="3" t="str">
        <f t="shared" si="0"/>
        <v>Apr-22</v>
      </c>
      <c r="AF7" s="3" t="str">
        <f t="shared" si="0"/>
        <v>May-22</v>
      </c>
      <c r="AG7" s="3" t="str">
        <f t="shared" si="0"/>
        <v>Jun-22</v>
      </c>
      <c r="AH7" s="3" t="str">
        <f t="shared" si="0"/>
        <v>Jul-22</v>
      </c>
      <c r="AI7" s="3" t="str">
        <f t="shared" si="0"/>
        <v>Aug-22</v>
      </c>
      <c r="AJ7" s="3" t="str">
        <f t="shared" si="0"/>
        <v>Sep-22</v>
      </c>
      <c r="AK7" s="3" t="str">
        <f t="shared" ref="AK7:BP7" si="1">TEXT(DATE(YEAR(AJ7), MONTH(AJ7)+1, DAY(AJ7)), "Mmm-yy")</f>
        <v>Oct-22</v>
      </c>
      <c r="AL7" s="3" t="str">
        <f t="shared" si="1"/>
        <v>Nov-22</v>
      </c>
      <c r="AM7" s="3" t="str">
        <f t="shared" si="1"/>
        <v>Dec-22</v>
      </c>
      <c r="AN7" s="3" t="str">
        <f t="shared" si="1"/>
        <v>Jan-23</v>
      </c>
      <c r="AO7" s="3" t="str">
        <f t="shared" si="1"/>
        <v>Feb-23</v>
      </c>
      <c r="AP7" s="3" t="str">
        <f t="shared" si="1"/>
        <v>Mar-23</v>
      </c>
      <c r="AQ7" s="3" t="str">
        <f t="shared" si="1"/>
        <v>Apr-23</v>
      </c>
      <c r="AR7" s="3" t="str">
        <f t="shared" si="1"/>
        <v>May-23</v>
      </c>
      <c r="AS7" s="3" t="str">
        <f t="shared" si="1"/>
        <v>Jun-23</v>
      </c>
      <c r="AT7" s="3" t="str">
        <f t="shared" si="1"/>
        <v>Jul-23</v>
      </c>
      <c r="AU7" s="3" t="str">
        <f t="shared" si="1"/>
        <v>Aug-23</v>
      </c>
      <c r="AV7" s="3" t="str">
        <f t="shared" si="1"/>
        <v>Sep-23</v>
      </c>
      <c r="AW7" s="3" t="str">
        <f t="shared" si="1"/>
        <v>Oct-23</v>
      </c>
      <c r="AX7" s="3" t="str">
        <f t="shared" si="1"/>
        <v>Nov-23</v>
      </c>
      <c r="AY7" s="3" t="str">
        <f t="shared" si="1"/>
        <v>Dec-23</v>
      </c>
      <c r="AZ7" s="3" t="str">
        <f t="shared" si="1"/>
        <v>Jan-24</v>
      </c>
      <c r="BA7" s="3" t="str">
        <f t="shared" si="1"/>
        <v>Feb-24</v>
      </c>
      <c r="BB7" s="3" t="str">
        <f t="shared" si="1"/>
        <v>Mar-24</v>
      </c>
      <c r="BC7" s="3" t="str">
        <f t="shared" si="1"/>
        <v>Apr-24</v>
      </c>
      <c r="BD7" s="3" t="str">
        <f t="shared" si="1"/>
        <v>May-24</v>
      </c>
      <c r="BE7" s="3" t="str">
        <f t="shared" si="1"/>
        <v>Jun-24</v>
      </c>
      <c r="BF7" s="3" t="str">
        <f t="shared" si="1"/>
        <v>Jul-24</v>
      </c>
      <c r="BG7" s="3" t="str">
        <f t="shared" si="1"/>
        <v>Aug-24</v>
      </c>
      <c r="BH7" s="3" t="str">
        <f t="shared" si="1"/>
        <v>Sep-24</v>
      </c>
      <c r="BI7" s="3" t="str">
        <f t="shared" si="1"/>
        <v>Oct-24</v>
      </c>
      <c r="BJ7" s="3" t="str">
        <f t="shared" si="1"/>
        <v>Nov-24</v>
      </c>
      <c r="BK7" s="3" t="str">
        <f t="shared" si="1"/>
        <v>Dec-24</v>
      </c>
      <c r="BL7" s="3" t="str">
        <f t="shared" si="1"/>
        <v>Jan-25</v>
      </c>
      <c r="BM7" s="3" t="str">
        <f t="shared" si="1"/>
        <v>Feb-25</v>
      </c>
      <c r="BN7" s="3" t="str">
        <f t="shared" si="1"/>
        <v>Mar-25</v>
      </c>
      <c r="BO7" s="3" t="str">
        <f t="shared" si="1"/>
        <v>Apr-25</v>
      </c>
      <c r="BP7" s="3" t="str">
        <f t="shared" si="1"/>
        <v>May-25</v>
      </c>
      <c r="BQ7" s="3" t="str">
        <f t="shared" ref="BQ7:CV7" si="2">TEXT(DATE(YEAR(BP7), MONTH(BP7)+1, DAY(BP7)), "Mmm-yy")</f>
        <v>Jun-25</v>
      </c>
      <c r="BR7" s="3" t="str">
        <f t="shared" si="2"/>
        <v>Jul-25</v>
      </c>
      <c r="BS7" s="3" t="str">
        <f t="shared" si="2"/>
        <v>Aug-25</v>
      </c>
      <c r="BT7" s="3" t="str">
        <f t="shared" si="2"/>
        <v>Sep-25</v>
      </c>
      <c r="BU7" s="3" t="str">
        <f t="shared" si="2"/>
        <v>Oct-25</v>
      </c>
      <c r="BV7" s="3" t="str">
        <f t="shared" si="2"/>
        <v>Nov-25</v>
      </c>
      <c r="BW7" s="3" t="str">
        <f t="shared" si="2"/>
        <v>Dec-25</v>
      </c>
      <c r="BX7" s="3" t="str">
        <f t="shared" si="2"/>
        <v>Jan-26</v>
      </c>
      <c r="BY7" s="3" t="str">
        <f t="shared" si="2"/>
        <v>Feb-26</v>
      </c>
      <c r="BZ7" s="3" t="str">
        <f t="shared" si="2"/>
        <v>Mar-26</v>
      </c>
      <c r="CA7" s="3" t="str">
        <f t="shared" si="2"/>
        <v>Apr-26</v>
      </c>
      <c r="CB7" s="3" t="str">
        <f t="shared" si="2"/>
        <v>May-26</v>
      </c>
      <c r="CC7" s="3" t="str">
        <f t="shared" si="2"/>
        <v>Jun-26</v>
      </c>
      <c r="CD7" s="3" t="str">
        <f t="shared" si="2"/>
        <v>Jul-26</v>
      </c>
      <c r="CE7" s="3" t="str">
        <f t="shared" si="2"/>
        <v>Aug-26</v>
      </c>
      <c r="CF7" s="3" t="str">
        <f t="shared" si="2"/>
        <v>Sep-26</v>
      </c>
      <c r="CG7" s="3" t="str">
        <f t="shared" si="2"/>
        <v>Oct-26</v>
      </c>
      <c r="CH7" s="3" t="str">
        <f t="shared" si="2"/>
        <v>Nov-26</v>
      </c>
      <c r="CI7" s="3" t="str">
        <f t="shared" si="2"/>
        <v>Dec-26</v>
      </c>
      <c r="CJ7" s="3" t="str">
        <f t="shared" si="2"/>
        <v>Jan-27</v>
      </c>
      <c r="CK7" s="3" t="str">
        <f t="shared" si="2"/>
        <v>Feb-27</v>
      </c>
      <c r="CL7" s="3" t="str">
        <f t="shared" si="2"/>
        <v>Mar-27</v>
      </c>
      <c r="CM7" s="3" t="str">
        <f t="shared" si="2"/>
        <v>Apr-27</v>
      </c>
      <c r="CN7" s="3" t="str">
        <f t="shared" si="2"/>
        <v>May-27</v>
      </c>
      <c r="CO7" s="3" t="str">
        <f t="shared" si="2"/>
        <v>Jun-27</v>
      </c>
      <c r="CP7" s="3" t="str">
        <f t="shared" si="2"/>
        <v>Jul-27</v>
      </c>
      <c r="CQ7" s="3" t="str">
        <f t="shared" si="2"/>
        <v>Aug-27</v>
      </c>
      <c r="CR7" s="3" t="str">
        <f t="shared" si="2"/>
        <v>Sep-27</v>
      </c>
      <c r="CS7" s="3" t="str">
        <f t="shared" si="2"/>
        <v>Oct-27</v>
      </c>
      <c r="CT7" s="3" t="str">
        <f t="shared" si="2"/>
        <v>Nov-27</v>
      </c>
      <c r="CU7" s="3" t="str">
        <f t="shared" si="2"/>
        <v>Dec-27</v>
      </c>
      <c r="CV7" s="3" t="str">
        <f t="shared" si="2"/>
        <v>Jan-28</v>
      </c>
      <c r="CW7" s="3" t="str">
        <f t="shared" ref="CW7:EE7" si="3">TEXT(DATE(YEAR(CV7), MONTH(CV7)+1, DAY(CV7)), "Mmm-yy")</f>
        <v>Feb-28</v>
      </c>
      <c r="CX7" s="3" t="str">
        <f t="shared" si="3"/>
        <v>Mar-28</v>
      </c>
      <c r="CY7" s="3" t="str">
        <f t="shared" si="3"/>
        <v>Apr-28</v>
      </c>
      <c r="CZ7" s="3" t="str">
        <f t="shared" si="3"/>
        <v>May-28</v>
      </c>
      <c r="DA7" s="3" t="str">
        <f t="shared" si="3"/>
        <v>Jun-28</v>
      </c>
      <c r="DB7" s="3" t="str">
        <f t="shared" si="3"/>
        <v>Jul-28</v>
      </c>
      <c r="DC7" s="3" t="str">
        <f t="shared" si="3"/>
        <v>Aug-28</v>
      </c>
      <c r="DD7" s="3" t="str">
        <f t="shared" si="3"/>
        <v>Sep-28</v>
      </c>
      <c r="DE7" s="3" t="str">
        <f t="shared" si="3"/>
        <v>Oct-28</v>
      </c>
      <c r="DF7" s="3" t="str">
        <f t="shared" si="3"/>
        <v>Nov-28</v>
      </c>
      <c r="DG7" s="3" t="str">
        <f t="shared" si="3"/>
        <v>Dec-28</v>
      </c>
      <c r="DH7" s="3" t="str">
        <f t="shared" si="3"/>
        <v>Jan-29</v>
      </c>
      <c r="DI7" s="3" t="str">
        <f t="shared" si="3"/>
        <v>Feb-29</v>
      </c>
      <c r="DJ7" s="3" t="str">
        <f t="shared" si="3"/>
        <v>Mar-29</v>
      </c>
      <c r="DK7" s="3" t="str">
        <f t="shared" si="3"/>
        <v>Apr-29</v>
      </c>
      <c r="DL7" s="3" t="str">
        <f t="shared" si="3"/>
        <v>May-29</v>
      </c>
      <c r="DM7" s="3" t="str">
        <f t="shared" si="3"/>
        <v>Jun-29</v>
      </c>
      <c r="DN7" s="3" t="str">
        <f t="shared" si="3"/>
        <v>Jul-29</v>
      </c>
      <c r="DO7" s="3" t="str">
        <f t="shared" si="3"/>
        <v>Aug-29</v>
      </c>
      <c r="DP7" s="3" t="str">
        <f t="shared" si="3"/>
        <v>Sep-29</v>
      </c>
      <c r="DQ7" s="3" t="str">
        <f t="shared" si="3"/>
        <v>Oct-29</v>
      </c>
      <c r="DR7" s="3" t="str">
        <f t="shared" si="3"/>
        <v>Nov-29</v>
      </c>
      <c r="DS7" s="3" t="str">
        <f t="shared" si="3"/>
        <v>Dec-29</v>
      </c>
      <c r="DT7" s="3" t="str">
        <f t="shared" si="3"/>
        <v>Jan-30</v>
      </c>
      <c r="DU7" s="3" t="str">
        <f t="shared" si="3"/>
        <v>Feb-30</v>
      </c>
      <c r="DV7" s="3" t="str">
        <f t="shared" si="3"/>
        <v>Mar-30</v>
      </c>
      <c r="DW7" s="3" t="str">
        <f t="shared" si="3"/>
        <v>Apr-30</v>
      </c>
      <c r="DX7" s="3" t="str">
        <f t="shared" si="3"/>
        <v>May-30</v>
      </c>
      <c r="DY7" s="3" t="str">
        <f t="shared" si="3"/>
        <v>Jun-30</v>
      </c>
      <c r="DZ7" s="3" t="str">
        <f t="shared" si="3"/>
        <v>Jul-30</v>
      </c>
      <c r="EA7" s="3" t="str">
        <f t="shared" si="3"/>
        <v>Aug-30</v>
      </c>
      <c r="EB7" s="3" t="str">
        <f t="shared" si="3"/>
        <v>Sep-30</v>
      </c>
      <c r="EC7" s="3" t="str">
        <f t="shared" si="3"/>
        <v>Oct-30</v>
      </c>
      <c r="ED7" s="3" t="str">
        <f t="shared" si="3"/>
        <v>Nov-30</v>
      </c>
      <c r="EE7" s="3" t="str">
        <f t="shared" si="3"/>
        <v>Dec-30</v>
      </c>
      <c r="EF7" s="24"/>
      <c r="EG7" s="24"/>
      <c r="EH7" s="24"/>
    </row>
    <row r="8" spans="1:138" x14ac:dyDescent="0.4">
      <c r="A8" s="29" t="str">
        <f>IF(ISBLANK(C8), "", C8)</f>
        <v>KPI ID 1</v>
      </c>
      <c r="B8" s="47" t="s">
        <v>11</v>
      </c>
      <c r="C8" s="48" t="s">
        <v>16</v>
      </c>
      <c r="D8" s="49">
        <f ca="1">RANDBETWEEN(80, 100)</f>
        <v>100</v>
      </c>
      <c r="E8" s="49">
        <f ca="1">D8+RANDBETWEEN(1, 10)</f>
        <v>104</v>
      </c>
      <c r="F8" s="49">
        <f t="shared" ref="F8:BQ8" ca="1" si="4">E8+RANDBETWEEN(1, 10)</f>
        <v>109</v>
      </c>
      <c r="G8" s="49">
        <f t="shared" ca="1" si="4"/>
        <v>114</v>
      </c>
      <c r="H8" s="49">
        <f t="shared" ca="1" si="4"/>
        <v>121</v>
      </c>
      <c r="I8" s="49">
        <f t="shared" ca="1" si="4"/>
        <v>130</v>
      </c>
      <c r="J8" s="49">
        <f t="shared" ca="1" si="4"/>
        <v>136</v>
      </c>
      <c r="K8" s="49">
        <f t="shared" ca="1" si="4"/>
        <v>145</v>
      </c>
      <c r="L8" s="49">
        <f t="shared" ca="1" si="4"/>
        <v>146</v>
      </c>
      <c r="M8" s="49">
        <f t="shared" ca="1" si="4"/>
        <v>153</v>
      </c>
      <c r="N8" s="49">
        <f t="shared" ca="1" si="4"/>
        <v>162</v>
      </c>
      <c r="O8" s="49">
        <f t="shared" ca="1" si="4"/>
        <v>170</v>
      </c>
      <c r="P8" s="49">
        <f t="shared" ca="1" si="4"/>
        <v>179</v>
      </c>
      <c r="Q8" s="49">
        <f t="shared" ca="1" si="4"/>
        <v>182</v>
      </c>
      <c r="R8" s="49">
        <f t="shared" ca="1" si="4"/>
        <v>190</v>
      </c>
      <c r="S8" s="49">
        <f t="shared" ca="1" si="4"/>
        <v>199</v>
      </c>
      <c r="T8" s="49">
        <f t="shared" ca="1" si="4"/>
        <v>209</v>
      </c>
      <c r="U8" s="49">
        <f t="shared" ca="1" si="4"/>
        <v>218</v>
      </c>
      <c r="V8" s="49">
        <f t="shared" ca="1" si="4"/>
        <v>222</v>
      </c>
      <c r="W8" s="49">
        <f t="shared" ca="1" si="4"/>
        <v>223</v>
      </c>
      <c r="X8" s="49">
        <f t="shared" ca="1" si="4"/>
        <v>230</v>
      </c>
      <c r="Y8" s="49">
        <f t="shared" ca="1" si="4"/>
        <v>236</v>
      </c>
      <c r="Z8" s="49">
        <f t="shared" ca="1" si="4"/>
        <v>240</v>
      </c>
      <c r="AA8" s="49">
        <f t="shared" ca="1" si="4"/>
        <v>249</v>
      </c>
      <c r="AB8" s="49">
        <f t="shared" ca="1" si="4"/>
        <v>259</v>
      </c>
      <c r="AC8" s="49">
        <f t="shared" ca="1" si="4"/>
        <v>266</v>
      </c>
      <c r="AD8" s="49">
        <f t="shared" ca="1" si="4"/>
        <v>270</v>
      </c>
      <c r="AE8" s="49">
        <f t="shared" ca="1" si="4"/>
        <v>274</v>
      </c>
      <c r="AF8" s="49">
        <f t="shared" ca="1" si="4"/>
        <v>278</v>
      </c>
      <c r="AG8" s="49">
        <f t="shared" ca="1" si="4"/>
        <v>282</v>
      </c>
      <c r="AH8" s="49">
        <f t="shared" ca="1" si="4"/>
        <v>283</v>
      </c>
      <c r="AI8" s="49">
        <f t="shared" ca="1" si="4"/>
        <v>285</v>
      </c>
      <c r="AJ8" s="49">
        <f t="shared" ca="1" si="4"/>
        <v>295</v>
      </c>
      <c r="AK8" s="49">
        <f t="shared" ca="1" si="4"/>
        <v>302</v>
      </c>
      <c r="AL8" s="49">
        <f t="shared" ca="1" si="4"/>
        <v>311</v>
      </c>
      <c r="AM8" s="49">
        <f t="shared" ca="1" si="4"/>
        <v>315</v>
      </c>
      <c r="AN8" s="49">
        <f t="shared" ca="1" si="4"/>
        <v>320</v>
      </c>
      <c r="AO8" s="49">
        <f t="shared" ca="1" si="4"/>
        <v>323</v>
      </c>
      <c r="AP8" s="49">
        <f t="shared" ca="1" si="4"/>
        <v>332</v>
      </c>
      <c r="AQ8" s="49">
        <f t="shared" ca="1" si="4"/>
        <v>338</v>
      </c>
      <c r="AR8" s="49">
        <f t="shared" ca="1" si="4"/>
        <v>342</v>
      </c>
      <c r="AS8" s="49">
        <f t="shared" ca="1" si="4"/>
        <v>352</v>
      </c>
      <c r="AT8" s="49">
        <f t="shared" ca="1" si="4"/>
        <v>358</v>
      </c>
      <c r="AU8" s="49">
        <f t="shared" ca="1" si="4"/>
        <v>360</v>
      </c>
      <c r="AV8" s="49">
        <f t="shared" ca="1" si="4"/>
        <v>367</v>
      </c>
      <c r="AW8" s="49">
        <f t="shared" ca="1" si="4"/>
        <v>370</v>
      </c>
      <c r="AX8" s="49">
        <f t="shared" ca="1" si="4"/>
        <v>378</v>
      </c>
      <c r="AY8" s="49">
        <f t="shared" ca="1" si="4"/>
        <v>384</v>
      </c>
      <c r="AZ8" s="49">
        <f t="shared" ca="1" si="4"/>
        <v>387</v>
      </c>
      <c r="BA8" s="49">
        <f t="shared" ca="1" si="4"/>
        <v>391</v>
      </c>
      <c r="BB8" s="49">
        <f t="shared" ca="1" si="4"/>
        <v>393</v>
      </c>
      <c r="BC8" s="49">
        <f t="shared" ca="1" si="4"/>
        <v>401</v>
      </c>
      <c r="BD8" s="49">
        <f t="shared" ca="1" si="4"/>
        <v>407</v>
      </c>
      <c r="BE8" s="49">
        <f t="shared" ca="1" si="4"/>
        <v>410</v>
      </c>
      <c r="BF8" s="49">
        <f t="shared" ca="1" si="4"/>
        <v>413</v>
      </c>
      <c r="BG8" s="49">
        <f t="shared" ca="1" si="4"/>
        <v>423</v>
      </c>
      <c r="BH8" s="49">
        <f t="shared" ca="1" si="4"/>
        <v>425</v>
      </c>
      <c r="BI8" s="49">
        <f t="shared" ca="1" si="4"/>
        <v>435</v>
      </c>
      <c r="BJ8" s="49">
        <f t="shared" ca="1" si="4"/>
        <v>437</v>
      </c>
      <c r="BK8" s="49">
        <f t="shared" ca="1" si="4"/>
        <v>443</v>
      </c>
      <c r="BL8" s="49">
        <f t="shared" ca="1" si="4"/>
        <v>449</v>
      </c>
      <c r="BM8" s="49">
        <f t="shared" ca="1" si="4"/>
        <v>453</v>
      </c>
      <c r="BN8" s="49">
        <f t="shared" ca="1" si="4"/>
        <v>462</v>
      </c>
      <c r="BO8" s="49">
        <f t="shared" ca="1" si="4"/>
        <v>464</v>
      </c>
      <c r="BP8" s="49">
        <f t="shared" ca="1" si="4"/>
        <v>470</v>
      </c>
      <c r="BQ8" s="49">
        <f t="shared" ca="1" si="4"/>
        <v>479</v>
      </c>
      <c r="BR8" s="49">
        <f t="shared" ref="BR8:EC8" ca="1" si="5">BQ8+RANDBETWEEN(1, 10)</f>
        <v>486</v>
      </c>
      <c r="BS8" s="49">
        <f t="shared" ca="1" si="5"/>
        <v>496</v>
      </c>
      <c r="BT8" s="49">
        <f t="shared" ca="1" si="5"/>
        <v>502</v>
      </c>
      <c r="BU8" s="49">
        <f t="shared" ca="1" si="5"/>
        <v>503</v>
      </c>
      <c r="BV8" s="49">
        <f t="shared" ca="1" si="5"/>
        <v>510</v>
      </c>
      <c r="BW8" s="49">
        <f t="shared" ca="1" si="5"/>
        <v>516</v>
      </c>
      <c r="BX8" s="49">
        <f t="shared" ca="1" si="5"/>
        <v>518</v>
      </c>
      <c r="BY8" s="49">
        <f t="shared" ca="1" si="5"/>
        <v>522</v>
      </c>
      <c r="BZ8" s="49">
        <f t="shared" ca="1" si="5"/>
        <v>523</v>
      </c>
      <c r="CA8" s="49">
        <f t="shared" ca="1" si="5"/>
        <v>533</v>
      </c>
      <c r="CB8" s="49">
        <f t="shared" ca="1" si="5"/>
        <v>538</v>
      </c>
      <c r="CC8" s="49">
        <f t="shared" ca="1" si="5"/>
        <v>547</v>
      </c>
      <c r="CD8" s="49">
        <f t="shared" ca="1" si="5"/>
        <v>556</v>
      </c>
      <c r="CE8" s="49">
        <f t="shared" ca="1" si="5"/>
        <v>563</v>
      </c>
      <c r="CF8" s="49">
        <f t="shared" ca="1" si="5"/>
        <v>573</v>
      </c>
      <c r="CG8" s="49">
        <f t="shared" ca="1" si="5"/>
        <v>577</v>
      </c>
      <c r="CH8" s="49">
        <f t="shared" ca="1" si="5"/>
        <v>580</v>
      </c>
      <c r="CI8" s="49">
        <f t="shared" ca="1" si="5"/>
        <v>583</v>
      </c>
      <c r="CJ8" s="49">
        <f t="shared" ca="1" si="5"/>
        <v>592</v>
      </c>
      <c r="CK8" s="49">
        <f t="shared" ca="1" si="5"/>
        <v>594</v>
      </c>
      <c r="CL8" s="49">
        <f t="shared" ca="1" si="5"/>
        <v>595</v>
      </c>
      <c r="CM8" s="49">
        <f t="shared" ca="1" si="5"/>
        <v>603</v>
      </c>
      <c r="CN8" s="49">
        <f t="shared" ca="1" si="5"/>
        <v>611</v>
      </c>
      <c r="CO8" s="49">
        <f t="shared" ca="1" si="5"/>
        <v>613</v>
      </c>
      <c r="CP8" s="49">
        <f t="shared" ca="1" si="5"/>
        <v>617</v>
      </c>
      <c r="CQ8" s="49">
        <f t="shared" ca="1" si="5"/>
        <v>626</v>
      </c>
      <c r="CR8" s="49">
        <f t="shared" ca="1" si="5"/>
        <v>636</v>
      </c>
      <c r="CS8" s="49">
        <f t="shared" ca="1" si="5"/>
        <v>637</v>
      </c>
      <c r="CT8" s="49">
        <f t="shared" ca="1" si="5"/>
        <v>641</v>
      </c>
      <c r="CU8" s="49">
        <f t="shared" ca="1" si="5"/>
        <v>650</v>
      </c>
      <c r="CV8" s="49">
        <f t="shared" ca="1" si="5"/>
        <v>655</v>
      </c>
      <c r="CW8" s="49">
        <f t="shared" ca="1" si="5"/>
        <v>657</v>
      </c>
      <c r="CX8" s="49">
        <f t="shared" ca="1" si="5"/>
        <v>661</v>
      </c>
      <c r="CY8" s="49">
        <f t="shared" ca="1" si="5"/>
        <v>668</v>
      </c>
      <c r="CZ8" s="49">
        <f t="shared" ca="1" si="5"/>
        <v>674</v>
      </c>
      <c r="DA8" s="49">
        <f t="shared" ca="1" si="5"/>
        <v>680</v>
      </c>
      <c r="DB8" s="49">
        <f t="shared" ca="1" si="5"/>
        <v>689</v>
      </c>
      <c r="DC8" s="49">
        <f t="shared" ca="1" si="5"/>
        <v>693</v>
      </c>
      <c r="DD8" s="49">
        <f t="shared" ca="1" si="5"/>
        <v>700</v>
      </c>
      <c r="DE8" s="49">
        <f t="shared" ca="1" si="5"/>
        <v>702</v>
      </c>
      <c r="DF8" s="49">
        <f t="shared" ca="1" si="5"/>
        <v>703</v>
      </c>
      <c r="DG8" s="49">
        <f t="shared" ca="1" si="5"/>
        <v>713</v>
      </c>
      <c r="DH8" s="49">
        <f t="shared" ca="1" si="5"/>
        <v>715</v>
      </c>
      <c r="DI8" s="49">
        <f t="shared" ca="1" si="5"/>
        <v>723</v>
      </c>
      <c r="DJ8" s="49">
        <f t="shared" ca="1" si="5"/>
        <v>732</v>
      </c>
      <c r="DK8" s="49">
        <f t="shared" ca="1" si="5"/>
        <v>739</v>
      </c>
      <c r="DL8" s="49">
        <f t="shared" ca="1" si="5"/>
        <v>745</v>
      </c>
      <c r="DM8" s="49">
        <f t="shared" ca="1" si="5"/>
        <v>746</v>
      </c>
      <c r="DN8" s="49">
        <f t="shared" ca="1" si="5"/>
        <v>748</v>
      </c>
      <c r="DO8" s="49">
        <f t="shared" ca="1" si="5"/>
        <v>757</v>
      </c>
      <c r="DP8" s="49">
        <f t="shared" ca="1" si="5"/>
        <v>762</v>
      </c>
      <c r="DQ8" s="49">
        <f t="shared" ca="1" si="5"/>
        <v>764</v>
      </c>
      <c r="DR8" s="49">
        <f t="shared" ca="1" si="5"/>
        <v>770</v>
      </c>
      <c r="DS8" s="49">
        <f t="shared" ca="1" si="5"/>
        <v>779</v>
      </c>
      <c r="DT8" s="49">
        <f t="shared" ca="1" si="5"/>
        <v>782</v>
      </c>
      <c r="DU8" s="49">
        <f t="shared" ca="1" si="5"/>
        <v>788</v>
      </c>
      <c r="DV8" s="49">
        <f t="shared" ca="1" si="5"/>
        <v>795</v>
      </c>
      <c r="DW8" s="49">
        <f t="shared" ca="1" si="5"/>
        <v>796</v>
      </c>
      <c r="DX8" s="49">
        <f t="shared" ca="1" si="5"/>
        <v>799</v>
      </c>
      <c r="DY8" s="49">
        <f t="shared" ca="1" si="5"/>
        <v>800</v>
      </c>
      <c r="DZ8" s="49">
        <f t="shared" ca="1" si="5"/>
        <v>805</v>
      </c>
      <c r="EA8" s="49">
        <f t="shared" ca="1" si="5"/>
        <v>808</v>
      </c>
      <c r="EB8" s="49">
        <f t="shared" ca="1" si="5"/>
        <v>811</v>
      </c>
      <c r="EC8" s="49">
        <f t="shared" ca="1" si="5"/>
        <v>815</v>
      </c>
      <c r="ED8" s="49">
        <f t="shared" ref="ED8:EE8" ca="1" si="6">EC8+RANDBETWEEN(1, 10)</f>
        <v>820</v>
      </c>
      <c r="EE8" s="49">
        <f t="shared" ca="1" si="6"/>
        <v>828</v>
      </c>
    </row>
    <row r="9" spans="1:138" ht="29.15" x14ac:dyDescent="0.4">
      <c r="A9" s="29" t="str">
        <f t="shared" ref="A9:A72" si="7">IF(ISBLANK(C9), "", C9)</f>
        <v>KPI ID 1 %</v>
      </c>
      <c r="B9" s="47" t="s">
        <v>12</v>
      </c>
      <c r="C9" s="48" t="s">
        <v>17</v>
      </c>
      <c r="D9" s="49">
        <f ca="1">D8/D8*100</f>
        <v>100</v>
      </c>
      <c r="E9" s="49">
        <f ca="1">(E8-D8)/D8*100</f>
        <v>4</v>
      </c>
      <c r="F9" s="49">
        <f t="shared" ref="F9:BQ9" ca="1" si="8">(F8-E8)/E8*100</f>
        <v>4.8076923076923084</v>
      </c>
      <c r="G9" s="49">
        <f t="shared" ca="1" si="8"/>
        <v>4.5871559633027523</v>
      </c>
      <c r="H9" s="49">
        <f t="shared" ca="1" si="8"/>
        <v>6.140350877192982</v>
      </c>
      <c r="I9" s="49">
        <f t="shared" ca="1" si="8"/>
        <v>7.4380165289256199</v>
      </c>
      <c r="J9" s="49">
        <f t="shared" ca="1" si="8"/>
        <v>4.6153846153846159</v>
      </c>
      <c r="K9" s="49">
        <f t="shared" ca="1" si="8"/>
        <v>6.6176470588235299</v>
      </c>
      <c r="L9" s="49">
        <f t="shared" ca="1" si="8"/>
        <v>0.68965517241379315</v>
      </c>
      <c r="M9" s="49">
        <f t="shared" ca="1" si="8"/>
        <v>4.7945205479452051</v>
      </c>
      <c r="N9" s="49">
        <f t="shared" ca="1" si="8"/>
        <v>5.8823529411764701</v>
      </c>
      <c r="O9" s="49">
        <f t="shared" ca="1" si="8"/>
        <v>4.9382716049382713</v>
      </c>
      <c r="P9" s="49">
        <f t="shared" ca="1" si="8"/>
        <v>5.2941176470588234</v>
      </c>
      <c r="Q9" s="49">
        <f t="shared" ca="1" si="8"/>
        <v>1.6759776536312849</v>
      </c>
      <c r="R9" s="49">
        <f t="shared" ca="1" si="8"/>
        <v>4.395604395604396</v>
      </c>
      <c r="S9" s="49">
        <f t="shared" ca="1" si="8"/>
        <v>4.7368421052631584</v>
      </c>
      <c r="T9" s="49">
        <f t="shared" ca="1" si="8"/>
        <v>5.025125628140704</v>
      </c>
      <c r="U9" s="49">
        <f t="shared" ca="1" si="8"/>
        <v>4.3062200956937797</v>
      </c>
      <c r="V9" s="49">
        <f t="shared" ca="1" si="8"/>
        <v>1.834862385321101</v>
      </c>
      <c r="W9" s="49">
        <f t="shared" ca="1" si="8"/>
        <v>0.45045045045045046</v>
      </c>
      <c r="X9" s="49">
        <f t="shared" ca="1" si="8"/>
        <v>3.1390134529147984</v>
      </c>
      <c r="Y9" s="49">
        <f t="shared" ca="1" si="8"/>
        <v>2.6086956521739131</v>
      </c>
      <c r="Z9" s="49">
        <f t="shared" ca="1" si="8"/>
        <v>1.6949152542372881</v>
      </c>
      <c r="AA9" s="49">
        <f t="shared" ca="1" si="8"/>
        <v>3.75</v>
      </c>
      <c r="AB9" s="49">
        <f t="shared" ca="1" si="8"/>
        <v>4.0160642570281126</v>
      </c>
      <c r="AC9" s="49">
        <f t="shared" ca="1" si="8"/>
        <v>2.7027027027027026</v>
      </c>
      <c r="AD9" s="49">
        <f t="shared" ca="1" si="8"/>
        <v>1.5037593984962405</v>
      </c>
      <c r="AE9" s="49">
        <f t="shared" ca="1" si="8"/>
        <v>1.4814814814814816</v>
      </c>
      <c r="AF9" s="49">
        <f t="shared" ca="1" si="8"/>
        <v>1.4598540145985401</v>
      </c>
      <c r="AG9" s="49">
        <f t="shared" ca="1" si="8"/>
        <v>1.4388489208633095</v>
      </c>
      <c r="AH9" s="49">
        <f t="shared" ca="1" si="8"/>
        <v>0.3546099290780142</v>
      </c>
      <c r="AI9" s="49">
        <f t="shared" ca="1" si="8"/>
        <v>0.70671378091872794</v>
      </c>
      <c r="AJ9" s="49">
        <f t="shared" ca="1" si="8"/>
        <v>3.5087719298245612</v>
      </c>
      <c r="AK9" s="49">
        <f t="shared" ca="1" si="8"/>
        <v>2.3728813559322033</v>
      </c>
      <c r="AL9" s="49">
        <f t="shared" ca="1" si="8"/>
        <v>2.9801324503311259</v>
      </c>
      <c r="AM9" s="49">
        <f t="shared" ca="1" si="8"/>
        <v>1.2861736334405145</v>
      </c>
      <c r="AN9" s="49">
        <f t="shared" ca="1" si="8"/>
        <v>1.5873015873015872</v>
      </c>
      <c r="AO9" s="49">
        <f t="shared" ca="1" si="8"/>
        <v>0.9375</v>
      </c>
      <c r="AP9" s="49">
        <f t="shared" ca="1" si="8"/>
        <v>2.7863777089783279</v>
      </c>
      <c r="AQ9" s="49">
        <f t="shared" ca="1" si="8"/>
        <v>1.8072289156626504</v>
      </c>
      <c r="AR9" s="49">
        <f t="shared" ca="1" si="8"/>
        <v>1.1834319526627219</v>
      </c>
      <c r="AS9" s="49">
        <f t="shared" ca="1" si="8"/>
        <v>2.9239766081871341</v>
      </c>
      <c r="AT9" s="49">
        <f t="shared" ca="1" si="8"/>
        <v>1.7045454545454544</v>
      </c>
      <c r="AU9" s="49">
        <f t="shared" ca="1" si="8"/>
        <v>0.55865921787709494</v>
      </c>
      <c r="AV9" s="49">
        <f t="shared" ca="1" si="8"/>
        <v>1.9444444444444444</v>
      </c>
      <c r="AW9" s="49">
        <f t="shared" ca="1" si="8"/>
        <v>0.81743869209809261</v>
      </c>
      <c r="AX9" s="49">
        <f t="shared" ca="1" si="8"/>
        <v>2.1621621621621623</v>
      </c>
      <c r="AY9" s="49">
        <f t="shared" ca="1" si="8"/>
        <v>1.5873015873015872</v>
      </c>
      <c r="AZ9" s="49">
        <f t="shared" ca="1" si="8"/>
        <v>0.78125</v>
      </c>
      <c r="BA9" s="49">
        <f t="shared" ca="1" si="8"/>
        <v>1.03359173126615</v>
      </c>
      <c r="BB9" s="49">
        <f t="shared" ca="1" si="8"/>
        <v>0.51150895140664965</v>
      </c>
      <c r="BC9" s="49">
        <f t="shared" ca="1" si="8"/>
        <v>2.0356234096692112</v>
      </c>
      <c r="BD9" s="49">
        <f t="shared" ca="1" si="8"/>
        <v>1.4962593516209477</v>
      </c>
      <c r="BE9" s="49">
        <f t="shared" ca="1" si="8"/>
        <v>0.73710073710073709</v>
      </c>
      <c r="BF9" s="49">
        <f t="shared" ca="1" si="8"/>
        <v>0.73170731707317083</v>
      </c>
      <c r="BG9" s="49">
        <f t="shared" ca="1" si="8"/>
        <v>2.4213075060532687</v>
      </c>
      <c r="BH9" s="49">
        <f t="shared" ca="1" si="8"/>
        <v>0.4728132387706856</v>
      </c>
      <c r="BI9" s="49">
        <f t="shared" ca="1" si="8"/>
        <v>2.3529411764705883</v>
      </c>
      <c r="BJ9" s="49">
        <f t="shared" ca="1" si="8"/>
        <v>0.45977011494252873</v>
      </c>
      <c r="BK9" s="49">
        <f t="shared" ca="1" si="8"/>
        <v>1.3729977116704806</v>
      </c>
      <c r="BL9" s="49">
        <f t="shared" ca="1" si="8"/>
        <v>1.3544018058690745</v>
      </c>
      <c r="BM9" s="49">
        <f t="shared" ca="1" si="8"/>
        <v>0.89086859688195985</v>
      </c>
      <c r="BN9" s="49">
        <f t="shared" ca="1" si="8"/>
        <v>1.9867549668874174</v>
      </c>
      <c r="BO9" s="49">
        <f t="shared" ca="1" si="8"/>
        <v>0.4329004329004329</v>
      </c>
      <c r="BP9" s="49">
        <f t="shared" ca="1" si="8"/>
        <v>1.2931034482758621</v>
      </c>
      <c r="BQ9" s="49">
        <f t="shared" ca="1" si="8"/>
        <v>1.9148936170212765</v>
      </c>
      <c r="BR9" s="49">
        <f t="shared" ref="BR9:EC9" ca="1" si="9">(BR8-BQ8)/BQ8*100</f>
        <v>1.4613778705636742</v>
      </c>
      <c r="BS9" s="49">
        <f t="shared" ca="1" si="9"/>
        <v>2.0576131687242798</v>
      </c>
      <c r="BT9" s="49">
        <f t="shared" ca="1" si="9"/>
        <v>1.2096774193548387</v>
      </c>
      <c r="BU9" s="49">
        <f t="shared" ca="1" si="9"/>
        <v>0.19920318725099601</v>
      </c>
      <c r="BV9" s="49">
        <f t="shared" ca="1" si="9"/>
        <v>1.3916500994035785</v>
      </c>
      <c r="BW9" s="49">
        <f t="shared" ca="1" si="9"/>
        <v>1.1764705882352942</v>
      </c>
      <c r="BX9" s="49">
        <f t="shared" ca="1" si="9"/>
        <v>0.38759689922480622</v>
      </c>
      <c r="BY9" s="49">
        <f t="shared" ca="1" si="9"/>
        <v>0.77220077220077221</v>
      </c>
      <c r="BZ9" s="49">
        <f t="shared" ca="1" si="9"/>
        <v>0.19157088122605362</v>
      </c>
      <c r="CA9" s="49">
        <f t="shared" ca="1" si="9"/>
        <v>1.9120458891013385</v>
      </c>
      <c r="CB9" s="49">
        <f t="shared" ca="1" si="9"/>
        <v>0.93808630393996251</v>
      </c>
      <c r="CC9" s="49">
        <f t="shared" ca="1" si="9"/>
        <v>1.6728624535315983</v>
      </c>
      <c r="CD9" s="49">
        <f t="shared" ca="1" si="9"/>
        <v>1.6453382084095063</v>
      </c>
      <c r="CE9" s="49">
        <f t="shared" ca="1" si="9"/>
        <v>1.2589928057553956</v>
      </c>
      <c r="CF9" s="49">
        <f t="shared" ca="1" si="9"/>
        <v>1.7761989342806392</v>
      </c>
      <c r="CG9" s="49">
        <f t="shared" ca="1" si="9"/>
        <v>0.69808027923211169</v>
      </c>
      <c r="CH9" s="49">
        <f t="shared" ca="1" si="9"/>
        <v>0.51993067590987874</v>
      </c>
      <c r="CI9" s="49">
        <f t="shared" ca="1" si="9"/>
        <v>0.51724137931034486</v>
      </c>
      <c r="CJ9" s="49">
        <f t="shared" ca="1" si="9"/>
        <v>1.5437392795883362</v>
      </c>
      <c r="CK9" s="49">
        <f t="shared" ca="1" si="9"/>
        <v>0.33783783783783783</v>
      </c>
      <c r="CL9" s="49">
        <f t="shared" ca="1" si="9"/>
        <v>0.16835016835016833</v>
      </c>
      <c r="CM9" s="49">
        <f t="shared" ca="1" si="9"/>
        <v>1.3445378151260505</v>
      </c>
      <c r="CN9" s="49">
        <f t="shared" ca="1" si="9"/>
        <v>1.3266998341625207</v>
      </c>
      <c r="CO9" s="49">
        <f t="shared" ca="1" si="9"/>
        <v>0.32733224222585927</v>
      </c>
      <c r="CP9" s="49">
        <f t="shared" ca="1" si="9"/>
        <v>0.65252854812398042</v>
      </c>
      <c r="CQ9" s="49">
        <f t="shared" ca="1" si="9"/>
        <v>1.4586709886547813</v>
      </c>
      <c r="CR9" s="49">
        <f t="shared" ca="1" si="9"/>
        <v>1.5974440894568689</v>
      </c>
      <c r="CS9" s="49">
        <f t="shared" ca="1" si="9"/>
        <v>0.15723270440251574</v>
      </c>
      <c r="CT9" s="49">
        <f t="shared" ca="1" si="9"/>
        <v>0.62794348508634223</v>
      </c>
      <c r="CU9" s="49">
        <f t="shared" ca="1" si="9"/>
        <v>1.40405616224649</v>
      </c>
      <c r="CV9" s="49">
        <f t="shared" ca="1" si="9"/>
        <v>0.76923076923076927</v>
      </c>
      <c r="CW9" s="49">
        <f t="shared" ca="1" si="9"/>
        <v>0.30534351145038169</v>
      </c>
      <c r="CX9" s="49">
        <f t="shared" ca="1" si="9"/>
        <v>0.60882800608828003</v>
      </c>
      <c r="CY9" s="49">
        <f t="shared" ca="1" si="9"/>
        <v>1.059001512859304</v>
      </c>
      <c r="CZ9" s="49">
        <f t="shared" ca="1" si="9"/>
        <v>0.89820359281437123</v>
      </c>
      <c r="DA9" s="49">
        <f t="shared" ca="1" si="9"/>
        <v>0.89020771513353114</v>
      </c>
      <c r="DB9" s="49">
        <f t="shared" ca="1" si="9"/>
        <v>1.3235294117647058</v>
      </c>
      <c r="DC9" s="49">
        <f t="shared" ca="1" si="9"/>
        <v>0.58055152394775034</v>
      </c>
      <c r="DD9" s="49">
        <f t="shared" ca="1" si="9"/>
        <v>1.0101010101010102</v>
      </c>
      <c r="DE9" s="49">
        <f t="shared" ca="1" si="9"/>
        <v>0.2857142857142857</v>
      </c>
      <c r="DF9" s="49">
        <f t="shared" ca="1" si="9"/>
        <v>0.14245014245014245</v>
      </c>
      <c r="DG9" s="49">
        <f t="shared" ca="1" si="9"/>
        <v>1.4224751066856329</v>
      </c>
      <c r="DH9" s="49">
        <f t="shared" ca="1" si="9"/>
        <v>0.28050490883590462</v>
      </c>
      <c r="DI9" s="49">
        <f t="shared" ca="1" si="9"/>
        <v>1.118881118881119</v>
      </c>
      <c r="DJ9" s="49">
        <f t="shared" ca="1" si="9"/>
        <v>1.2448132780082988</v>
      </c>
      <c r="DK9" s="49">
        <f t="shared" ca="1" si="9"/>
        <v>0.95628415300546454</v>
      </c>
      <c r="DL9" s="49">
        <f t="shared" ca="1" si="9"/>
        <v>0.81190798376184026</v>
      </c>
      <c r="DM9" s="49">
        <f t="shared" ca="1" si="9"/>
        <v>0.13422818791946309</v>
      </c>
      <c r="DN9" s="49">
        <f t="shared" ca="1" si="9"/>
        <v>0.26809651474530832</v>
      </c>
      <c r="DO9" s="49">
        <f t="shared" ca="1" si="9"/>
        <v>1.2032085561497325</v>
      </c>
      <c r="DP9" s="49">
        <f t="shared" ca="1" si="9"/>
        <v>0.66050198150594452</v>
      </c>
      <c r="DQ9" s="49">
        <f t="shared" ca="1" si="9"/>
        <v>0.26246719160104987</v>
      </c>
      <c r="DR9" s="49">
        <f t="shared" ca="1" si="9"/>
        <v>0.78534031413612559</v>
      </c>
      <c r="DS9" s="49">
        <f t="shared" ca="1" si="9"/>
        <v>1.1688311688311688</v>
      </c>
      <c r="DT9" s="49">
        <f t="shared" ca="1" si="9"/>
        <v>0.38510911424903727</v>
      </c>
      <c r="DU9" s="49">
        <f t="shared" ca="1" si="9"/>
        <v>0.76726342710997442</v>
      </c>
      <c r="DV9" s="49">
        <f t="shared" ca="1" si="9"/>
        <v>0.88832487309644681</v>
      </c>
      <c r="DW9" s="49">
        <f t="shared" ca="1" si="9"/>
        <v>0.12578616352201258</v>
      </c>
      <c r="DX9" s="49">
        <f t="shared" ca="1" si="9"/>
        <v>0.37688442211055273</v>
      </c>
      <c r="DY9" s="49">
        <f t="shared" ca="1" si="9"/>
        <v>0.12515644555694619</v>
      </c>
      <c r="DZ9" s="49">
        <f t="shared" ca="1" si="9"/>
        <v>0.625</v>
      </c>
      <c r="EA9" s="49">
        <f t="shared" ca="1" si="9"/>
        <v>0.37267080745341613</v>
      </c>
      <c r="EB9" s="49">
        <f t="shared" ca="1" si="9"/>
        <v>0.37128712871287128</v>
      </c>
      <c r="EC9" s="49">
        <f t="shared" ca="1" si="9"/>
        <v>0.49321824907521578</v>
      </c>
      <c r="ED9" s="49">
        <f t="shared" ref="ED9:EE9" ca="1" si="10">(ED8-EC8)/EC8*100</f>
        <v>0.61349693251533743</v>
      </c>
      <c r="EE9" s="49">
        <f t="shared" ca="1" si="10"/>
        <v>0.97560975609756095</v>
      </c>
    </row>
    <row r="10" spans="1:138" ht="29.15" x14ac:dyDescent="0.4">
      <c r="A10" s="29" t="str">
        <f t="shared" si="7"/>
        <v>KPI ID 3</v>
      </c>
      <c r="B10" s="47" t="s">
        <v>13</v>
      </c>
      <c r="C10" s="48" t="s">
        <v>18</v>
      </c>
      <c r="D10" s="49">
        <f ca="1">RANDBETWEEN(1, 15)</f>
        <v>9</v>
      </c>
      <c r="E10" s="49">
        <f t="shared" ref="E10:BP10" ca="1" si="11">RANDBETWEEN(1, 15)</f>
        <v>7</v>
      </c>
      <c r="F10" s="49">
        <f t="shared" ca="1" si="11"/>
        <v>6</v>
      </c>
      <c r="G10" s="49">
        <f t="shared" ca="1" si="11"/>
        <v>11</v>
      </c>
      <c r="H10" s="49">
        <f t="shared" ca="1" si="11"/>
        <v>11</v>
      </c>
      <c r="I10" s="49">
        <f t="shared" ca="1" si="11"/>
        <v>14</v>
      </c>
      <c r="J10" s="49">
        <f t="shared" ca="1" si="11"/>
        <v>4</v>
      </c>
      <c r="K10" s="49">
        <f t="shared" ca="1" si="11"/>
        <v>13</v>
      </c>
      <c r="L10" s="49">
        <f t="shared" ca="1" si="11"/>
        <v>14</v>
      </c>
      <c r="M10" s="49">
        <f t="shared" ca="1" si="11"/>
        <v>6</v>
      </c>
      <c r="N10" s="49">
        <f t="shared" ca="1" si="11"/>
        <v>15</v>
      </c>
      <c r="O10" s="49">
        <f t="shared" ca="1" si="11"/>
        <v>13</v>
      </c>
      <c r="P10" s="49">
        <f t="shared" ca="1" si="11"/>
        <v>6</v>
      </c>
      <c r="Q10" s="49">
        <f t="shared" ca="1" si="11"/>
        <v>5</v>
      </c>
      <c r="R10" s="49">
        <f t="shared" ca="1" si="11"/>
        <v>8</v>
      </c>
      <c r="S10" s="49">
        <f t="shared" ca="1" si="11"/>
        <v>2</v>
      </c>
      <c r="T10" s="49">
        <f t="shared" ca="1" si="11"/>
        <v>6</v>
      </c>
      <c r="U10" s="49">
        <f t="shared" ca="1" si="11"/>
        <v>1</v>
      </c>
      <c r="V10" s="49">
        <f t="shared" ca="1" si="11"/>
        <v>14</v>
      </c>
      <c r="W10" s="49">
        <f t="shared" ca="1" si="11"/>
        <v>6</v>
      </c>
      <c r="X10" s="49">
        <f t="shared" ca="1" si="11"/>
        <v>12</v>
      </c>
      <c r="Y10" s="49">
        <f t="shared" ca="1" si="11"/>
        <v>3</v>
      </c>
      <c r="Z10" s="49">
        <f t="shared" ca="1" si="11"/>
        <v>15</v>
      </c>
      <c r="AA10" s="49">
        <f t="shared" ca="1" si="11"/>
        <v>12</v>
      </c>
      <c r="AB10" s="49">
        <f t="shared" ca="1" si="11"/>
        <v>4</v>
      </c>
      <c r="AC10" s="49">
        <f t="shared" ca="1" si="11"/>
        <v>2</v>
      </c>
      <c r="AD10" s="49">
        <f t="shared" ca="1" si="11"/>
        <v>2</v>
      </c>
      <c r="AE10" s="49">
        <f t="shared" ca="1" si="11"/>
        <v>11</v>
      </c>
      <c r="AF10" s="49">
        <f t="shared" ca="1" si="11"/>
        <v>9</v>
      </c>
      <c r="AG10" s="49">
        <f t="shared" ca="1" si="11"/>
        <v>14</v>
      </c>
      <c r="AH10" s="49">
        <f t="shared" ca="1" si="11"/>
        <v>12</v>
      </c>
      <c r="AI10" s="49">
        <f t="shared" ca="1" si="11"/>
        <v>6</v>
      </c>
      <c r="AJ10" s="49">
        <f t="shared" ca="1" si="11"/>
        <v>3</v>
      </c>
      <c r="AK10" s="49">
        <f t="shared" ca="1" si="11"/>
        <v>12</v>
      </c>
      <c r="AL10" s="49">
        <f t="shared" ca="1" si="11"/>
        <v>12</v>
      </c>
      <c r="AM10" s="49">
        <f t="shared" ca="1" si="11"/>
        <v>11</v>
      </c>
      <c r="AN10" s="49">
        <f t="shared" ca="1" si="11"/>
        <v>3</v>
      </c>
      <c r="AO10" s="49">
        <f t="shared" ca="1" si="11"/>
        <v>6</v>
      </c>
      <c r="AP10" s="49">
        <f t="shared" ca="1" si="11"/>
        <v>9</v>
      </c>
      <c r="AQ10" s="49">
        <f t="shared" ca="1" si="11"/>
        <v>7</v>
      </c>
      <c r="AR10" s="49">
        <f t="shared" ca="1" si="11"/>
        <v>12</v>
      </c>
      <c r="AS10" s="49">
        <f t="shared" ca="1" si="11"/>
        <v>1</v>
      </c>
      <c r="AT10" s="49">
        <f t="shared" ca="1" si="11"/>
        <v>10</v>
      </c>
      <c r="AU10" s="49">
        <f t="shared" ca="1" si="11"/>
        <v>4</v>
      </c>
      <c r="AV10" s="49">
        <f t="shared" ca="1" si="11"/>
        <v>9</v>
      </c>
      <c r="AW10" s="49">
        <f t="shared" ca="1" si="11"/>
        <v>6</v>
      </c>
      <c r="AX10" s="49">
        <f t="shared" ca="1" si="11"/>
        <v>15</v>
      </c>
      <c r="AY10" s="49">
        <f t="shared" ca="1" si="11"/>
        <v>15</v>
      </c>
      <c r="AZ10" s="49">
        <f t="shared" ca="1" si="11"/>
        <v>8</v>
      </c>
      <c r="BA10" s="49">
        <f t="shared" ca="1" si="11"/>
        <v>13</v>
      </c>
      <c r="BB10" s="49">
        <f t="shared" ca="1" si="11"/>
        <v>4</v>
      </c>
      <c r="BC10" s="49">
        <f t="shared" ca="1" si="11"/>
        <v>2</v>
      </c>
      <c r="BD10" s="49">
        <f t="shared" ca="1" si="11"/>
        <v>10</v>
      </c>
      <c r="BE10" s="49">
        <f t="shared" ca="1" si="11"/>
        <v>11</v>
      </c>
      <c r="BF10" s="49">
        <f t="shared" ca="1" si="11"/>
        <v>3</v>
      </c>
      <c r="BG10" s="49">
        <f t="shared" ca="1" si="11"/>
        <v>9</v>
      </c>
      <c r="BH10" s="49">
        <f t="shared" ca="1" si="11"/>
        <v>14</v>
      </c>
      <c r="BI10" s="49">
        <f t="shared" ca="1" si="11"/>
        <v>5</v>
      </c>
      <c r="BJ10" s="49">
        <f t="shared" ca="1" si="11"/>
        <v>9</v>
      </c>
      <c r="BK10" s="49">
        <f t="shared" ca="1" si="11"/>
        <v>10</v>
      </c>
      <c r="BL10" s="49">
        <f t="shared" ca="1" si="11"/>
        <v>15</v>
      </c>
      <c r="BM10" s="49">
        <f t="shared" ca="1" si="11"/>
        <v>1</v>
      </c>
      <c r="BN10" s="49">
        <f t="shared" ca="1" si="11"/>
        <v>2</v>
      </c>
      <c r="BO10" s="49">
        <f t="shared" ca="1" si="11"/>
        <v>13</v>
      </c>
      <c r="BP10" s="49">
        <f t="shared" ca="1" si="11"/>
        <v>9</v>
      </c>
      <c r="BQ10" s="49">
        <f t="shared" ref="BQ10:EB10" ca="1" si="12">RANDBETWEEN(1, 15)</f>
        <v>14</v>
      </c>
      <c r="BR10" s="49">
        <f t="shared" ca="1" si="12"/>
        <v>12</v>
      </c>
      <c r="BS10" s="49">
        <f t="shared" ca="1" si="12"/>
        <v>2</v>
      </c>
      <c r="BT10" s="49">
        <f t="shared" ca="1" si="12"/>
        <v>3</v>
      </c>
      <c r="BU10" s="49">
        <f t="shared" ca="1" si="12"/>
        <v>8</v>
      </c>
      <c r="BV10" s="49">
        <f t="shared" ca="1" si="12"/>
        <v>12</v>
      </c>
      <c r="BW10" s="49">
        <f t="shared" ca="1" si="12"/>
        <v>15</v>
      </c>
      <c r="BX10" s="49">
        <f t="shared" ca="1" si="12"/>
        <v>8</v>
      </c>
      <c r="BY10" s="49">
        <f t="shared" ca="1" si="12"/>
        <v>13</v>
      </c>
      <c r="BZ10" s="49">
        <f t="shared" ca="1" si="12"/>
        <v>9</v>
      </c>
      <c r="CA10" s="49">
        <f t="shared" ca="1" si="12"/>
        <v>15</v>
      </c>
      <c r="CB10" s="49">
        <f t="shared" ca="1" si="12"/>
        <v>5</v>
      </c>
      <c r="CC10" s="49">
        <f t="shared" ca="1" si="12"/>
        <v>11</v>
      </c>
      <c r="CD10" s="49">
        <f t="shared" ca="1" si="12"/>
        <v>14</v>
      </c>
      <c r="CE10" s="49">
        <f t="shared" ca="1" si="12"/>
        <v>1</v>
      </c>
      <c r="CF10" s="49">
        <f t="shared" ca="1" si="12"/>
        <v>13</v>
      </c>
      <c r="CG10" s="49">
        <f t="shared" ca="1" si="12"/>
        <v>5</v>
      </c>
      <c r="CH10" s="49">
        <f t="shared" ca="1" si="12"/>
        <v>11</v>
      </c>
      <c r="CI10" s="49">
        <f t="shared" ca="1" si="12"/>
        <v>8</v>
      </c>
      <c r="CJ10" s="49">
        <f t="shared" ca="1" si="12"/>
        <v>9</v>
      </c>
      <c r="CK10" s="49">
        <f t="shared" ca="1" si="12"/>
        <v>14</v>
      </c>
      <c r="CL10" s="49">
        <f t="shared" ca="1" si="12"/>
        <v>13</v>
      </c>
      <c r="CM10" s="49">
        <f t="shared" ca="1" si="12"/>
        <v>1</v>
      </c>
      <c r="CN10" s="49">
        <f t="shared" ca="1" si="12"/>
        <v>11</v>
      </c>
      <c r="CO10" s="49">
        <f t="shared" ca="1" si="12"/>
        <v>13</v>
      </c>
      <c r="CP10" s="49">
        <f t="shared" ca="1" si="12"/>
        <v>9</v>
      </c>
      <c r="CQ10" s="49">
        <f t="shared" ca="1" si="12"/>
        <v>3</v>
      </c>
      <c r="CR10" s="49">
        <f t="shared" ca="1" si="12"/>
        <v>9</v>
      </c>
      <c r="CS10" s="49">
        <f t="shared" ca="1" si="12"/>
        <v>14</v>
      </c>
      <c r="CT10" s="49">
        <f t="shared" ca="1" si="12"/>
        <v>3</v>
      </c>
      <c r="CU10" s="49">
        <f t="shared" ca="1" si="12"/>
        <v>9</v>
      </c>
      <c r="CV10" s="49">
        <f t="shared" ca="1" si="12"/>
        <v>15</v>
      </c>
      <c r="CW10" s="49">
        <f t="shared" ca="1" si="12"/>
        <v>13</v>
      </c>
      <c r="CX10" s="49">
        <f t="shared" ca="1" si="12"/>
        <v>15</v>
      </c>
      <c r="CY10" s="49">
        <f t="shared" ca="1" si="12"/>
        <v>3</v>
      </c>
      <c r="CZ10" s="49">
        <f t="shared" ca="1" si="12"/>
        <v>15</v>
      </c>
      <c r="DA10" s="49">
        <f t="shared" ca="1" si="12"/>
        <v>5</v>
      </c>
      <c r="DB10" s="49">
        <f t="shared" ca="1" si="12"/>
        <v>11</v>
      </c>
      <c r="DC10" s="49">
        <f t="shared" ca="1" si="12"/>
        <v>11</v>
      </c>
      <c r="DD10" s="49">
        <f t="shared" ca="1" si="12"/>
        <v>11</v>
      </c>
      <c r="DE10" s="49">
        <f t="shared" ca="1" si="12"/>
        <v>9</v>
      </c>
      <c r="DF10" s="49">
        <f t="shared" ca="1" si="12"/>
        <v>15</v>
      </c>
      <c r="DG10" s="49">
        <f t="shared" ca="1" si="12"/>
        <v>4</v>
      </c>
      <c r="DH10" s="49">
        <f t="shared" ca="1" si="12"/>
        <v>7</v>
      </c>
      <c r="DI10" s="49">
        <f t="shared" ca="1" si="12"/>
        <v>7</v>
      </c>
      <c r="DJ10" s="49">
        <f t="shared" ca="1" si="12"/>
        <v>5</v>
      </c>
      <c r="DK10" s="49">
        <f t="shared" ca="1" si="12"/>
        <v>13</v>
      </c>
      <c r="DL10" s="49">
        <f t="shared" ca="1" si="12"/>
        <v>9</v>
      </c>
      <c r="DM10" s="49">
        <f t="shared" ca="1" si="12"/>
        <v>6</v>
      </c>
      <c r="DN10" s="49">
        <f t="shared" ca="1" si="12"/>
        <v>7</v>
      </c>
      <c r="DO10" s="49">
        <f t="shared" ca="1" si="12"/>
        <v>11</v>
      </c>
      <c r="DP10" s="49">
        <f t="shared" ca="1" si="12"/>
        <v>8</v>
      </c>
      <c r="DQ10" s="49">
        <f t="shared" ca="1" si="12"/>
        <v>12</v>
      </c>
      <c r="DR10" s="49">
        <f t="shared" ca="1" si="12"/>
        <v>12</v>
      </c>
      <c r="DS10" s="49">
        <f t="shared" ca="1" si="12"/>
        <v>14</v>
      </c>
      <c r="DT10" s="49">
        <f t="shared" ca="1" si="12"/>
        <v>14</v>
      </c>
      <c r="DU10" s="49">
        <f t="shared" ca="1" si="12"/>
        <v>15</v>
      </c>
      <c r="DV10" s="49">
        <f t="shared" ca="1" si="12"/>
        <v>13</v>
      </c>
      <c r="DW10" s="49">
        <f t="shared" ca="1" si="12"/>
        <v>5</v>
      </c>
      <c r="DX10" s="49">
        <f t="shared" ca="1" si="12"/>
        <v>4</v>
      </c>
      <c r="DY10" s="49">
        <f t="shared" ca="1" si="12"/>
        <v>4</v>
      </c>
      <c r="DZ10" s="49">
        <f t="shared" ca="1" si="12"/>
        <v>1</v>
      </c>
      <c r="EA10" s="49">
        <f t="shared" ca="1" si="12"/>
        <v>8</v>
      </c>
      <c r="EB10" s="49">
        <f t="shared" ca="1" si="12"/>
        <v>5</v>
      </c>
      <c r="EC10" s="49">
        <f t="shared" ref="EC10:EE10" ca="1" si="13">RANDBETWEEN(1, 15)</f>
        <v>7</v>
      </c>
      <c r="ED10" s="49">
        <f t="shared" ca="1" si="13"/>
        <v>5</v>
      </c>
      <c r="EE10" s="49">
        <f t="shared" ca="1" si="13"/>
        <v>8</v>
      </c>
    </row>
    <row r="11" spans="1:138" ht="29.15" x14ac:dyDescent="0.4">
      <c r="A11" s="29" t="str">
        <f t="shared" si="7"/>
        <v>KPI ID 4 %</v>
      </c>
      <c r="B11" s="47" t="s">
        <v>54</v>
      </c>
      <c r="C11" s="48" t="s">
        <v>19</v>
      </c>
      <c r="D11" s="49">
        <f t="shared" ref="D11:AI11" ca="1" si="14">RAND()</f>
        <v>0.9975518026131307</v>
      </c>
      <c r="E11" s="49">
        <f t="shared" ca="1" si="14"/>
        <v>0.84226866592055216</v>
      </c>
      <c r="F11" s="49">
        <f t="shared" ca="1" si="14"/>
        <v>0.11767850211521413</v>
      </c>
      <c r="G11" s="49">
        <f t="shared" ca="1" si="14"/>
        <v>0.99990192021716007</v>
      </c>
      <c r="H11" s="49">
        <f t="shared" ca="1" si="14"/>
        <v>7.5705252643801013E-2</v>
      </c>
      <c r="I11" s="49">
        <f t="shared" ca="1" si="14"/>
        <v>0.17971659138395979</v>
      </c>
      <c r="J11" s="49">
        <f t="shared" ca="1" si="14"/>
        <v>0.37213522312632674</v>
      </c>
      <c r="K11" s="49">
        <f t="shared" ca="1" si="14"/>
        <v>0.62445262811987934</v>
      </c>
      <c r="L11" s="49">
        <f t="shared" ca="1" si="14"/>
        <v>5.0176205561061948E-2</v>
      </c>
      <c r="M11" s="49">
        <f t="shared" ca="1" si="14"/>
        <v>0.55011963160617305</v>
      </c>
      <c r="N11" s="49">
        <f t="shared" ca="1" si="14"/>
        <v>0.57641325019195877</v>
      </c>
      <c r="O11" s="49">
        <f t="shared" ca="1" si="14"/>
        <v>0.22665271818516874</v>
      </c>
      <c r="P11" s="49">
        <f t="shared" ca="1" si="14"/>
        <v>0.81058616566369712</v>
      </c>
      <c r="Q11" s="49">
        <f t="shared" ca="1" si="14"/>
        <v>0.71967332208431567</v>
      </c>
      <c r="R11" s="49">
        <f t="shared" ca="1" si="14"/>
        <v>0.9995022579093773</v>
      </c>
      <c r="S11" s="49">
        <f t="shared" ca="1" si="14"/>
        <v>0.55420296861662</v>
      </c>
      <c r="T11" s="49">
        <f t="shared" ca="1" si="14"/>
        <v>0.17413771683760171</v>
      </c>
      <c r="U11" s="49">
        <f t="shared" ca="1" si="14"/>
        <v>7.0684807369528313E-2</v>
      </c>
      <c r="V11" s="49">
        <f t="shared" ca="1" si="14"/>
        <v>5.5631269777399184E-2</v>
      </c>
      <c r="W11" s="49">
        <f t="shared" ca="1" si="14"/>
        <v>0.87926977268166229</v>
      </c>
      <c r="X11" s="49">
        <f t="shared" ca="1" si="14"/>
        <v>0.9084770257542979</v>
      </c>
      <c r="Y11" s="49">
        <f t="shared" ca="1" si="14"/>
        <v>0.51774813014728926</v>
      </c>
      <c r="Z11" s="49">
        <f t="shared" ca="1" si="14"/>
        <v>0.34816318075571895</v>
      </c>
      <c r="AA11" s="49">
        <f t="shared" ca="1" si="14"/>
        <v>0.32680131625053743</v>
      </c>
      <c r="AB11" s="49">
        <f t="shared" ca="1" si="14"/>
        <v>0.64671116740790879</v>
      </c>
      <c r="AC11" s="49">
        <f t="shared" ca="1" si="14"/>
        <v>0.39901502996946814</v>
      </c>
      <c r="AD11" s="49">
        <f t="shared" ca="1" si="14"/>
        <v>0.76078280674070331</v>
      </c>
      <c r="AE11" s="49">
        <f t="shared" ca="1" si="14"/>
        <v>0.21482508112415688</v>
      </c>
      <c r="AF11" s="49">
        <f t="shared" ca="1" si="14"/>
        <v>4.1808093040990535E-2</v>
      </c>
      <c r="AG11" s="49">
        <f t="shared" ca="1" si="14"/>
        <v>8.9990871618624069E-2</v>
      </c>
      <c r="AH11" s="49">
        <f t="shared" ca="1" si="14"/>
        <v>0.36363828809297005</v>
      </c>
      <c r="AI11" s="49">
        <f t="shared" ca="1" si="14"/>
        <v>0.91869999491135856</v>
      </c>
      <c r="AJ11" s="49">
        <f t="shared" ref="AJ11:BO11" ca="1" si="15">RAND()</f>
        <v>0.28341178428887182</v>
      </c>
      <c r="AK11" s="49">
        <f t="shared" ca="1" si="15"/>
        <v>0.7878264297131613</v>
      </c>
      <c r="AL11" s="49">
        <f t="shared" ca="1" si="15"/>
        <v>0.67938041942345362</v>
      </c>
      <c r="AM11" s="49">
        <f t="shared" ca="1" si="15"/>
        <v>0.97787973558073971</v>
      </c>
      <c r="AN11" s="49">
        <f t="shared" ca="1" si="15"/>
        <v>0.67784389461100225</v>
      </c>
      <c r="AO11" s="49">
        <f t="shared" ca="1" si="15"/>
        <v>0.8846874204393409</v>
      </c>
      <c r="AP11" s="49">
        <f t="shared" ca="1" si="15"/>
        <v>0.85684361426755318</v>
      </c>
      <c r="AQ11" s="49">
        <f t="shared" ca="1" si="15"/>
        <v>0.75912911307740916</v>
      </c>
      <c r="AR11" s="49">
        <f t="shared" ca="1" si="15"/>
        <v>0.63084805447523662</v>
      </c>
      <c r="AS11" s="49">
        <f t="shared" ca="1" si="15"/>
        <v>0.64804488865764731</v>
      </c>
      <c r="AT11" s="49">
        <f t="shared" ca="1" si="15"/>
        <v>0.96944765856019477</v>
      </c>
      <c r="AU11" s="49">
        <f t="shared" ca="1" si="15"/>
        <v>0.32157426900604991</v>
      </c>
      <c r="AV11" s="49">
        <f t="shared" ca="1" si="15"/>
        <v>0.21297994202746906</v>
      </c>
      <c r="AW11" s="49">
        <f t="shared" ca="1" si="15"/>
        <v>0.15530877228234508</v>
      </c>
      <c r="AX11" s="49">
        <f t="shared" ca="1" si="15"/>
        <v>0.44928939597272544</v>
      </c>
      <c r="AY11" s="49">
        <f t="shared" ca="1" si="15"/>
        <v>6.3156938240136351E-2</v>
      </c>
      <c r="AZ11" s="49">
        <f t="shared" ca="1" si="15"/>
        <v>0.42161800738606925</v>
      </c>
      <c r="BA11" s="49">
        <f t="shared" ca="1" si="15"/>
        <v>0.76923257482501761</v>
      </c>
      <c r="BB11" s="49">
        <f t="shared" ca="1" si="15"/>
        <v>9.2628299288523341E-2</v>
      </c>
      <c r="BC11" s="49">
        <f t="shared" ca="1" si="15"/>
        <v>0.17869589465805469</v>
      </c>
      <c r="BD11" s="49">
        <f t="shared" ca="1" si="15"/>
        <v>0.97301756822697727</v>
      </c>
      <c r="BE11" s="49">
        <f t="shared" ca="1" si="15"/>
        <v>0.4760108136052934</v>
      </c>
      <c r="BF11" s="49">
        <f t="shared" ca="1" si="15"/>
        <v>0.20424684195695719</v>
      </c>
      <c r="BG11" s="49">
        <f t="shared" ca="1" si="15"/>
        <v>0.32019725024569112</v>
      </c>
      <c r="BH11" s="49">
        <f t="shared" ca="1" si="15"/>
        <v>0.58745131687142571</v>
      </c>
      <c r="BI11" s="49">
        <f t="shared" ca="1" si="15"/>
        <v>0.7018598513382186</v>
      </c>
      <c r="BJ11" s="49">
        <f t="shared" ca="1" si="15"/>
        <v>0.82763066901383953</v>
      </c>
      <c r="BK11" s="49">
        <f t="shared" ca="1" si="15"/>
        <v>0.1435502703235465</v>
      </c>
      <c r="BL11" s="49">
        <f t="shared" ca="1" si="15"/>
        <v>0.12999230281899532</v>
      </c>
      <c r="BM11" s="49">
        <f t="shared" ca="1" si="15"/>
        <v>0.45971194340849741</v>
      </c>
      <c r="BN11" s="49">
        <f t="shared" ca="1" si="15"/>
        <v>0.52194919875091383</v>
      </c>
      <c r="BO11" s="49">
        <f t="shared" ca="1" si="15"/>
        <v>0.17302838759077988</v>
      </c>
      <c r="BP11" s="49">
        <f t="shared" ref="BP11:CU11" ca="1" si="16">RAND()</f>
        <v>0.89601452269761583</v>
      </c>
      <c r="BQ11" s="49">
        <f t="shared" ca="1" si="16"/>
        <v>0.7966645452389266</v>
      </c>
      <c r="BR11" s="49">
        <f t="shared" ca="1" si="16"/>
        <v>0.89789985079651835</v>
      </c>
      <c r="BS11" s="49">
        <f t="shared" ca="1" si="16"/>
        <v>0.70435655737548808</v>
      </c>
      <c r="BT11" s="49">
        <f t="shared" ca="1" si="16"/>
        <v>0.83816506026750981</v>
      </c>
      <c r="BU11" s="49">
        <f t="shared" ca="1" si="16"/>
        <v>0.85129456379557478</v>
      </c>
      <c r="BV11" s="49">
        <f t="shared" ca="1" si="16"/>
        <v>3.4549301139266131E-3</v>
      </c>
      <c r="BW11" s="49">
        <f t="shared" ca="1" si="16"/>
        <v>0.22273952160350041</v>
      </c>
      <c r="BX11" s="49">
        <f t="shared" ca="1" si="16"/>
        <v>0.67320006417362832</v>
      </c>
      <c r="BY11" s="49">
        <f t="shared" ca="1" si="16"/>
        <v>0.98974297671006928</v>
      </c>
      <c r="BZ11" s="49">
        <f t="shared" ca="1" si="16"/>
        <v>0.40888202864437173</v>
      </c>
      <c r="CA11" s="49">
        <f t="shared" ca="1" si="16"/>
        <v>0.60189890266745183</v>
      </c>
      <c r="CB11" s="49">
        <f t="shared" ca="1" si="16"/>
        <v>0.79460032908782308</v>
      </c>
      <c r="CC11" s="49">
        <f t="shared" ca="1" si="16"/>
        <v>0.95843666208747491</v>
      </c>
      <c r="CD11" s="49">
        <f t="shared" ca="1" si="16"/>
        <v>6.0554836393134193E-2</v>
      </c>
      <c r="CE11" s="49">
        <f t="shared" ca="1" si="16"/>
        <v>0.16424618847183226</v>
      </c>
      <c r="CF11" s="49">
        <f t="shared" ca="1" si="16"/>
        <v>0.11836520027972763</v>
      </c>
      <c r="CG11" s="49">
        <f t="shared" ca="1" si="16"/>
        <v>0.89393644377563086</v>
      </c>
      <c r="CH11" s="49">
        <f t="shared" ca="1" si="16"/>
        <v>0.69930073891023481</v>
      </c>
      <c r="CI11" s="49">
        <f t="shared" ca="1" si="16"/>
        <v>0.977193252016749</v>
      </c>
      <c r="CJ11" s="49">
        <f t="shared" ca="1" si="16"/>
        <v>0.9969254560265568</v>
      </c>
      <c r="CK11" s="49">
        <f t="shared" ca="1" si="16"/>
        <v>0.75164974446058974</v>
      </c>
      <c r="CL11" s="49">
        <f t="shared" ca="1" si="16"/>
        <v>0.97490542329098029</v>
      </c>
      <c r="CM11" s="49">
        <f t="shared" ca="1" si="16"/>
        <v>0.58042872976704352</v>
      </c>
      <c r="CN11" s="49">
        <f t="shared" ca="1" si="16"/>
        <v>0.11150149874473392</v>
      </c>
      <c r="CO11" s="49">
        <f t="shared" ca="1" si="16"/>
        <v>0.94506975416647143</v>
      </c>
      <c r="CP11" s="49">
        <f t="shared" ca="1" si="16"/>
        <v>0.64453331048010709</v>
      </c>
      <c r="CQ11" s="49">
        <f t="shared" ca="1" si="16"/>
        <v>0.84801492382020005</v>
      </c>
      <c r="CR11" s="49">
        <f t="shared" ca="1" si="16"/>
        <v>0.80236555612161331</v>
      </c>
      <c r="CS11" s="49">
        <f t="shared" ca="1" si="16"/>
        <v>2.9968918742013795E-3</v>
      </c>
      <c r="CT11" s="49">
        <f t="shared" ca="1" si="16"/>
        <v>4.8963312471592912E-2</v>
      </c>
      <c r="CU11" s="49">
        <f t="shared" ca="1" si="16"/>
        <v>0.31026133037694337</v>
      </c>
      <c r="CV11" s="49">
        <f t="shared" ref="CV11:EE11" ca="1" si="17">RAND()</f>
        <v>0.8462269989264195</v>
      </c>
      <c r="CW11" s="49">
        <f t="shared" ca="1" si="17"/>
        <v>0.88848510907357636</v>
      </c>
      <c r="CX11" s="49">
        <f t="shared" ca="1" si="17"/>
        <v>0.46818166822776275</v>
      </c>
      <c r="CY11" s="49">
        <f t="shared" ca="1" si="17"/>
        <v>0.78489839024335628</v>
      </c>
      <c r="CZ11" s="49">
        <f t="shared" ca="1" si="17"/>
        <v>0.71132591910206344</v>
      </c>
      <c r="DA11" s="49">
        <f t="shared" ca="1" si="17"/>
        <v>0.97043548008231306</v>
      </c>
      <c r="DB11" s="49">
        <f t="shared" ca="1" si="17"/>
        <v>0.30159870847569381</v>
      </c>
      <c r="DC11" s="49">
        <f t="shared" ca="1" si="17"/>
        <v>0.91981958863169655</v>
      </c>
      <c r="DD11" s="49">
        <f t="shared" ca="1" si="17"/>
        <v>0.66944051628721801</v>
      </c>
      <c r="DE11" s="49">
        <f t="shared" ca="1" si="17"/>
        <v>0.6485346409335383</v>
      </c>
      <c r="DF11" s="49">
        <f t="shared" ca="1" si="17"/>
        <v>0.33909639734654129</v>
      </c>
      <c r="DG11" s="49">
        <f t="shared" ca="1" si="17"/>
        <v>0.17920566561817752</v>
      </c>
      <c r="DH11" s="49">
        <f t="shared" ca="1" si="17"/>
        <v>0.27510774748940392</v>
      </c>
      <c r="DI11" s="49">
        <f t="shared" ca="1" si="17"/>
        <v>0.66767336056724957</v>
      </c>
      <c r="DJ11" s="49">
        <f t="shared" ca="1" si="17"/>
        <v>3.7732748236362745E-2</v>
      </c>
      <c r="DK11" s="49">
        <f t="shared" ca="1" si="17"/>
        <v>0.77364969797187877</v>
      </c>
      <c r="DL11" s="49">
        <f t="shared" ca="1" si="17"/>
        <v>0.65224000446174879</v>
      </c>
      <c r="DM11" s="49">
        <f t="shared" ca="1" si="17"/>
        <v>0.2004517888616304</v>
      </c>
      <c r="DN11" s="49">
        <f t="shared" ca="1" si="17"/>
        <v>0.498969066454645</v>
      </c>
      <c r="DO11" s="49">
        <f t="shared" ca="1" si="17"/>
        <v>0.24355404170575767</v>
      </c>
      <c r="DP11" s="49">
        <f t="shared" ca="1" si="17"/>
        <v>2.3903669214926149E-2</v>
      </c>
      <c r="DQ11" s="49">
        <f t="shared" ca="1" si="17"/>
        <v>0.38623414598118244</v>
      </c>
      <c r="DR11" s="49">
        <f t="shared" ca="1" si="17"/>
        <v>1.18470640445687E-2</v>
      </c>
      <c r="DS11" s="49">
        <f t="shared" ca="1" si="17"/>
        <v>0.58186396405300389</v>
      </c>
      <c r="DT11" s="49">
        <f t="shared" ca="1" si="17"/>
        <v>0.53204602365793485</v>
      </c>
      <c r="DU11" s="49">
        <f t="shared" ca="1" si="17"/>
        <v>0.94947789749407219</v>
      </c>
      <c r="DV11" s="49">
        <f t="shared" ca="1" si="17"/>
        <v>0.8082536284971279</v>
      </c>
      <c r="DW11" s="49">
        <f t="shared" ca="1" si="17"/>
        <v>0.47389200557824418</v>
      </c>
      <c r="DX11" s="49">
        <f t="shared" ca="1" si="17"/>
        <v>8.990972332337499E-2</v>
      </c>
      <c r="DY11" s="49">
        <f t="shared" ca="1" si="17"/>
        <v>0.63204826690676796</v>
      </c>
      <c r="DZ11" s="49">
        <f t="shared" ca="1" si="17"/>
        <v>0.97009873020774606</v>
      </c>
      <c r="EA11" s="49">
        <f t="shared" ca="1" si="17"/>
        <v>0.47038952415517921</v>
      </c>
      <c r="EB11" s="49">
        <f t="shared" ca="1" si="17"/>
        <v>0.34717838934492173</v>
      </c>
      <c r="EC11" s="49">
        <f t="shared" ca="1" si="17"/>
        <v>0.69136844027201272</v>
      </c>
      <c r="ED11" s="49">
        <f t="shared" ca="1" si="17"/>
        <v>0.84017149702168714</v>
      </c>
      <c r="EE11" s="49">
        <f t="shared" ca="1" si="17"/>
        <v>1.4766463664056539E-3</v>
      </c>
    </row>
    <row r="12" spans="1:138" x14ac:dyDescent="0.4">
      <c r="A12" s="29" t="str">
        <f t="shared" si="7"/>
        <v>KPI ID 5</v>
      </c>
      <c r="B12" s="47" t="s">
        <v>55</v>
      </c>
      <c r="C12" s="48" t="s">
        <v>20</v>
      </c>
      <c r="D12" s="49">
        <f ca="1">RANDBETWEEN(1, 40)</f>
        <v>38</v>
      </c>
      <c r="E12" s="49">
        <f t="shared" ref="E12:BP14" ca="1" si="18">RANDBETWEEN(1, 40)</f>
        <v>33</v>
      </c>
      <c r="F12" s="49">
        <f t="shared" ca="1" si="18"/>
        <v>40</v>
      </c>
      <c r="G12" s="49">
        <f t="shared" ca="1" si="18"/>
        <v>40</v>
      </c>
      <c r="H12" s="49">
        <f t="shared" ca="1" si="18"/>
        <v>10</v>
      </c>
      <c r="I12" s="49">
        <f t="shared" ca="1" si="18"/>
        <v>6</v>
      </c>
      <c r="J12" s="49">
        <f t="shared" ca="1" si="18"/>
        <v>18</v>
      </c>
      <c r="K12" s="49">
        <f t="shared" ca="1" si="18"/>
        <v>3</v>
      </c>
      <c r="L12" s="49">
        <f t="shared" ca="1" si="18"/>
        <v>24</v>
      </c>
      <c r="M12" s="49">
        <f t="shared" ca="1" si="18"/>
        <v>13</v>
      </c>
      <c r="N12" s="49">
        <f t="shared" ca="1" si="18"/>
        <v>24</v>
      </c>
      <c r="O12" s="49">
        <f t="shared" ca="1" si="18"/>
        <v>31</v>
      </c>
      <c r="P12" s="49">
        <f t="shared" ca="1" si="18"/>
        <v>17</v>
      </c>
      <c r="Q12" s="49">
        <f t="shared" ca="1" si="18"/>
        <v>17</v>
      </c>
      <c r="R12" s="49">
        <f t="shared" ca="1" si="18"/>
        <v>39</v>
      </c>
      <c r="S12" s="49">
        <f t="shared" ca="1" si="18"/>
        <v>14</v>
      </c>
      <c r="T12" s="49">
        <f t="shared" ca="1" si="18"/>
        <v>2</v>
      </c>
      <c r="U12" s="49">
        <f t="shared" ca="1" si="18"/>
        <v>2</v>
      </c>
      <c r="V12" s="49">
        <f t="shared" ca="1" si="18"/>
        <v>10</v>
      </c>
      <c r="W12" s="49">
        <f t="shared" ca="1" si="18"/>
        <v>24</v>
      </c>
      <c r="X12" s="49">
        <f t="shared" ca="1" si="18"/>
        <v>19</v>
      </c>
      <c r="Y12" s="49">
        <f t="shared" ca="1" si="18"/>
        <v>26</v>
      </c>
      <c r="Z12" s="49">
        <f t="shared" ca="1" si="18"/>
        <v>18</v>
      </c>
      <c r="AA12" s="49">
        <f t="shared" ca="1" si="18"/>
        <v>8</v>
      </c>
      <c r="AB12" s="49">
        <f t="shared" ca="1" si="18"/>
        <v>20</v>
      </c>
      <c r="AC12" s="49">
        <f t="shared" ca="1" si="18"/>
        <v>10</v>
      </c>
      <c r="AD12" s="49">
        <f t="shared" ca="1" si="18"/>
        <v>15</v>
      </c>
      <c r="AE12" s="49">
        <f t="shared" ca="1" si="18"/>
        <v>40</v>
      </c>
      <c r="AF12" s="49">
        <f t="shared" ca="1" si="18"/>
        <v>20</v>
      </c>
      <c r="AG12" s="49">
        <f t="shared" ca="1" si="18"/>
        <v>31</v>
      </c>
      <c r="AH12" s="49">
        <f t="shared" ca="1" si="18"/>
        <v>28</v>
      </c>
      <c r="AI12" s="49">
        <f t="shared" ca="1" si="18"/>
        <v>20</v>
      </c>
      <c r="AJ12" s="49">
        <f t="shared" ca="1" si="18"/>
        <v>29</v>
      </c>
      <c r="AK12" s="49">
        <f t="shared" ca="1" si="18"/>
        <v>16</v>
      </c>
      <c r="AL12" s="49">
        <f t="shared" ca="1" si="18"/>
        <v>18</v>
      </c>
      <c r="AM12" s="49">
        <f t="shared" ca="1" si="18"/>
        <v>26</v>
      </c>
      <c r="AN12" s="49">
        <f t="shared" ca="1" si="18"/>
        <v>38</v>
      </c>
      <c r="AO12" s="49">
        <f t="shared" ca="1" si="18"/>
        <v>12</v>
      </c>
      <c r="AP12" s="49">
        <f t="shared" ca="1" si="18"/>
        <v>14</v>
      </c>
      <c r="AQ12" s="49">
        <f t="shared" ca="1" si="18"/>
        <v>1</v>
      </c>
      <c r="AR12" s="49">
        <f t="shared" ca="1" si="18"/>
        <v>12</v>
      </c>
      <c r="AS12" s="49">
        <f t="shared" ca="1" si="18"/>
        <v>1</v>
      </c>
      <c r="AT12" s="49">
        <f t="shared" ca="1" si="18"/>
        <v>38</v>
      </c>
      <c r="AU12" s="49">
        <f t="shared" ca="1" si="18"/>
        <v>12</v>
      </c>
      <c r="AV12" s="49">
        <f t="shared" ca="1" si="18"/>
        <v>24</v>
      </c>
      <c r="AW12" s="49">
        <f t="shared" ca="1" si="18"/>
        <v>18</v>
      </c>
      <c r="AX12" s="49">
        <f t="shared" ca="1" si="18"/>
        <v>35</v>
      </c>
      <c r="AY12" s="49">
        <f t="shared" ca="1" si="18"/>
        <v>14</v>
      </c>
      <c r="AZ12" s="49">
        <f t="shared" ca="1" si="18"/>
        <v>14</v>
      </c>
      <c r="BA12" s="49">
        <f t="shared" ca="1" si="18"/>
        <v>16</v>
      </c>
      <c r="BB12" s="49">
        <f t="shared" ca="1" si="18"/>
        <v>10</v>
      </c>
      <c r="BC12" s="49">
        <f t="shared" ca="1" si="18"/>
        <v>3</v>
      </c>
      <c r="BD12" s="49">
        <f t="shared" ca="1" si="18"/>
        <v>4</v>
      </c>
      <c r="BE12" s="49">
        <f t="shared" ca="1" si="18"/>
        <v>16</v>
      </c>
      <c r="BF12" s="49">
        <f t="shared" ca="1" si="18"/>
        <v>10</v>
      </c>
      <c r="BG12" s="49">
        <f t="shared" ca="1" si="18"/>
        <v>37</v>
      </c>
      <c r="BH12" s="49">
        <f t="shared" ca="1" si="18"/>
        <v>5</v>
      </c>
      <c r="BI12" s="49">
        <f t="shared" ca="1" si="18"/>
        <v>34</v>
      </c>
      <c r="BJ12" s="49">
        <f t="shared" ca="1" si="18"/>
        <v>15</v>
      </c>
      <c r="BK12" s="49">
        <f t="shared" ca="1" si="18"/>
        <v>23</v>
      </c>
      <c r="BL12" s="49">
        <f t="shared" ca="1" si="18"/>
        <v>8</v>
      </c>
      <c r="BM12" s="49">
        <f t="shared" ca="1" si="18"/>
        <v>3</v>
      </c>
      <c r="BN12" s="49">
        <f t="shared" ca="1" si="18"/>
        <v>5</v>
      </c>
      <c r="BO12" s="49">
        <f t="shared" ca="1" si="18"/>
        <v>4</v>
      </c>
      <c r="BP12" s="49">
        <f t="shared" ca="1" si="18"/>
        <v>20</v>
      </c>
      <c r="BQ12" s="49">
        <f t="shared" ref="BQ12:EB14" ca="1" si="19">RANDBETWEEN(1, 40)</f>
        <v>33</v>
      </c>
      <c r="BR12" s="49">
        <f t="shared" ca="1" si="19"/>
        <v>17</v>
      </c>
      <c r="BS12" s="49">
        <f t="shared" ca="1" si="19"/>
        <v>15</v>
      </c>
      <c r="BT12" s="49">
        <f t="shared" ca="1" si="19"/>
        <v>19</v>
      </c>
      <c r="BU12" s="49">
        <f t="shared" ca="1" si="19"/>
        <v>14</v>
      </c>
      <c r="BV12" s="49">
        <f t="shared" ca="1" si="19"/>
        <v>13</v>
      </c>
      <c r="BW12" s="49">
        <f t="shared" ca="1" si="19"/>
        <v>33</v>
      </c>
      <c r="BX12" s="49">
        <f t="shared" ca="1" si="19"/>
        <v>12</v>
      </c>
      <c r="BY12" s="49">
        <f t="shared" ca="1" si="19"/>
        <v>12</v>
      </c>
      <c r="BZ12" s="49">
        <f t="shared" ca="1" si="19"/>
        <v>11</v>
      </c>
      <c r="CA12" s="49">
        <f t="shared" ca="1" si="19"/>
        <v>29</v>
      </c>
      <c r="CB12" s="49">
        <f t="shared" ca="1" si="19"/>
        <v>38</v>
      </c>
      <c r="CC12" s="49">
        <f t="shared" ca="1" si="19"/>
        <v>40</v>
      </c>
      <c r="CD12" s="49">
        <f t="shared" ca="1" si="19"/>
        <v>38</v>
      </c>
      <c r="CE12" s="49">
        <f t="shared" ca="1" si="19"/>
        <v>16</v>
      </c>
      <c r="CF12" s="49">
        <f t="shared" ca="1" si="19"/>
        <v>7</v>
      </c>
      <c r="CG12" s="49">
        <f t="shared" ca="1" si="19"/>
        <v>23</v>
      </c>
      <c r="CH12" s="49">
        <f t="shared" ca="1" si="19"/>
        <v>20</v>
      </c>
      <c r="CI12" s="49">
        <f t="shared" ca="1" si="19"/>
        <v>37</v>
      </c>
      <c r="CJ12" s="49">
        <f t="shared" ca="1" si="19"/>
        <v>26</v>
      </c>
      <c r="CK12" s="49">
        <f t="shared" ca="1" si="19"/>
        <v>23</v>
      </c>
      <c r="CL12" s="49">
        <f t="shared" ca="1" si="19"/>
        <v>6</v>
      </c>
      <c r="CM12" s="49">
        <f t="shared" ca="1" si="19"/>
        <v>40</v>
      </c>
      <c r="CN12" s="49">
        <f t="shared" ca="1" si="19"/>
        <v>3</v>
      </c>
      <c r="CO12" s="49">
        <f t="shared" ca="1" si="19"/>
        <v>3</v>
      </c>
      <c r="CP12" s="49">
        <f t="shared" ca="1" si="19"/>
        <v>27</v>
      </c>
      <c r="CQ12" s="49">
        <f t="shared" ca="1" si="19"/>
        <v>36</v>
      </c>
      <c r="CR12" s="49">
        <f t="shared" ca="1" si="19"/>
        <v>11</v>
      </c>
      <c r="CS12" s="49">
        <f t="shared" ca="1" si="19"/>
        <v>7</v>
      </c>
      <c r="CT12" s="49">
        <f t="shared" ca="1" si="19"/>
        <v>11</v>
      </c>
      <c r="CU12" s="49">
        <f t="shared" ca="1" si="19"/>
        <v>10</v>
      </c>
      <c r="CV12" s="49">
        <f t="shared" ca="1" si="19"/>
        <v>28</v>
      </c>
      <c r="CW12" s="49">
        <f t="shared" ca="1" si="19"/>
        <v>31</v>
      </c>
      <c r="CX12" s="49">
        <f t="shared" ca="1" si="19"/>
        <v>21</v>
      </c>
      <c r="CY12" s="49">
        <f t="shared" ca="1" si="19"/>
        <v>4</v>
      </c>
      <c r="CZ12" s="49">
        <f t="shared" ca="1" si="19"/>
        <v>39</v>
      </c>
      <c r="DA12" s="49">
        <f t="shared" ca="1" si="19"/>
        <v>16</v>
      </c>
      <c r="DB12" s="49">
        <f t="shared" ca="1" si="19"/>
        <v>16</v>
      </c>
      <c r="DC12" s="49">
        <f t="shared" ca="1" si="19"/>
        <v>10</v>
      </c>
      <c r="DD12" s="49">
        <f t="shared" ca="1" si="19"/>
        <v>17</v>
      </c>
      <c r="DE12" s="49">
        <f t="shared" ca="1" si="19"/>
        <v>6</v>
      </c>
      <c r="DF12" s="49">
        <f t="shared" ca="1" si="19"/>
        <v>33</v>
      </c>
      <c r="DG12" s="49">
        <f t="shared" ca="1" si="19"/>
        <v>3</v>
      </c>
      <c r="DH12" s="49">
        <f t="shared" ca="1" si="19"/>
        <v>23</v>
      </c>
      <c r="DI12" s="49">
        <f t="shared" ca="1" si="19"/>
        <v>9</v>
      </c>
      <c r="DJ12" s="49">
        <f t="shared" ca="1" si="19"/>
        <v>35</v>
      </c>
      <c r="DK12" s="49">
        <f t="shared" ca="1" si="19"/>
        <v>2</v>
      </c>
      <c r="DL12" s="49">
        <f t="shared" ca="1" si="19"/>
        <v>1</v>
      </c>
      <c r="DM12" s="49">
        <f t="shared" ca="1" si="19"/>
        <v>32</v>
      </c>
      <c r="DN12" s="49">
        <f t="shared" ca="1" si="19"/>
        <v>3</v>
      </c>
      <c r="DO12" s="49">
        <f t="shared" ca="1" si="19"/>
        <v>39</v>
      </c>
      <c r="DP12" s="49">
        <f t="shared" ca="1" si="19"/>
        <v>5</v>
      </c>
      <c r="DQ12" s="49">
        <f t="shared" ca="1" si="19"/>
        <v>28</v>
      </c>
      <c r="DR12" s="49">
        <f t="shared" ca="1" si="19"/>
        <v>40</v>
      </c>
      <c r="DS12" s="49">
        <f t="shared" ca="1" si="19"/>
        <v>8</v>
      </c>
      <c r="DT12" s="49">
        <f t="shared" ca="1" si="19"/>
        <v>20</v>
      </c>
      <c r="DU12" s="49">
        <f t="shared" ca="1" si="19"/>
        <v>38</v>
      </c>
      <c r="DV12" s="49">
        <f t="shared" ca="1" si="19"/>
        <v>12</v>
      </c>
      <c r="DW12" s="49">
        <f t="shared" ca="1" si="19"/>
        <v>27</v>
      </c>
      <c r="DX12" s="49">
        <f t="shared" ca="1" si="19"/>
        <v>13</v>
      </c>
      <c r="DY12" s="49">
        <f t="shared" ca="1" si="19"/>
        <v>13</v>
      </c>
      <c r="DZ12" s="49">
        <f t="shared" ca="1" si="19"/>
        <v>14</v>
      </c>
      <c r="EA12" s="49">
        <f t="shared" ca="1" si="19"/>
        <v>31</v>
      </c>
      <c r="EB12" s="49">
        <f t="shared" ca="1" si="19"/>
        <v>22</v>
      </c>
      <c r="EC12" s="49">
        <f t="shared" ref="EC12:EE14" ca="1" si="20">RANDBETWEEN(1, 40)</f>
        <v>1</v>
      </c>
      <c r="ED12" s="49">
        <f t="shared" ca="1" si="20"/>
        <v>1</v>
      </c>
      <c r="EE12" s="49">
        <f t="shared" ca="1" si="20"/>
        <v>4</v>
      </c>
    </row>
    <row r="13" spans="1:138" x14ac:dyDescent="0.4">
      <c r="A13" s="29" t="str">
        <f t="shared" si="7"/>
        <v>KPI ID 6</v>
      </c>
      <c r="B13" s="47" t="s">
        <v>65</v>
      </c>
      <c r="C13" s="48" t="s">
        <v>21</v>
      </c>
      <c r="D13" s="49">
        <f ca="1">RANDBETWEEN(1, 40)</f>
        <v>18</v>
      </c>
      <c r="E13" s="49">
        <f t="shared" ca="1" si="18"/>
        <v>21</v>
      </c>
      <c r="F13" s="49">
        <f t="shared" ca="1" si="18"/>
        <v>7</v>
      </c>
      <c r="G13" s="49">
        <f t="shared" ca="1" si="18"/>
        <v>1</v>
      </c>
      <c r="H13" s="49">
        <f t="shared" ca="1" si="18"/>
        <v>33</v>
      </c>
      <c r="I13" s="49">
        <f t="shared" ca="1" si="18"/>
        <v>31</v>
      </c>
      <c r="J13" s="49">
        <f t="shared" ca="1" si="18"/>
        <v>36</v>
      </c>
      <c r="K13" s="49">
        <f t="shared" ca="1" si="18"/>
        <v>10</v>
      </c>
      <c r="L13" s="49">
        <f t="shared" ca="1" si="18"/>
        <v>33</v>
      </c>
      <c r="M13" s="49">
        <f t="shared" ca="1" si="18"/>
        <v>10</v>
      </c>
      <c r="N13" s="49">
        <f t="shared" ca="1" si="18"/>
        <v>4</v>
      </c>
      <c r="O13" s="49">
        <f t="shared" ca="1" si="18"/>
        <v>29</v>
      </c>
      <c r="P13" s="49">
        <f t="shared" ca="1" si="18"/>
        <v>25</v>
      </c>
      <c r="Q13" s="49">
        <f t="shared" ca="1" si="18"/>
        <v>24</v>
      </c>
      <c r="R13" s="49">
        <f t="shared" ca="1" si="18"/>
        <v>37</v>
      </c>
      <c r="S13" s="49">
        <f t="shared" ca="1" si="18"/>
        <v>10</v>
      </c>
      <c r="T13" s="49">
        <f t="shared" ca="1" si="18"/>
        <v>25</v>
      </c>
      <c r="U13" s="49">
        <f t="shared" ca="1" si="18"/>
        <v>2</v>
      </c>
      <c r="V13" s="49">
        <f t="shared" ca="1" si="18"/>
        <v>7</v>
      </c>
      <c r="W13" s="49">
        <f t="shared" ca="1" si="18"/>
        <v>3</v>
      </c>
      <c r="X13" s="49">
        <f t="shared" ca="1" si="18"/>
        <v>16</v>
      </c>
      <c r="Y13" s="49">
        <f t="shared" ca="1" si="18"/>
        <v>12</v>
      </c>
      <c r="Z13" s="49">
        <f t="shared" ca="1" si="18"/>
        <v>17</v>
      </c>
      <c r="AA13" s="49">
        <f t="shared" ca="1" si="18"/>
        <v>39</v>
      </c>
      <c r="AB13" s="49">
        <f t="shared" ca="1" si="18"/>
        <v>12</v>
      </c>
      <c r="AC13" s="49">
        <f t="shared" ca="1" si="18"/>
        <v>1</v>
      </c>
      <c r="AD13" s="49">
        <f t="shared" ca="1" si="18"/>
        <v>5</v>
      </c>
      <c r="AE13" s="49">
        <f t="shared" ca="1" si="18"/>
        <v>2</v>
      </c>
      <c r="AF13" s="49">
        <f t="shared" ca="1" si="18"/>
        <v>6</v>
      </c>
      <c r="AG13" s="49">
        <f t="shared" ca="1" si="18"/>
        <v>7</v>
      </c>
      <c r="AH13" s="49">
        <f t="shared" ca="1" si="18"/>
        <v>14</v>
      </c>
      <c r="AI13" s="49">
        <f t="shared" ca="1" si="18"/>
        <v>20</v>
      </c>
      <c r="AJ13" s="49">
        <f t="shared" ca="1" si="18"/>
        <v>29</v>
      </c>
      <c r="AK13" s="49">
        <f t="shared" ca="1" si="18"/>
        <v>11</v>
      </c>
      <c r="AL13" s="49">
        <f t="shared" ca="1" si="18"/>
        <v>24</v>
      </c>
      <c r="AM13" s="49">
        <f t="shared" ca="1" si="18"/>
        <v>2</v>
      </c>
      <c r="AN13" s="49">
        <f t="shared" ca="1" si="18"/>
        <v>5</v>
      </c>
      <c r="AO13" s="49">
        <f t="shared" ca="1" si="18"/>
        <v>18</v>
      </c>
      <c r="AP13" s="49">
        <f t="shared" ca="1" si="18"/>
        <v>34</v>
      </c>
      <c r="AQ13" s="49">
        <f t="shared" ca="1" si="18"/>
        <v>27</v>
      </c>
      <c r="AR13" s="49">
        <f t="shared" ca="1" si="18"/>
        <v>20</v>
      </c>
      <c r="AS13" s="49">
        <f t="shared" ca="1" si="18"/>
        <v>40</v>
      </c>
      <c r="AT13" s="49">
        <f t="shared" ca="1" si="18"/>
        <v>36</v>
      </c>
      <c r="AU13" s="49">
        <f t="shared" ca="1" si="18"/>
        <v>5</v>
      </c>
      <c r="AV13" s="49">
        <f t="shared" ca="1" si="18"/>
        <v>19</v>
      </c>
      <c r="AW13" s="49">
        <f t="shared" ca="1" si="18"/>
        <v>19</v>
      </c>
      <c r="AX13" s="49">
        <f t="shared" ca="1" si="18"/>
        <v>4</v>
      </c>
      <c r="AY13" s="49">
        <f t="shared" ca="1" si="18"/>
        <v>10</v>
      </c>
      <c r="AZ13" s="49">
        <f t="shared" ca="1" si="18"/>
        <v>34</v>
      </c>
      <c r="BA13" s="49">
        <f t="shared" ca="1" si="18"/>
        <v>12</v>
      </c>
      <c r="BB13" s="49">
        <f t="shared" ca="1" si="18"/>
        <v>2</v>
      </c>
      <c r="BC13" s="49">
        <f t="shared" ca="1" si="18"/>
        <v>18</v>
      </c>
      <c r="BD13" s="49">
        <f t="shared" ca="1" si="18"/>
        <v>21</v>
      </c>
      <c r="BE13" s="49">
        <f t="shared" ca="1" si="18"/>
        <v>12</v>
      </c>
      <c r="BF13" s="49">
        <f t="shared" ca="1" si="18"/>
        <v>4</v>
      </c>
      <c r="BG13" s="49">
        <f t="shared" ca="1" si="18"/>
        <v>9</v>
      </c>
      <c r="BH13" s="49">
        <f t="shared" ca="1" si="18"/>
        <v>40</v>
      </c>
      <c r="BI13" s="49">
        <f t="shared" ca="1" si="18"/>
        <v>5</v>
      </c>
      <c r="BJ13" s="49">
        <f t="shared" ca="1" si="18"/>
        <v>21</v>
      </c>
      <c r="BK13" s="49">
        <f t="shared" ca="1" si="18"/>
        <v>27</v>
      </c>
      <c r="BL13" s="49">
        <f t="shared" ca="1" si="18"/>
        <v>36</v>
      </c>
      <c r="BM13" s="49">
        <f t="shared" ca="1" si="18"/>
        <v>28</v>
      </c>
      <c r="BN13" s="49">
        <f t="shared" ca="1" si="18"/>
        <v>3</v>
      </c>
      <c r="BO13" s="49">
        <f t="shared" ca="1" si="18"/>
        <v>27</v>
      </c>
      <c r="BP13" s="49">
        <f t="shared" ca="1" si="18"/>
        <v>35</v>
      </c>
      <c r="BQ13" s="49">
        <f t="shared" ca="1" si="19"/>
        <v>6</v>
      </c>
      <c r="BR13" s="49">
        <f t="shared" ca="1" si="19"/>
        <v>26</v>
      </c>
      <c r="BS13" s="49">
        <f t="shared" ca="1" si="19"/>
        <v>31</v>
      </c>
      <c r="BT13" s="49">
        <f t="shared" ca="1" si="19"/>
        <v>16</v>
      </c>
      <c r="BU13" s="49">
        <f t="shared" ca="1" si="19"/>
        <v>33</v>
      </c>
      <c r="BV13" s="49">
        <f t="shared" ca="1" si="19"/>
        <v>23</v>
      </c>
      <c r="BW13" s="49">
        <f t="shared" ca="1" si="19"/>
        <v>14</v>
      </c>
      <c r="BX13" s="49">
        <f t="shared" ca="1" si="19"/>
        <v>37</v>
      </c>
      <c r="BY13" s="49">
        <f t="shared" ca="1" si="19"/>
        <v>19</v>
      </c>
      <c r="BZ13" s="49">
        <f t="shared" ca="1" si="19"/>
        <v>36</v>
      </c>
      <c r="CA13" s="49">
        <f t="shared" ca="1" si="19"/>
        <v>15</v>
      </c>
      <c r="CB13" s="49">
        <f t="shared" ca="1" si="19"/>
        <v>26</v>
      </c>
      <c r="CC13" s="49">
        <f t="shared" ca="1" si="19"/>
        <v>2</v>
      </c>
      <c r="CD13" s="49">
        <f t="shared" ca="1" si="19"/>
        <v>26</v>
      </c>
      <c r="CE13" s="49">
        <f t="shared" ca="1" si="19"/>
        <v>9</v>
      </c>
      <c r="CF13" s="49">
        <f t="shared" ca="1" si="19"/>
        <v>39</v>
      </c>
      <c r="CG13" s="49">
        <f t="shared" ca="1" si="19"/>
        <v>19</v>
      </c>
      <c r="CH13" s="49">
        <f t="shared" ca="1" si="19"/>
        <v>30</v>
      </c>
      <c r="CI13" s="49">
        <f t="shared" ca="1" si="19"/>
        <v>38</v>
      </c>
      <c r="CJ13" s="49">
        <f t="shared" ca="1" si="19"/>
        <v>11</v>
      </c>
      <c r="CK13" s="49">
        <f t="shared" ca="1" si="19"/>
        <v>15</v>
      </c>
      <c r="CL13" s="49">
        <f t="shared" ca="1" si="19"/>
        <v>24</v>
      </c>
      <c r="CM13" s="49">
        <f t="shared" ca="1" si="19"/>
        <v>18</v>
      </c>
      <c r="CN13" s="49">
        <f t="shared" ca="1" si="19"/>
        <v>24</v>
      </c>
      <c r="CO13" s="49">
        <f t="shared" ca="1" si="19"/>
        <v>6</v>
      </c>
      <c r="CP13" s="49">
        <f t="shared" ca="1" si="19"/>
        <v>26</v>
      </c>
      <c r="CQ13" s="49">
        <f t="shared" ca="1" si="19"/>
        <v>38</v>
      </c>
      <c r="CR13" s="49">
        <f t="shared" ca="1" si="19"/>
        <v>31</v>
      </c>
      <c r="CS13" s="49">
        <f t="shared" ca="1" si="19"/>
        <v>20</v>
      </c>
      <c r="CT13" s="49">
        <f t="shared" ca="1" si="19"/>
        <v>40</v>
      </c>
      <c r="CU13" s="49">
        <f t="shared" ca="1" si="19"/>
        <v>4</v>
      </c>
      <c r="CV13" s="49">
        <f t="shared" ca="1" si="19"/>
        <v>33</v>
      </c>
      <c r="CW13" s="49">
        <f t="shared" ca="1" si="19"/>
        <v>35</v>
      </c>
      <c r="CX13" s="49">
        <f t="shared" ca="1" si="19"/>
        <v>3</v>
      </c>
      <c r="CY13" s="49">
        <f t="shared" ca="1" si="19"/>
        <v>14</v>
      </c>
      <c r="CZ13" s="49">
        <f t="shared" ca="1" si="19"/>
        <v>33</v>
      </c>
      <c r="DA13" s="49">
        <f t="shared" ca="1" si="19"/>
        <v>21</v>
      </c>
      <c r="DB13" s="49">
        <f t="shared" ca="1" si="19"/>
        <v>15</v>
      </c>
      <c r="DC13" s="49">
        <f t="shared" ca="1" si="19"/>
        <v>28</v>
      </c>
      <c r="DD13" s="49">
        <f t="shared" ca="1" si="19"/>
        <v>16</v>
      </c>
      <c r="DE13" s="49">
        <f t="shared" ca="1" si="19"/>
        <v>15</v>
      </c>
      <c r="DF13" s="49">
        <f t="shared" ca="1" si="19"/>
        <v>4</v>
      </c>
      <c r="DG13" s="49">
        <f t="shared" ca="1" si="19"/>
        <v>27</v>
      </c>
      <c r="DH13" s="49">
        <f t="shared" ca="1" si="19"/>
        <v>12</v>
      </c>
      <c r="DI13" s="49">
        <f t="shared" ca="1" si="19"/>
        <v>36</v>
      </c>
      <c r="DJ13" s="49">
        <f t="shared" ca="1" si="19"/>
        <v>31</v>
      </c>
      <c r="DK13" s="49">
        <f t="shared" ca="1" si="19"/>
        <v>27</v>
      </c>
      <c r="DL13" s="49">
        <f t="shared" ca="1" si="19"/>
        <v>40</v>
      </c>
      <c r="DM13" s="49">
        <f t="shared" ca="1" si="19"/>
        <v>15</v>
      </c>
      <c r="DN13" s="49">
        <f t="shared" ca="1" si="19"/>
        <v>31</v>
      </c>
      <c r="DO13" s="49">
        <f t="shared" ca="1" si="19"/>
        <v>8</v>
      </c>
      <c r="DP13" s="49">
        <f t="shared" ca="1" si="19"/>
        <v>3</v>
      </c>
      <c r="DQ13" s="49">
        <f t="shared" ca="1" si="19"/>
        <v>36</v>
      </c>
      <c r="DR13" s="49">
        <f t="shared" ca="1" si="19"/>
        <v>18</v>
      </c>
      <c r="DS13" s="49">
        <f t="shared" ca="1" si="19"/>
        <v>39</v>
      </c>
      <c r="DT13" s="49">
        <f t="shared" ca="1" si="19"/>
        <v>2</v>
      </c>
      <c r="DU13" s="49">
        <f t="shared" ca="1" si="19"/>
        <v>20</v>
      </c>
      <c r="DV13" s="49">
        <f t="shared" ca="1" si="19"/>
        <v>5</v>
      </c>
      <c r="DW13" s="49">
        <f t="shared" ca="1" si="19"/>
        <v>28</v>
      </c>
      <c r="DX13" s="49">
        <f t="shared" ca="1" si="19"/>
        <v>4</v>
      </c>
      <c r="DY13" s="49">
        <f t="shared" ca="1" si="19"/>
        <v>40</v>
      </c>
      <c r="DZ13" s="49">
        <f t="shared" ca="1" si="19"/>
        <v>33</v>
      </c>
      <c r="EA13" s="49">
        <f t="shared" ca="1" si="19"/>
        <v>25</v>
      </c>
      <c r="EB13" s="49">
        <f t="shared" ca="1" si="19"/>
        <v>25</v>
      </c>
      <c r="EC13" s="49">
        <f t="shared" ca="1" si="20"/>
        <v>22</v>
      </c>
      <c r="ED13" s="49">
        <f t="shared" ca="1" si="20"/>
        <v>36</v>
      </c>
      <c r="EE13" s="49">
        <f t="shared" ca="1" si="20"/>
        <v>35</v>
      </c>
    </row>
    <row r="14" spans="1:138" x14ac:dyDescent="0.4">
      <c r="A14" s="29" t="str">
        <f t="shared" si="7"/>
        <v>KPI ID 7</v>
      </c>
      <c r="B14" s="47" t="s">
        <v>56</v>
      </c>
      <c r="C14" s="48" t="s">
        <v>22</v>
      </c>
      <c r="D14" s="49">
        <f ca="1">RANDBETWEEN(1, 40)</f>
        <v>22</v>
      </c>
      <c r="E14" s="49">
        <f t="shared" ca="1" si="18"/>
        <v>34</v>
      </c>
      <c r="F14" s="49">
        <f t="shared" ca="1" si="18"/>
        <v>21</v>
      </c>
      <c r="G14" s="49">
        <f t="shared" ca="1" si="18"/>
        <v>11</v>
      </c>
      <c r="H14" s="49">
        <f t="shared" ca="1" si="18"/>
        <v>16</v>
      </c>
      <c r="I14" s="49">
        <f t="shared" ca="1" si="18"/>
        <v>3</v>
      </c>
      <c r="J14" s="49">
        <f t="shared" ca="1" si="18"/>
        <v>13</v>
      </c>
      <c r="K14" s="49">
        <f t="shared" ca="1" si="18"/>
        <v>19</v>
      </c>
      <c r="L14" s="49">
        <f t="shared" ca="1" si="18"/>
        <v>11</v>
      </c>
      <c r="M14" s="49">
        <f t="shared" ca="1" si="18"/>
        <v>25</v>
      </c>
      <c r="N14" s="49">
        <f t="shared" ca="1" si="18"/>
        <v>5</v>
      </c>
      <c r="O14" s="49">
        <f t="shared" ca="1" si="18"/>
        <v>37</v>
      </c>
      <c r="P14" s="49">
        <f t="shared" ca="1" si="18"/>
        <v>15</v>
      </c>
      <c r="Q14" s="49">
        <f t="shared" ca="1" si="18"/>
        <v>4</v>
      </c>
      <c r="R14" s="49">
        <f t="shared" ca="1" si="18"/>
        <v>27</v>
      </c>
      <c r="S14" s="49">
        <f t="shared" ca="1" si="18"/>
        <v>6</v>
      </c>
      <c r="T14" s="49">
        <f t="shared" ca="1" si="18"/>
        <v>29</v>
      </c>
      <c r="U14" s="49">
        <f t="shared" ca="1" si="18"/>
        <v>29</v>
      </c>
      <c r="V14" s="49">
        <f t="shared" ca="1" si="18"/>
        <v>1</v>
      </c>
      <c r="W14" s="49">
        <f t="shared" ca="1" si="18"/>
        <v>7</v>
      </c>
      <c r="X14" s="49">
        <f t="shared" ca="1" si="18"/>
        <v>20</v>
      </c>
      <c r="Y14" s="49">
        <f t="shared" ca="1" si="18"/>
        <v>3</v>
      </c>
      <c r="Z14" s="49">
        <f t="shared" ca="1" si="18"/>
        <v>21</v>
      </c>
      <c r="AA14" s="49">
        <f t="shared" ca="1" si="18"/>
        <v>27</v>
      </c>
      <c r="AB14" s="49">
        <f t="shared" ca="1" si="18"/>
        <v>11</v>
      </c>
      <c r="AC14" s="49">
        <f t="shared" ca="1" si="18"/>
        <v>19</v>
      </c>
      <c r="AD14" s="49">
        <f t="shared" ca="1" si="18"/>
        <v>19</v>
      </c>
      <c r="AE14" s="49">
        <f t="shared" ca="1" si="18"/>
        <v>27</v>
      </c>
      <c r="AF14" s="49">
        <f t="shared" ca="1" si="18"/>
        <v>12</v>
      </c>
      <c r="AG14" s="49">
        <f t="shared" ca="1" si="18"/>
        <v>31</v>
      </c>
      <c r="AH14" s="49">
        <f t="shared" ca="1" si="18"/>
        <v>27</v>
      </c>
      <c r="AI14" s="49">
        <f t="shared" ca="1" si="18"/>
        <v>12</v>
      </c>
      <c r="AJ14" s="49">
        <f t="shared" ca="1" si="18"/>
        <v>16</v>
      </c>
      <c r="AK14" s="49">
        <f t="shared" ca="1" si="18"/>
        <v>18</v>
      </c>
      <c r="AL14" s="49">
        <f t="shared" ca="1" si="18"/>
        <v>6</v>
      </c>
      <c r="AM14" s="49">
        <f t="shared" ca="1" si="18"/>
        <v>13</v>
      </c>
      <c r="AN14" s="49">
        <f t="shared" ca="1" si="18"/>
        <v>9</v>
      </c>
      <c r="AO14" s="49">
        <f t="shared" ca="1" si="18"/>
        <v>1</v>
      </c>
      <c r="AP14" s="49">
        <f t="shared" ca="1" si="18"/>
        <v>17</v>
      </c>
      <c r="AQ14" s="49">
        <f t="shared" ca="1" si="18"/>
        <v>26</v>
      </c>
      <c r="AR14" s="49">
        <f t="shared" ca="1" si="18"/>
        <v>19</v>
      </c>
      <c r="AS14" s="49">
        <f t="shared" ca="1" si="18"/>
        <v>16</v>
      </c>
      <c r="AT14" s="49">
        <f t="shared" ca="1" si="18"/>
        <v>21</v>
      </c>
      <c r="AU14" s="49">
        <f t="shared" ca="1" si="18"/>
        <v>10</v>
      </c>
      <c r="AV14" s="49">
        <f t="shared" ca="1" si="18"/>
        <v>34</v>
      </c>
      <c r="AW14" s="49">
        <f t="shared" ca="1" si="18"/>
        <v>31</v>
      </c>
      <c r="AX14" s="49">
        <f t="shared" ca="1" si="18"/>
        <v>21</v>
      </c>
      <c r="AY14" s="49">
        <f t="shared" ca="1" si="18"/>
        <v>1</v>
      </c>
      <c r="AZ14" s="49">
        <f t="shared" ca="1" si="18"/>
        <v>35</v>
      </c>
      <c r="BA14" s="49">
        <f t="shared" ca="1" si="18"/>
        <v>8</v>
      </c>
      <c r="BB14" s="49">
        <f t="shared" ca="1" si="18"/>
        <v>10</v>
      </c>
      <c r="BC14" s="49">
        <f t="shared" ca="1" si="18"/>
        <v>11</v>
      </c>
      <c r="BD14" s="49">
        <f t="shared" ca="1" si="18"/>
        <v>25</v>
      </c>
      <c r="BE14" s="49">
        <f t="shared" ca="1" si="18"/>
        <v>12</v>
      </c>
      <c r="BF14" s="49">
        <f t="shared" ca="1" si="18"/>
        <v>1</v>
      </c>
      <c r="BG14" s="49">
        <f t="shared" ca="1" si="18"/>
        <v>35</v>
      </c>
      <c r="BH14" s="49">
        <f t="shared" ca="1" si="18"/>
        <v>38</v>
      </c>
      <c r="BI14" s="49">
        <f t="shared" ca="1" si="18"/>
        <v>34</v>
      </c>
      <c r="BJ14" s="49">
        <f t="shared" ca="1" si="18"/>
        <v>37</v>
      </c>
      <c r="BK14" s="49">
        <f t="shared" ca="1" si="18"/>
        <v>37</v>
      </c>
      <c r="BL14" s="49">
        <f t="shared" ca="1" si="18"/>
        <v>27</v>
      </c>
      <c r="BM14" s="49">
        <f t="shared" ca="1" si="18"/>
        <v>25</v>
      </c>
      <c r="BN14" s="49">
        <f t="shared" ca="1" si="18"/>
        <v>24</v>
      </c>
      <c r="BO14" s="49">
        <f t="shared" ca="1" si="18"/>
        <v>39</v>
      </c>
      <c r="BP14" s="49">
        <f t="shared" ca="1" si="18"/>
        <v>9</v>
      </c>
      <c r="BQ14" s="49">
        <f t="shared" ca="1" si="19"/>
        <v>16</v>
      </c>
      <c r="BR14" s="49">
        <f t="shared" ca="1" si="19"/>
        <v>23</v>
      </c>
      <c r="BS14" s="49">
        <f t="shared" ca="1" si="19"/>
        <v>29</v>
      </c>
      <c r="BT14" s="49">
        <f t="shared" ca="1" si="19"/>
        <v>28</v>
      </c>
      <c r="BU14" s="49">
        <f t="shared" ca="1" si="19"/>
        <v>27</v>
      </c>
      <c r="BV14" s="49">
        <f t="shared" ca="1" si="19"/>
        <v>14</v>
      </c>
      <c r="BW14" s="49">
        <f t="shared" ca="1" si="19"/>
        <v>40</v>
      </c>
      <c r="BX14" s="49">
        <f t="shared" ca="1" si="19"/>
        <v>35</v>
      </c>
      <c r="BY14" s="49">
        <f t="shared" ca="1" si="19"/>
        <v>35</v>
      </c>
      <c r="BZ14" s="49">
        <f t="shared" ca="1" si="19"/>
        <v>25</v>
      </c>
      <c r="CA14" s="49">
        <f t="shared" ca="1" si="19"/>
        <v>34</v>
      </c>
      <c r="CB14" s="49">
        <f t="shared" ca="1" si="19"/>
        <v>6</v>
      </c>
      <c r="CC14" s="49">
        <f t="shared" ca="1" si="19"/>
        <v>2</v>
      </c>
      <c r="CD14" s="49">
        <f t="shared" ca="1" si="19"/>
        <v>23</v>
      </c>
      <c r="CE14" s="49">
        <f t="shared" ca="1" si="19"/>
        <v>22</v>
      </c>
      <c r="CF14" s="49">
        <f t="shared" ca="1" si="19"/>
        <v>18</v>
      </c>
      <c r="CG14" s="49">
        <f t="shared" ca="1" si="19"/>
        <v>22</v>
      </c>
      <c r="CH14" s="49">
        <f t="shared" ca="1" si="19"/>
        <v>21</v>
      </c>
      <c r="CI14" s="49">
        <f t="shared" ca="1" si="19"/>
        <v>39</v>
      </c>
      <c r="CJ14" s="49">
        <f t="shared" ca="1" si="19"/>
        <v>21</v>
      </c>
      <c r="CK14" s="49">
        <f t="shared" ca="1" si="19"/>
        <v>36</v>
      </c>
      <c r="CL14" s="49">
        <f t="shared" ca="1" si="19"/>
        <v>39</v>
      </c>
      <c r="CM14" s="49">
        <f t="shared" ca="1" si="19"/>
        <v>29</v>
      </c>
      <c r="CN14" s="49">
        <f t="shared" ca="1" si="19"/>
        <v>29</v>
      </c>
      <c r="CO14" s="49">
        <f t="shared" ca="1" si="19"/>
        <v>27</v>
      </c>
      <c r="CP14" s="49">
        <f t="shared" ca="1" si="19"/>
        <v>34</v>
      </c>
      <c r="CQ14" s="49">
        <f t="shared" ca="1" si="19"/>
        <v>15</v>
      </c>
      <c r="CR14" s="49">
        <f t="shared" ca="1" si="19"/>
        <v>29</v>
      </c>
      <c r="CS14" s="49">
        <f t="shared" ca="1" si="19"/>
        <v>11</v>
      </c>
      <c r="CT14" s="49">
        <f t="shared" ca="1" si="19"/>
        <v>1</v>
      </c>
      <c r="CU14" s="49">
        <f t="shared" ca="1" si="19"/>
        <v>39</v>
      </c>
      <c r="CV14" s="49">
        <f t="shared" ca="1" si="19"/>
        <v>8</v>
      </c>
      <c r="CW14" s="49">
        <f t="shared" ca="1" si="19"/>
        <v>37</v>
      </c>
      <c r="CX14" s="49">
        <f t="shared" ca="1" si="19"/>
        <v>15</v>
      </c>
      <c r="CY14" s="49">
        <f t="shared" ca="1" si="19"/>
        <v>14</v>
      </c>
      <c r="CZ14" s="49">
        <f t="shared" ca="1" si="19"/>
        <v>8</v>
      </c>
      <c r="DA14" s="49">
        <f t="shared" ca="1" si="19"/>
        <v>33</v>
      </c>
      <c r="DB14" s="49">
        <f t="shared" ca="1" si="19"/>
        <v>34</v>
      </c>
      <c r="DC14" s="49">
        <f t="shared" ca="1" si="19"/>
        <v>18</v>
      </c>
      <c r="DD14" s="49">
        <f t="shared" ca="1" si="19"/>
        <v>5</v>
      </c>
      <c r="DE14" s="49">
        <f t="shared" ca="1" si="19"/>
        <v>14</v>
      </c>
      <c r="DF14" s="49">
        <f t="shared" ca="1" si="19"/>
        <v>10</v>
      </c>
      <c r="DG14" s="49">
        <f t="shared" ca="1" si="19"/>
        <v>18</v>
      </c>
      <c r="DH14" s="49">
        <f t="shared" ca="1" si="19"/>
        <v>16</v>
      </c>
      <c r="DI14" s="49">
        <f t="shared" ca="1" si="19"/>
        <v>18</v>
      </c>
      <c r="DJ14" s="49">
        <f t="shared" ca="1" si="19"/>
        <v>30</v>
      </c>
      <c r="DK14" s="49">
        <f t="shared" ca="1" si="19"/>
        <v>3</v>
      </c>
      <c r="DL14" s="49">
        <f t="shared" ca="1" si="19"/>
        <v>19</v>
      </c>
      <c r="DM14" s="49">
        <f t="shared" ca="1" si="19"/>
        <v>13</v>
      </c>
      <c r="DN14" s="49">
        <f t="shared" ca="1" si="19"/>
        <v>16</v>
      </c>
      <c r="DO14" s="49">
        <f t="shared" ca="1" si="19"/>
        <v>14</v>
      </c>
      <c r="DP14" s="49">
        <f t="shared" ca="1" si="19"/>
        <v>10</v>
      </c>
      <c r="DQ14" s="49">
        <f t="shared" ca="1" si="19"/>
        <v>12</v>
      </c>
      <c r="DR14" s="49">
        <f t="shared" ca="1" si="19"/>
        <v>22</v>
      </c>
      <c r="DS14" s="49">
        <f t="shared" ca="1" si="19"/>
        <v>9</v>
      </c>
      <c r="DT14" s="49">
        <f t="shared" ca="1" si="19"/>
        <v>29</v>
      </c>
      <c r="DU14" s="49">
        <f t="shared" ca="1" si="19"/>
        <v>17</v>
      </c>
      <c r="DV14" s="49">
        <f t="shared" ca="1" si="19"/>
        <v>24</v>
      </c>
      <c r="DW14" s="49">
        <f t="shared" ca="1" si="19"/>
        <v>27</v>
      </c>
      <c r="DX14" s="49">
        <f t="shared" ca="1" si="19"/>
        <v>14</v>
      </c>
      <c r="DY14" s="49">
        <f t="shared" ca="1" si="19"/>
        <v>5</v>
      </c>
      <c r="DZ14" s="49">
        <f t="shared" ca="1" si="19"/>
        <v>39</v>
      </c>
      <c r="EA14" s="49">
        <f t="shared" ca="1" si="19"/>
        <v>40</v>
      </c>
      <c r="EB14" s="49">
        <f t="shared" ca="1" si="19"/>
        <v>14</v>
      </c>
      <c r="EC14" s="49">
        <f t="shared" ca="1" si="20"/>
        <v>13</v>
      </c>
      <c r="ED14" s="49">
        <f t="shared" ca="1" si="20"/>
        <v>22</v>
      </c>
      <c r="EE14" s="49">
        <f t="shared" ca="1" si="20"/>
        <v>28</v>
      </c>
    </row>
    <row r="15" spans="1:138" x14ac:dyDescent="0.4">
      <c r="A15" s="29" t="str">
        <f t="shared" si="7"/>
        <v>KPI ID 8 %</v>
      </c>
      <c r="B15" s="47" t="s">
        <v>57</v>
      </c>
      <c r="C15" s="48" t="s">
        <v>23</v>
      </c>
      <c r="D15" s="49">
        <f t="shared" ref="D15:M16" ca="1" si="21">RAND()</f>
        <v>0.69189571914045078</v>
      </c>
      <c r="E15" s="49">
        <f t="shared" ca="1" si="21"/>
        <v>0.40324654522650505</v>
      </c>
      <c r="F15" s="49">
        <f t="shared" ca="1" si="21"/>
        <v>0.79165634850302091</v>
      </c>
      <c r="G15" s="49">
        <f t="shared" ca="1" si="21"/>
        <v>0.32334430509854462</v>
      </c>
      <c r="H15" s="49">
        <f t="shared" ca="1" si="21"/>
        <v>0.13879109035505077</v>
      </c>
      <c r="I15" s="49">
        <f t="shared" ca="1" si="21"/>
        <v>0.86962383323185044</v>
      </c>
      <c r="J15" s="49">
        <f t="shared" ca="1" si="21"/>
        <v>0.44511728768075476</v>
      </c>
      <c r="K15" s="49">
        <f t="shared" ca="1" si="21"/>
        <v>0.51455891587992075</v>
      </c>
      <c r="L15" s="49">
        <f t="shared" ca="1" si="21"/>
        <v>0.91812585773686928</v>
      </c>
      <c r="M15" s="49">
        <f t="shared" ca="1" si="21"/>
        <v>0.63052669839158715</v>
      </c>
      <c r="N15" s="49">
        <f t="shared" ref="N15:W16" ca="1" si="22">RAND()</f>
        <v>0.19750887057360256</v>
      </c>
      <c r="O15" s="49">
        <f t="shared" ca="1" si="22"/>
        <v>0.923697669363715</v>
      </c>
      <c r="P15" s="49">
        <f t="shared" ca="1" si="22"/>
        <v>0.46652777294674763</v>
      </c>
      <c r="Q15" s="49">
        <f t="shared" ca="1" si="22"/>
        <v>0.93863068617095058</v>
      </c>
      <c r="R15" s="49">
        <f t="shared" ca="1" si="22"/>
        <v>0.38267367408936837</v>
      </c>
      <c r="S15" s="49">
        <f t="shared" ca="1" si="22"/>
        <v>2.0708740093842049E-2</v>
      </c>
      <c r="T15" s="49">
        <f t="shared" ca="1" si="22"/>
        <v>0.86533703070158263</v>
      </c>
      <c r="U15" s="49">
        <f t="shared" ca="1" si="22"/>
        <v>0.81059568854222341</v>
      </c>
      <c r="V15" s="49">
        <f t="shared" ca="1" si="22"/>
        <v>0.92958903439521989</v>
      </c>
      <c r="W15" s="49">
        <f t="shared" ca="1" si="22"/>
        <v>0.28074502662025347</v>
      </c>
      <c r="X15" s="49">
        <f t="shared" ref="X15:AG16" ca="1" si="23">RAND()</f>
        <v>0.89025097065476266</v>
      </c>
      <c r="Y15" s="49">
        <f t="shared" ca="1" si="23"/>
        <v>0.98481166502939743</v>
      </c>
      <c r="Z15" s="49">
        <f t="shared" ca="1" si="23"/>
        <v>0.17397541035957531</v>
      </c>
      <c r="AA15" s="49">
        <f t="shared" ca="1" si="23"/>
        <v>0.3775179173289821</v>
      </c>
      <c r="AB15" s="49">
        <f t="shared" ca="1" si="23"/>
        <v>0.34554658221158996</v>
      </c>
      <c r="AC15" s="49">
        <f t="shared" ca="1" si="23"/>
        <v>0.41063046951050586</v>
      </c>
      <c r="AD15" s="49">
        <f t="shared" ca="1" si="23"/>
        <v>0.24499165706634385</v>
      </c>
      <c r="AE15" s="49">
        <f t="shared" ca="1" si="23"/>
        <v>0.26493222721765186</v>
      </c>
      <c r="AF15" s="49">
        <f t="shared" ca="1" si="23"/>
        <v>0.1024435287986285</v>
      </c>
      <c r="AG15" s="49">
        <f t="shared" ca="1" si="23"/>
        <v>0.61909752185112277</v>
      </c>
      <c r="AH15" s="49">
        <f t="shared" ref="AH15:AQ16" ca="1" si="24">RAND()</f>
        <v>0.82524672353473416</v>
      </c>
      <c r="AI15" s="49">
        <f t="shared" ca="1" si="24"/>
        <v>0.88643297143354205</v>
      </c>
      <c r="AJ15" s="49">
        <f t="shared" ca="1" si="24"/>
        <v>0.69199975164755734</v>
      </c>
      <c r="AK15" s="49">
        <f t="shared" ca="1" si="24"/>
        <v>0.91618413065091076</v>
      </c>
      <c r="AL15" s="49">
        <f t="shared" ca="1" si="24"/>
        <v>7.7161226702485264E-2</v>
      </c>
      <c r="AM15" s="49">
        <f t="shared" ca="1" si="24"/>
        <v>0.78599305036291045</v>
      </c>
      <c r="AN15" s="49">
        <f t="shared" ca="1" si="24"/>
        <v>0.81805163238262968</v>
      </c>
      <c r="AO15" s="49">
        <f t="shared" ca="1" si="24"/>
        <v>0.59535195163976407</v>
      </c>
      <c r="AP15" s="49">
        <f t="shared" ca="1" si="24"/>
        <v>0.83988916017129933</v>
      </c>
      <c r="AQ15" s="49">
        <f t="shared" ca="1" si="24"/>
        <v>0.21205730651650623</v>
      </c>
      <c r="AR15" s="49">
        <f t="shared" ref="AR15:BA16" ca="1" si="25">RAND()</f>
        <v>0.80288014522364659</v>
      </c>
      <c r="AS15" s="49">
        <f t="shared" ca="1" si="25"/>
        <v>0.52125742848056233</v>
      </c>
      <c r="AT15" s="49">
        <f t="shared" ca="1" si="25"/>
        <v>0.5963425095976167</v>
      </c>
      <c r="AU15" s="49">
        <f t="shared" ca="1" si="25"/>
        <v>0.31053203298013743</v>
      </c>
      <c r="AV15" s="49">
        <f t="shared" ca="1" si="25"/>
        <v>0.82966468928679493</v>
      </c>
      <c r="AW15" s="49">
        <f t="shared" ca="1" si="25"/>
        <v>0.86329226567287132</v>
      </c>
      <c r="AX15" s="49">
        <f t="shared" ca="1" si="25"/>
        <v>0.55952612247996825</v>
      </c>
      <c r="AY15" s="49">
        <f t="shared" ca="1" si="25"/>
        <v>0.40123403102730548</v>
      </c>
      <c r="AZ15" s="49">
        <f t="shared" ca="1" si="25"/>
        <v>0.50033642616704022</v>
      </c>
      <c r="BA15" s="49">
        <f t="shared" ca="1" si="25"/>
        <v>0.26627218275757603</v>
      </c>
      <c r="BB15" s="49">
        <f t="shared" ref="BB15:BK16" ca="1" si="26">RAND()</f>
        <v>0.27653855359325308</v>
      </c>
      <c r="BC15" s="49">
        <f t="shared" ca="1" si="26"/>
        <v>0.82832655904376606</v>
      </c>
      <c r="BD15" s="49">
        <f t="shared" ca="1" si="26"/>
        <v>0.31641198139550009</v>
      </c>
      <c r="BE15" s="49">
        <f t="shared" ca="1" si="26"/>
        <v>0.24418863762159537</v>
      </c>
      <c r="BF15" s="49">
        <f t="shared" ca="1" si="26"/>
        <v>0.4048810385849152</v>
      </c>
      <c r="BG15" s="49">
        <f t="shared" ca="1" si="26"/>
        <v>0.13060967504553389</v>
      </c>
      <c r="BH15" s="49">
        <f t="shared" ca="1" si="26"/>
        <v>0.98525400570509203</v>
      </c>
      <c r="BI15" s="49">
        <f t="shared" ca="1" si="26"/>
        <v>0.72836436042956332</v>
      </c>
      <c r="BJ15" s="49">
        <f t="shared" ca="1" si="26"/>
        <v>0.47811929334423708</v>
      </c>
      <c r="BK15" s="49">
        <f t="shared" ca="1" si="26"/>
        <v>0.4267910433975467</v>
      </c>
      <c r="BL15" s="49">
        <f t="shared" ref="BL15:BU16" ca="1" si="27">RAND()</f>
        <v>0.49346064341132712</v>
      </c>
      <c r="BM15" s="49">
        <f t="shared" ca="1" si="27"/>
        <v>0.43631439071221645</v>
      </c>
      <c r="BN15" s="49">
        <f t="shared" ca="1" si="27"/>
        <v>0.41844367874715249</v>
      </c>
      <c r="BO15" s="49">
        <f t="shared" ca="1" si="27"/>
        <v>0.80229359218696461</v>
      </c>
      <c r="BP15" s="49">
        <f t="shared" ca="1" si="27"/>
        <v>0.37401569389404643</v>
      </c>
      <c r="BQ15" s="49">
        <f t="shared" ca="1" si="27"/>
        <v>0.37562875946153473</v>
      </c>
      <c r="BR15" s="49">
        <f t="shared" ca="1" si="27"/>
        <v>0.9380924654648426</v>
      </c>
      <c r="BS15" s="49">
        <f t="shared" ca="1" si="27"/>
        <v>0.51077006615265153</v>
      </c>
      <c r="BT15" s="49">
        <f t="shared" ca="1" si="27"/>
        <v>0.56325375215495321</v>
      </c>
      <c r="BU15" s="49">
        <f t="shared" ca="1" si="27"/>
        <v>0.6541835203724784</v>
      </c>
      <c r="BV15" s="49">
        <f t="shared" ref="BV15:CE16" ca="1" si="28">RAND()</f>
        <v>0.88361036449610697</v>
      </c>
      <c r="BW15" s="49">
        <f t="shared" ca="1" si="28"/>
        <v>0.51138075063493604</v>
      </c>
      <c r="BX15" s="49">
        <f t="shared" ca="1" si="28"/>
        <v>7.6496958414113525E-2</v>
      </c>
      <c r="BY15" s="49">
        <f t="shared" ca="1" si="28"/>
        <v>0.85374902467462965</v>
      </c>
      <c r="BZ15" s="49">
        <f t="shared" ca="1" si="28"/>
        <v>0.69765722980368894</v>
      </c>
      <c r="CA15" s="49">
        <f t="shared" ca="1" si="28"/>
        <v>0.80099115869312765</v>
      </c>
      <c r="CB15" s="49">
        <f t="shared" ca="1" si="28"/>
        <v>0.45130236644842303</v>
      </c>
      <c r="CC15" s="49">
        <f t="shared" ca="1" si="28"/>
        <v>0.83955921721220383</v>
      </c>
      <c r="CD15" s="49">
        <f t="shared" ca="1" si="28"/>
        <v>0.88356838123829828</v>
      </c>
      <c r="CE15" s="49">
        <f t="shared" ca="1" si="28"/>
        <v>0.28289238450879584</v>
      </c>
      <c r="CF15" s="49">
        <f t="shared" ref="CF15:CO16" ca="1" si="29">RAND()</f>
        <v>0.95294835921753152</v>
      </c>
      <c r="CG15" s="49">
        <f t="shared" ca="1" si="29"/>
        <v>0.65218123481382639</v>
      </c>
      <c r="CH15" s="49">
        <f t="shared" ca="1" si="29"/>
        <v>0.28337775422444211</v>
      </c>
      <c r="CI15" s="49">
        <f t="shared" ca="1" si="29"/>
        <v>0.16822818902266468</v>
      </c>
      <c r="CJ15" s="49">
        <f t="shared" ca="1" si="29"/>
        <v>0.78796552797669894</v>
      </c>
      <c r="CK15" s="49">
        <f t="shared" ca="1" si="29"/>
        <v>0.88496824146216502</v>
      </c>
      <c r="CL15" s="49">
        <f t="shared" ca="1" si="29"/>
        <v>0.10764677750300733</v>
      </c>
      <c r="CM15" s="49">
        <f t="shared" ca="1" si="29"/>
        <v>0.15692766670082459</v>
      </c>
      <c r="CN15" s="49">
        <f t="shared" ca="1" si="29"/>
        <v>0.70279576612047978</v>
      </c>
      <c r="CO15" s="49">
        <f t="shared" ca="1" si="29"/>
        <v>0.62330017680198946</v>
      </c>
      <c r="CP15" s="49">
        <f t="shared" ref="CP15:CY16" ca="1" si="30">RAND()</f>
        <v>0.95572557561961802</v>
      </c>
      <c r="CQ15" s="49">
        <f t="shared" ca="1" si="30"/>
        <v>0.63600507238314008</v>
      </c>
      <c r="CR15" s="49">
        <f t="shared" ca="1" si="30"/>
        <v>0.71826747416583892</v>
      </c>
      <c r="CS15" s="49">
        <f t="shared" ca="1" si="30"/>
        <v>0.91222654125383384</v>
      </c>
      <c r="CT15" s="49">
        <f t="shared" ca="1" si="30"/>
        <v>0.44608334673367922</v>
      </c>
      <c r="CU15" s="49">
        <f t="shared" ca="1" si="30"/>
        <v>0.27203285471281047</v>
      </c>
      <c r="CV15" s="49">
        <f t="shared" ca="1" si="30"/>
        <v>0.16153645273223638</v>
      </c>
      <c r="CW15" s="49">
        <f t="shared" ca="1" si="30"/>
        <v>0.39359424706560586</v>
      </c>
      <c r="CX15" s="49">
        <f t="shared" ca="1" si="30"/>
        <v>0.26198938772154856</v>
      </c>
      <c r="CY15" s="49">
        <f t="shared" ca="1" si="30"/>
        <v>9.5158552201871971E-2</v>
      </c>
      <c r="CZ15" s="49">
        <f t="shared" ref="CZ15:DI16" ca="1" si="31">RAND()</f>
        <v>0.90830630036160664</v>
      </c>
      <c r="DA15" s="49">
        <f t="shared" ca="1" si="31"/>
        <v>0.25478395283835131</v>
      </c>
      <c r="DB15" s="49">
        <f t="shared" ca="1" si="31"/>
        <v>0.48871059519344906</v>
      </c>
      <c r="DC15" s="49">
        <f t="shared" ca="1" si="31"/>
        <v>0.48074603786789505</v>
      </c>
      <c r="DD15" s="49">
        <f t="shared" ca="1" si="31"/>
        <v>2.5992115564331342E-2</v>
      </c>
      <c r="DE15" s="49">
        <f t="shared" ca="1" si="31"/>
        <v>0.45140275911186656</v>
      </c>
      <c r="DF15" s="49">
        <f t="shared" ca="1" si="31"/>
        <v>0.75256990262258294</v>
      </c>
      <c r="DG15" s="49">
        <f t="shared" ca="1" si="31"/>
        <v>0.89888549781660321</v>
      </c>
      <c r="DH15" s="49">
        <f t="shared" ca="1" si="31"/>
        <v>9.3415880720617905E-2</v>
      </c>
      <c r="DI15" s="49">
        <f t="shared" ca="1" si="31"/>
        <v>0.28906319604059993</v>
      </c>
      <c r="DJ15" s="49">
        <f t="shared" ref="DJ15:DS16" ca="1" si="32">RAND()</f>
        <v>0.60547993828624436</v>
      </c>
      <c r="DK15" s="49">
        <f t="shared" ca="1" si="32"/>
        <v>0.69581616538187707</v>
      </c>
      <c r="DL15" s="49">
        <f t="shared" ca="1" si="32"/>
        <v>0.5458286772991654</v>
      </c>
      <c r="DM15" s="49">
        <f t="shared" ca="1" si="32"/>
        <v>0.89190139485321007</v>
      </c>
      <c r="DN15" s="49">
        <f t="shared" ca="1" si="32"/>
        <v>1.5744521755386987E-2</v>
      </c>
      <c r="DO15" s="49">
        <f t="shared" ca="1" si="32"/>
        <v>0.57260568003802392</v>
      </c>
      <c r="DP15" s="49">
        <f t="shared" ca="1" si="32"/>
        <v>0.78570929346110141</v>
      </c>
      <c r="DQ15" s="49">
        <f t="shared" ca="1" si="32"/>
        <v>0.16531881792724523</v>
      </c>
      <c r="DR15" s="49">
        <f t="shared" ca="1" si="32"/>
        <v>0.96119081184271538</v>
      </c>
      <c r="DS15" s="49">
        <f t="shared" ca="1" si="32"/>
        <v>0.89545645498719961</v>
      </c>
      <c r="DT15" s="49">
        <f t="shared" ref="DT15:EE16" ca="1" si="33">RAND()</f>
        <v>0.1110157546748014</v>
      </c>
      <c r="DU15" s="49">
        <f t="shared" ca="1" si="33"/>
        <v>0.89618468954513153</v>
      </c>
      <c r="DV15" s="49">
        <f t="shared" ca="1" si="33"/>
        <v>0.16234541260730095</v>
      </c>
      <c r="DW15" s="49">
        <f t="shared" ca="1" si="33"/>
        <v>0.87983607023401633</v>
      </c>
      <c r="DX15" s="49">
        <f t="shared" ca="1" si="33"/>
        <v>2.2047371884202915E-2</v>
      </c>
      <c r="DY15" s="49">
        <f t="shared" ca="1" si="33"/>
        <v>0.33263183118758799</v>
      </c>
      <c r="DZ15" s="49">
        <f t="shared" ca="1" si="33"/>
        <v>1.2439203083441708E-2</v>
      </c>
      <c r="EA15" s="49">
        <f t="shared" ca="1" si="33"/>
        <v>0.99229300976745816</v>
      </c>
      <c r="EB15" s="49">
        <f t="shared" ca="1" si="33"/>
        <v>0.72444292446936143</v>
      </c>
      <c r="EC15" s="49">
        <f t="shared" ca="1" si="33"/>
        <v>0.46930565052289752</v>
      </c>
      <c r="ED15" s="49">
        <f t="shared" ca="1" si="33"/>
        <v>0.86030853299481314</v>
      </c>
      <c r="EE15" s="49">
        <f t="shared" ca="1" si="33"/>
        <v>0.66585093713576093</v>
      </c>
    </row>
    <row r="16" spans="1:138" ht="29.15" x14ac:dyDescent="0.4">
      <c r="A16" s="29" t="str">
        <f t="shared" si="7"/>
        <v>KPI ID 9 %</v>
      </c>
      <c r="B16" s="47" t="s">
        <v>58</v>
      </c>
      <c r="C16" s="48" t="s">
        <v>24</v>
      </c>
      <c r="D16" s="49">
        <f t="shared" ca="1" si="21"/>
        <v>0.28178335871214832</v>
      </c>
      <c r="E16" s="49">
        <f t="shared" ca="1" si="21"/>
        <v>0.65807858553522636</v>
      </c>
      <c r="F16" s="49">
        <f t="shared" ca="1" si="21"/>
        <v>0.52603365351439257</v>
      </c>
      <c r="G16" s="49">
        <f t="shared" ca="1" si="21"/>
        <v>0.17588489199492563</v>
      </c>
      <c r="H16" s="49">
        <f t="shared" ca="1" si="21"/>
        <v>0.44435712375845215</v>
      </c>
      <c r="I16" s="49">
        <f t="shared" ca="1" si="21"/>
        <v>0.38853153781873495</v>
      </c>
      <c r="J16" s="49">
        <f t="shared" ca="1" si="21"/>
        <v>0.81296949969096577</v>
      </c>
      <c r="K16" s="49">
        <f t="shared" ca="1" si="21"/>
        <v>0.75846650081410605</v>
      </c>
      <c r="L16" s="49">
        <f t="shared" ca="1" si="21"/>
        <v>0.32975801975949093</v>
      </c>
      <c r="M16" s="49">
        <f t="shared" ca="1" si="21"/>
        <v>0.44212733688323469</v>
      </c>
      <c r="N16" s="49">
        <f t="shared" ca="1" si="22"/>
        <v>0.1824229872255817</v>
      </c>
      <c r="O16" s="49">
        <f t="shared" ca="1" si="22"/>
        <v>5.5369925775260787E-2</v>
      </c>
      <c r="P16" s="49">
        <f t="shared" ca="1" si="22"/>
        <v>0.96650749858340423</v>
      </c>
      <c r="Q16" s="49">
        <f t="shared" ca="1" si="22"/>
        <v>0.43916258056901347</v>
      </c>
      <c r="R16" s="49">
        <f t="shared" ca="1" si="22"/>
        <v>0.92433431725936399</v>
      </c>
      <c r="S16" s="49">
        <f t="shared" ca="1" si="22"/>
        <v>0.92482361730853935</v>
      </c>
      <c r="T16" s="49">
        <f t="shared" ca="1" si="22"/>
        <v>6.0368557106460385E-2</v>
      </c>
      <c r="U16" s="49">
        <f t="shared" ca="1" si="22"/>
        <v>0.66959441527992047</v>
      </c>
      <c r="V16" s="49">
        <f t="shared" ca="1" si="22"/>
        <v>0.67535412716021326</v>
      </c>
      <c r="W16" s="49">
        <f t="shared" ca="1" si="22"/>
        <v>0.74182402174343998</v>
      </c>
      <c r="X16" s="49">
        <f t="shared" ca="1" si="23"/>
        <v>0.99474397447737795</v>
      </c>
      <c r="Y16" s="49">
        <f t="shared" ca="1" si="23"/>
        <v>0.8735509400428525</v>
      </c>
      <c r="Z16" s="49">
        <f t="shared" ca="1" si="23"/>
        <v>3.7140671565451644E-2</v>
      </c>
      <c r="AA16" s="49">
        <f t="shared" ca="1" si="23"/>
        <v>2.8823874354285905E-2</v>
      </c>
      <c r="AB16" s="49">
        <f t="shared" ca="1" si="23"/>
        <v>0.22991399440388116</v>
      </c>
      <c r="AC16" s="49">
        <f t="shared" ca="1" si="23"/>
        <v>0.70551407279066036</v>
      </c>
      <c r="AD16" s="49">
        <f t="shared" ca="1" si="23"/>
        <v>0.36281953690129143</v>
      </c>
      <c r="AE16" s="49">
        <f t="shared" ca="1" si="23"/>
        <v>3.5855188318577258E-2</v>
      </c>
      <c r="AF16" s="49">
        <f t="shared" ca="1" si="23"/>
        <v>0.11591798242826512</v>
      </c>
      <c r="AG16" s="49">
        <f t="shared" ca="1" si="23"/>
        <v>0.46612450424847107</v>
      </c>
      <c r="AH16" s="49">
        <f t="shared" ca="1" si="24"/>
        <v>0.48113219450688682</v>
      </c>
      <c r="AI16" s="49">
        <f t="shared" ca="1" si="24"/>
        <v>0.52316702004264415</v>
      </c>
      <c r="AJ16" s="49">
        <f t="shared" ca="1" si="24"/>
        <v>0.78473944986793109</v>
      </c>
      <c r="AK16" s="49">
        <f t="shared" ca="1" si="24"/>
        <v>0.26276031123095744</v>
      </c>
      <c r="AL16" s="49">
        <f t="shared" ca="1" si="24"/>
        <v>0.98827641265246502</v>
      </c>
      <c r="AM16" s="49">
        <f t="shared" ca="1" si="24"/>
        <v>0.91374349072428884</v>
      </c>
      <c r="AN16" s="49">
        <f t="shared" ca="1" si="24"/>
        <v>0.93601727655885092</v>
      </c>
      <c r="AO16" s="49">
        <f t="shared" ca="1" si="24"/>
        <v>0.1035122132316928</v>
      </c>
      <c r="AP16" s="49">
        <f t="shared" ca="1" si="24"/>
        <v>0.8840064575469655</v>
      </c>
      <c r="AQ16" s="49">
        <f t="shared" ca="1" si="24"/>
        <v>0.69595124931780139</v>
      </c>
      <c r="AR16" s="49">
        <f t="shared" ca="1" si="25"/>
        <v>0.78062663207531269</v>
      </c>
      <c r="AS16" s="49">
        <f t="shared" ca="1" si="25"/>
        <v>0.6535429818494477</v>
      </c>
      <c r="AT16" s="49">
        <f t="shared" ca="1" si="25"/>
        <v>0.23248626059966437</v>
      </c>
      <c r="AU16" s="49">
        <f t="shared" ca="1" si="25"/>
        <v>0.75690511556194751</v>
      </c>
      <c r="AV16" s="49">
        <f t="shared" ca="1" si="25"/>
        <v>0.86592075428968318</v>
      </c>
      <c r="AW16" s="49">
        <f t="shared" ca="1" si="25"/>
        <v>0.31099247120184748</v>
      </c>
      <c r="AX16" s="49">
        <f t="shared" ca="1" si="25"/>
        <v>0.43767134241799643</v>
      </c>
      <c r="AY16" s="49">
        <f t="shared" ca="1" si="25"/>
        <v>0.51074280020584273</v>
      </c>
      <c r="AZ16" s="49">
        <f t="shared" ca="1" si="25"/>
        <v>0.58842074683663304</v>
      </c>
      <c r="BA16" s="49">
        <f t="shared" ca="1" si="25"/>
        <v>0.23137990689152943</v>
      </c>
      <c r="BB16" s="49">
        <f t="shared" ca="1" si="26"/>
        <v>0.29055795365326509</v>
      </c>
      <c r="BC16" s="49">
        <f t="shared" ca="1" si="26"/>
        <v>0.36600684795208749</v>
      </c>
      <c r="BD16" s="49">
        <f t="shared" ca="1" si="26"/>
        <v>0.77029581875219866</v>
      </c>
      <c r="BE16" s="49">
        <f t="shared" ca="1" si="26"/>
        <v>0.98525437621510059</v>
      </c>
      <c r="BF16" s="49">
        <f t="shared" ca="1" si="26"/>
        <v>0.16147499250097297</v>
      </c>
      <c r="BG16" s="49">
        <f t="shared" ca="1" si="26"/>
        <v>0.5230521381361366</v>
      </c>
      <c r="BH16" s="49">
        <f t="shared" ca="1" si="26"/>
        <v>2.288177872101782E-4</v>
      </c>
      <c r="BI16" s="49">
        <f t="shared" ca="1" si="26"/>
        <v>0.73582041438178625</v>
      </c>
      <c r="BJ16" s="49">
        <f t="shared" ca="1" si="26"/>
        <v>0.60643250188583597</v>
      </c>
      <c r="BK16" s="49">
        <f t="shared" ca="1" si="26"/>
        <v>0.13883742636767638</v>
      </c>
      <c r="BL16" s="49">
        <f t="shared" ca="1" si="27"/>
        <v>0.97890457046517698</v>
      </c>
      <c r="BM16" s="49">
        <f t="shared" ca="1" si="27"/>
        <v>0.25796801572008698</v>
      </c>
      <c r="BN16" s="49">
        <f t="shared" ca="1" si="27"/>
        <v>0.61180617174208851</v>
      </c>
      <c r="BO16" s="49">
        <f t="shared" ca="1" si="27"/>
        <v>2.635070029291775E-2</v>
      </c>
      <c r="BP16" s="49">
        <f t="shared" ca="1" si="27"/>
        <v>0.96958933532875702</v>
      </c>
      <c r="BQ16" s="49">
        <f t="shared" ca="1" si="27"/>
        <v>0.17304019532547454</v>
      </c>
      <c r="BR16" s="49">
        <f t="shared" ca="1" si="27"/>
        <v>0.39244725838451588</v>
      </c>
      <c r="BS16" s="49">
        <f t="shared" ca="1" si="27"/>
        <v>0.5391134919923819</v>
      </c>
      <c r="BT16" s="49">
        <f t="shared" ca="1" si="27"/>
        <v>0.60886091984556245</v>
      </c>
      <c r="BU16" s="49">
        <f t="shared" ca="1" si="27"/>
        <v>0.97047946668890495</v>
      </c>
      <c r="BV16" s="49">
        <f t="shared" ca="1" si="28"/>
        <v>0.58309377383755678</v>
      </c>
      <c r="BW16" s="49">
        <f t="shared" ca="1" si="28"/>
        <v>0.6213414928887846</v>
      </c>
      <c r="BX16" s="49">
        <f t="shared" ca="1" si="28"/>
        <v>0.23828903478385288</v>
      </c>
      <c r="BY16" s="49">
        <f t="shared" ca="1" si="28"/>
        <v>0.13347827748575702</v>
      </c>
      <c r="BZ16" s="49">
        <f t="shared" ca="1" si="28"/>
        <v>2.4141052484148107E-2</v>
      </c>
      <c r="CA16" s="49">
        <f t="shared" ca="1" si="28"/>
        <v>0.50800422698144065</v>
      </c>
      <c r="CB16" s="49">
        <f t="shared" ca="1" si="28"/>
        <v>0.80371647080041886</v>
      </c>
      <c r="CC16" s="49">
        <f t="shared" ca="1" si="28"/>
        <v>0.6933827608648675</v>
      </c>
      <c r="CD16" s="49">
        <f t="shared" ca="1" si="28"/>
        <v>0.31052985461563465</v>
      </c>
      <c r="CE16" s="49">
        <f t="shared" ca="1" si="28"/>
        <v>0.94130818055709253</v>
      </c>
      <c r="CF16" s="49">
        <f t="shared" ca="1" si="29"/>
        <v>0.23931001512044303</v>
      </c>
      <c r="CG16" s="49">
        <f t="shared" ca="1" si="29"/>
        <v>0.33274297541676678</v>
      </c>
      <c r="CH16" s="49">
        <f t="shared" ca="1" si="29"/>
        <v>0.30550606397589841</v>
      </c>
      <c r="CI16" s="49">
        <f t="shared" ca="1" si="29"/>
        <v>0.54207481079852171</v>
      </c>
      <c r="CJ16" s="49">
        <f t="shared" ca="1" si="29"/>
        <v>0.49753548262455971</v>
      </c>
      <c r="CK16" s="49">
        <f t="shared" ca="1" si="29"/>
        <v>0.19924049060028037</v>
      </c>
      <c r="CL16" s="49">
        <f t="shared" ca="1" si="29"/>
        <v>0.72419507268303096</v>
      </c>
      <c r="CM16" s="49">
        <f t="shared" ca="1" si="29"/>
        <v>4.750599241033171E-2</v>
      </c>
      <c r="CN16" s="49">
        <f t="shared" ca="1" si="29"/>
        <v>0.30019624525266886</v>
      </c>
      <c r="CO16" s="49">
        <f t="shared" ca="1" si="29"/>
        <v>0.59090690977283289</v>
      </c>
      <c r="CP16" s="49">
        <f t="shared" ca="1" si="30"/>
        <v>0.74666072054822374</v>
      </c>
      <c r="CQ16" s="49">
        <f t="shared" ca="1" si="30"/>
        <v>0.86443762320473716</v>
      </c>
      <c r="CR16" s="49">
        <f t="shared" ca="1" si="30"/>
        <v>0.71317682725235765</v>
      </c>
      <c r="CS16" s="49">
        <f t="shared" ca="1" si="30"/>
        <v>0.4686604540829663</v>
      </c>
      <c r="CT16" s="49">
        <f t="shared" ca="1" si="30"/>
        <v>0.33693259168195733</v>
      </c>
      <c r="CU16" s="49">
        <f t="shared" ca="1" si="30"/>
        <v>0.83545048775108843</v>
      </c>
      <c r="CV16" s="49">
        <f t="shared" ca="1" si="30"/>
        <v>0.7124674527023569</v>
      </c>
      <c r="CW16" s="49">
        <f t="shared" ca="1" si="30"/>
        <v>0.89804631730686757</v>
      </c>
      <c r="CX16" s="49">
        <f t="shared" ca="1" si="30"/>
        <v>0.13772620395627677</v>
      </c>
      <c r="CY16" s="49">
        <f t="shared" ca="1" si="30"/>
        <v>0.70699705316215988</v>
      </c>
      <c r="CZ16" s="49">
        <f t="shared" ca="1" si="31"/>
        <v>0.19794469619558108</v>
      </c>
      <c r="DA16" s="49">
        <f t="shared" ca="1" si="31"/>
        <v>9.8359307604810375E-2</v>
      </c>
      <c r="DB16" s="49">
        <f t="shared" ca="1" si="31"/>
        <v>0.61292830416055555</v>
      </c>
      <c r="DC16" s="49">
        <f t="shared" ca="1" si="31"/>
        <v>0.69605663839709986</v>
      </c>
      <c r="DD16" s="49">
        <f t="shared" ca="1" si="31"/>
        <v>8.8380954966500225E-2</v>
      </c>
      <c r="DE16" s="49">
        <f t="shared" ca="1" si="31"/>
        <v>0.98972506416236028</v>
      </c>
      <c r="DF16" s="49">
        <f t="shared" ca="1" si="31"/>
        <v>0.1074016539046917</v>
      </c>
      <c r="DG16" s="49">
        <f t="shared" ca="1" si="31"/>
        <v>0.38172557755245573</v>
      </c>
      <c r="DH16" s="49">
        <f t="shared" ca="1" si="31"/>
        <v>0.51864083487356105</v>
      </c>
      <c r="DI16" s="49">
        <f t="shared" ca="1" si="31"/>
        <v>0.34590437379849681</v>
      </c>
      <c r="DJ16" s="49">
        <f t="shared" ca="1" si="32"/>
        <v>0.81075132794564364</v>
      </c>
      <c r="DK16" s="49">
        <f t="shared" ca="1" si="32"/>
        <v>0.80031135309148205</v>
      </c>
      <c r="DL16" s="49">
        <f t="shared" ca="1" si="32"/>
        <v>0.30911071547644886</v>
      </c>
      <c r="DM16" s="49">
        <f t="shared" ca="1" si="32"/>
        <v>0.5602095811323119</v>
      </c>
      <c r="DN16" s="49">
        <f t="shared" ca="1" si="32"/>
        <v>0.52011416734039118</v>
      </c>
      <c r="DO16" s="49">
        <f t="shared" ca="1" si="32"/>
        <v>0.243462603625894</v>
      </c>
      <c r="DP16" s="49">
        <f t="shared" ca="1" si="32"/>
        <v>3.2446747755810024E-2</v>
      </c>
      <c r="DQ16" s="49">
        <f t="shared" ca="1" si="32"/>
        <v>0.31160451646566467</v>
      </c>
      <c r="DR16" s="49">
        <f t="shared" ca="1" si="32"/>
        <v>0.91184427120856215</v>
      </c>
      <c r="DS16" s="49">
        <f t="shared" ca="1" si="32"/>
        <v>0.28839670082746538</v>
      </c>
      <c r="DT16" s="49">
        <f t="shared" ca="1" si="33"/>
        <v>0.38174327345499326</v>
      </c>
      <c r="DU16" s="49">
        <f t="shared" ca="1" si="33"/>
        <v>0.506524196911459</v>
      </c>
      <c r="DV16" s="49">
        <f t="shared" ca="1" si="33"/>
        <v>0.83550776873295862</v>
      </c>
      <c r="DW16" s="49">
        <f t="shared" ca="1" si="33"/>
        <v>0.74486845803930524</v>
      </c>
      <c r="DX16" s="49">
        <f t="shared" ca="1" si="33"/>
        <v>0.63443622989754067</v>
      </c>
      <c r="DY16" s="49">
        <f t="shared" ca="1" si="33"/>
        <v>0.27506090327244082</v>
      </c>
      <c r="DZ16" s="49">
        <f t="shared" ca="1" si="33"/>
        <v>0.55267608495594744</v>
      </c>
      <c r="EA16" s="49">
        <f t="shared" ca="1" si="33"/>
        <v>0.12938426395766289</v>
      </c>
      <c r="EB16" s="49">
        <f t="shared" ca="1" si="33"/>
        <v>0.29916428950712204</v>
      </c>
      <c r="EC16" s="49">
        <f t="shared" ca="1" si="33"/>
        <v>0.80335883374241424</v>
      </c>
      <c r="ED16" s="49">
        <f t="shared" ca="1" si="33"/>
        <v>0.69631586472140961</v>
      </c>
      <c r="EE16" s="49">
        <f t="shared" ca="1" si="33"/>
        <v>0.68848967951445672</v>
      </c>
    </row>
    <row r="17" spans="1:135" x14ac:dyDescent="0.4">
      <c r="A17" s="29" t="str">
        <f t="shared" si="7"/>
        <v>KPI ID 10</v>
      </c>
      <c r="B17" s="47" t="s">
        <v>59</v>
      </c>
      <c r="C17" s="48" t="s">
        <v>25</v>
      </c>
      <c r="D17" s="49">
        <f t="shared" ref="D17:AI17" ca="1" si="34">RANDBETWEEN(1, 100)</f>
        <v>16</v>
      </c>
      <c r="E17" s="49">
        <f t="shared" ca="1" si="34"/>
        <v>41</v>
      </c>
      <c r="F17" s="49">
        <f t="shared" ca="1" si="34"/>
        <v>28</v>
      </c>
      <c r="G17" s="49">
        <f t="shared" ca="1" si="34"/>
        <v>95</v>
      </c>
      <c r="H17" s="49">
        <f t="shared" ca="1" si="34"/>
        <v>88</v>
      </c>
      <c r="I17" s="49">
        <f t="shared" ca="1" si="34"/>
        <v>69</v>
      </c>
      <c r="J17" s="49">
        <f t="shared" ca="1" si="34"/>
        <v>7</v>
      </c>
      <c r="K17" s="49">
        <f t="shared" ca="1" si="34"/>
        <v>36</v>
      </c>
      <c r="L17" s="49">
        <f t="shared" ca="1" si="34"/>
        <v>72</v>
      </c>
      <c r="M17" s="49">
        <f t="shared" ca="1" si="34"/>
        <v>2</v>
      </c>
      <c r="N17" s="49">
        <f t="shared" ca="1" si="34"/>
        <v>32</v>
      </c>
      <c r="O17" s="49">
        <f t="shared" ca="1" si="34"/>
        <v>46</v>
      </c>
      <c r="P17" s="49">
        <f t="shared" ca="1" si="34"/>
        <v>85</v>
      </c>
      <c r="Q17" s="49">
        <f t="shared" ca="1" si="34"/>
        <v>62</v>
      </c>
      <c r="R17" s="49">
        <f t="shared" ca="1" si="34"/>
        <v>90</v>
      </c>
      <c r="S17" s="49">
        <f t="shared" ca="1" si="34"/>
        <v>83</v>
      </c>
      <c r="T17" s="49">
        <f t="shared" ca="1" si="34"/>
        <v>65</v>
      </c>
      <c r="U17" s="49">
        <f t="shared" ca="1" si="34"/>
        <v>78</v>
      </c>
      <c r="V17" s="49">
        <f t="shared" ca="1" si="34"/>
        <v>87</v>
      </c>
      <c r="W17" s="49">
        <f t="shared" ca="1" si="34"/>
        <v>42</v>
      </c>
      <c r="X17" s="49">
        <f t="shared" ca="1" si="34"/>
        <v>92</v>
      </c>
      <c r="Y17" s="49">
        <f t="shared" ca="1" si="34"/>
        <v>79</v>
      </c>
      <c r="Z17" s="49">
        <f t="shared" ca="1" si="34"/>
        <v>8</v>
      </c>
      <c r="AA17" s="49">
        <f t="shared" ca="1" si="34"/>
        <v>33</v>
      </c>
      <c r="AB17" s="49">
        <f t="shared" ca="1" si="34"/>
        <v>10</v>
      </c>
      <c r="AC17" s="49">
        <f t="shared" ca="1" si="34"/>
        <v>94</v>
      </c>
      <c r="AD17" s="49">
        <f t="shared" ca="1" si="34"/>
        <v>58</v>
      </c>
      <c r="AE17" s="49">
        <f t="shared" ca="1" si="34"/>
        <v>67</v>
      </c>
      <c r="AF17" s="49">
        <f t="shared" ca="1" si="34"/>
        <v>58</v>
      </c>
      <c r="AG17" s="49">
        <f t="shared" ca="1" si="34"/>
        <v>4</v>
      </c>
      <c r="AH17" s="49">
        <f t="shared" ca="1" si="34"/>
        <v>47</v>
      </c>
      <c r="AI17" s="49">
        <f t="shared" ca="1" si="34"/>
        <v>34</v>
      </c>
      <c r="AJ17" s="49">
        <f t="shared" ref="AJ17:BO17" ca="1" si="35">RANDBETWEEN(1, 100)</f>
        <v>57</v>
      </c>
      <c r="AK17" s="49">
        <f t="shared" ca="1" si="35"/>
        <v>60</v>
      </c>
      <c r="AL17" s="49">
        <f t="shared" ca="1" si="35"/>
        <v>18</v>
      </c>
      <c r="AM17" s="49">
        <f t="shared" ca="1" si="35"/>
        <v>71</v>
      </c>
      <c r="AN17" s="49">
        <f t="shared" ca="1" si="35"/>
        <v>45</v>
      </c>
      <c r="AO17" s="49">
        <f t="shared" ca="1" si="35"/>
        <v>55</v>
      </c>
      <c r="AP17" s="49">
        <f t="shared" ca="1" si="35"/>
        <v>5</v>
      </c>
      <c r="AQ17" s="49">
        <f t="shared" ca="1" si="35"/>
        <v>63</v>
      </c>
      <c r="AR17" s="49">
        <f t="shared" ca="1" si="35"/>
        <v>34</v>
      </c>
      <c r="AS17" s="49">
        <f t="shared" ca="1" si="35"/>
        <v>14</v>
      </c>
      <c r="AT17" s="49">
        <f t="shared" ca="1" si="35"/>
        <v>21</v>
      </c>
      <c r="AU17" s="49">
        <f t="shared" ca="1" si="35"/>
        <v>20</v>
      </c>
      <c r="AV17" s="49">
        <f t="shared" ca="1" si="35"/>
        <v>20</v>
      </c>
      <c r="AW17" s="49">
        <f t="shared" ca="1" si="35"/>
        <v>84</v>
      </c>
      <c r="AX17" s="49">
        <f t="shared" ca="1" si="35"/>
        <v>97</v>
      </c>
      <c r="AY17" s="49">
        <f t="shared" ca="1" si="35"/>
        <v>31</v>
      </c>
      <c r="AZ17" s="49">
        <f t="shared" ca="1" si="35"/>
        <v>66</v>
      </c>
      <c r="BA17" s="49">
        <f t="shared" ca="1" si="35"/>
        <v>80</v>
      </c>
      <c r="BB17" s="49">
        <f t="shared" ca="1" si="35"/>
        <v>42</v>
      </c>
      <c r="BC17" s="49">
        <f t="shared" ca="1" si="35"/>
        <v>1</v>
      </c>
      <c r="BD17" s="49">
        <f t="shared" ca="1" si="35"/>
        <v>46</v>
      </c>
      <c r="BE17" s="49">
        <f t="shared" ca="1" si="35"/>
        <v>92</v>
      </c>
      <c r="BF17" s="49">
        <f t="shared" ca="1" si="35"/>
        <v>26</v>
      </c>
      <c r="BG17" s="49">
        <f t="shared" ca="1" si="35"/>
        <v>100</v>
      </c>
      <c r="BH17" s="49">
        <f t="shared" ca="1" si="35"/>
        <v>12</v>
      </c>
      <c r="BI17" s="49">
        <f t="shared" ca="1" si="35"/>
        <v>99</v>
      </c>
      <c r="BJ17" s="49">
        <f t="shared" ca="1" si="35"/>
        <v>56</v>
      </c>
      <c r="BK17" s="49">
        <f t="shared" ca="1" si="35"/>
        <v>84</v>
      </c>
      <c r="BL17" s="49">
        <f t="shared" ca="1" si="35"/>
        <v>19</v>
      </c>
      <c r="BM17" s="49">
        <f t="shared" ca="1" si="35"/>
        <v>30</v>
      </c>
      <c r="BN17" s="49">
        <f t="shared" ca="1" si="35"/>
        <v>71</v>
      </c>
      <c r="BO17" s="49">
        <f t="shared" ca="1" si="35"/>
        <v>5</v>
      </c>
      <c r="BP17" s="49">
        <f t="shared" ref="BP17:CU17" ca="1" si="36">RANDBETWEEN(1, 100)</f>
        <v>85</v>
      </c>
      <c r="BQ17" s="49">
        <f t="shared" ca="1" si="36"/>
        <v>73</v>
      </c>
      <c r="BR17" s="49">
        <f t="shared" ca="1" si="36"/>
        <v>52</v>
      </c>
      <c r="BS17" s="49">
        <f t="shared" ca="1" si="36"/>
        <v>57</v>
      </c>
      <c r="BT17" s="49">
        <f t="shared" ca="1" si="36"/>
        <v>20</v>
      </c>
      <c r="BU17" s="49">
        <f t="shared" ca="1" si="36"/>
        <v>45</v>
      </c>
      <c r="BV17" s="49">
        <f t="shared" ca="1" si="36"/>
        <v>47</v>
      </c>
      <c r="BW17" s="49">
        <f t="shared" ca="1" si="36"/>
        <v>94</v>
      </c>
      <c r="BX17" s="49">
        <f t="shared" ca="1" si="36"/>
        <v>100</v>
      </c>
      <c r="BY17" s="49">
        <f t="shared" ca="1" si="36"/>
        <v>98</v>
      </c>
      <c r="BZ17" s="49">
        <f t="shared" ca="1" si="36"/>
        <v>99</v>
      </c>
      <c r="CA17" s="49">
        <f t="shared" ca="1" si="36"/>
        <v>22</v>
      </c>
      <c r="CB17" s="49">
        <f t="shared" ca="1" si="36"/>
        <v>91</v>
      </c>
      <c r="CC17" s="49">
        <f t="shared" ca="1" si="36"/>
        <v>26</v>
      </c>
      <c r="CD17" s="49">
        <f t="shared" ca="1" si="36"/>
        <v>92</v>
      </c>
      <c r="CE17" s="49">
        <f t="shared" ca="1" si="36"/>
        <v>54</v>
      </c>
      <c r="CF17" s="49">
        <f t="shared" ca="1" si="36"/>
        <v>86</v>
      </c>
      <c r="CG17" s="49">
        <f t="shared" ca="1" si="36"/>
        <v>22</v>
      </c>
      <c r="CH17" s="49">
        <f t="shared" ca="1" si="36"/>
        <v>29</v>
      </c>
      <c r="CI17" s="49">
        <f t="shared" ca="1" si="36"/>
        <v>17</v>
      </c>
      <c r="CJ17" s="49">
        <f t="shared" ca="1" si="36"/>
        <v>49</v>
      </c>
      <c r="CK17" s="49">
        <f t="shared" ca="1" si="36"/>
        <v>33</v>
      </c>
      <c r="CL17" s="49">
        <f t="shared" ca="1" si="36"/>
        <v>45</v>
      </c>
      <c r="CM17" s="49">
        <f t="shared" ca="1" si="36"/>
        <v>2</v>
      </c>
      <c r="CN17" s="49">
        <f t="shared" ca="1" si="36"/>
        <v>40</v>
      </c>
      <c r="CO17" s="49">
        <f t="shared" ca="1" si="36"/>
        <v>18</v>
      </c>
      <c r="CP17" s="49">
        <f t="shared" ca="1" si="36"/>
        <v>17</v>
      </c>
      <c r="CQ17" s="49">
        <f t="shared" ca="1" si="36"/>
        <v>5</v>
      </c>
      <c r="CR17" s="49">
        <f t="shared" ca="1" si="36"/>
        <v>100</v>
      </c>
      <c r="CS17" s="49">
        <f t="shared" ca="1" si="36"/>
        <v>12</v>
      </c>
      <c r="CT17" s="49">
        <f t="shared" ca="1" si="36"/>
        <v>56</v>
      </c>
      <c r="CU17" s="49">
        <f t="shared" ca="1" si="36"/>
        <v>99</v>
      </c>
      <c r="CV17" s="49">
        <f t="shared" ref="CV17:EE17" ca="1" si="37">RANDBETWEEN(1, 100)</f>
        <v>71</v>
      </c>
      <c r="CW17" s="49">
        <f t="shared" ca="1" si="37"/>
        <v>83</v>
      </c>
      <c r="CX17" s="49">
        <f t="shared" ca="1" si="37"/>
        <v>74</v>
      </c>
      <c r="CY17" s="49">
        <f t="shared" ca="1" si="37"/>
        <v>58</v>
      </c>
      <c r="CZ17" s="49">
        <f t="shared" ca="1" si="37"/>
        <v>40</v>
      </c>
      <c r="DA17" s="49">
        <f t="shared" ca="1" si="37"/>
        <v>68</v>
      </c>
      <c r="DB17" s="49">
        <f t="shared" ca="1" si="37"/>
        <v>17</v>
      </c>
      <c r="DC17" s="49">
        <f t="shared" ca="1" si="37"/>
        <v>81</v>
      </c>
      <c r="DD17" s="49">
        <f t="shared" ca="1" si="37"/>
        <v>13</v>
      </c>
      <c r="DE17" s="49">
        <f t="shared" ca="1" si="37"/>
        <v>7</v>
      </c>
      <c r="DF17" s="49">
        <f t="shared" ca="1" si="37"/>
        <v>41</v>
      </c>
      <c r="DG17" s="49">
        <f t="shared" ca="1" si="37"/>
        <v>25</v>
      </c>
      <c r="DH17" s="49">
        <f t="shared" ca="1" si="37"/>
        <v>91</v>
      </c>
      <c r="DI17" s="49">
        <f t="shared" ca="1" si="37"/>
        <v>49</v>
      </c>
      <c r="DJ17" s="49">
        <f t="shared" ca="1" si="37"/>
        <v>24</v>
      </c>
      <c r="DK17" s="49">
        <f t="shared" ca="1" si="37"/>
        <v>77</v>
      </c>
      <c r="DL17" s="49">
        <f t="shared" ca="1" si="37"/>
        <v>69</v>
      </c>
      <c r="DM17" s="49">
        <f t="shared" ca="1" si="37"/>
        <v>48</v>
      </c>
      <c r="DN17" s="49">
        <f t="shared" ca="1" si="37"/>
        <v>10</v>
      </c>
      <c r="DO17" s="49">
        <f t="shared" ca="1" si="37"/>
        <v>2</v>
      </c>
      <c r="DP17" s="49">
        <f t="shared" ca="1" si="37"/>
        <v>70</v>
      </c>
      <c r="DQ17" s="49">
        <f t="shared" ca="1" si="37"/>
        <v>2</v>
      </c>
      <c r="DR17" s="49">
        <f t="shared" ca="1" si="37"/>
        <v>34</v>
      </c>
      <c r="DS17" s="49">
        <f t="shared" ca="1" si="37"/>
        <v>26</v>
      </c>
      <c r="DT17" s="49">
        <f t="shared" ca="1" si="37"/>
        <v>43</v>
      </c>
      <c r="DU17" s="49">
        <f t="shared" ca="1" si="37"/>
        <v>65</v>
      </c>
      <c r="DV17" s="49">
        <f t="shared" ca="1" si="37"/>
        <v>55</v>
      </c>
      <c r="DW17" s="49">
        <f t="shared" ca="1" si="37"/>
        <v>25</v>
      </c>
      <c r="DX17" s="49">
        <f t="shared" ca="1" si="37"/>
        <v>91</v>
      </c>
      <c r="DY17" s="49">
        <f t="shared" ca="1" si="37"/>
        <v>54</v>
      </c>
      <c r="DZ17" s="49">
        <f t="shared" ca="1" si="37"/>
        <v>66</v>
      </c>
      <c r="EA17" s="49">
        <f t="shared" ca="1" si="37"/>
        <v>56</v>
      </c>
      <c r="EB17" s="49">
        <f t="shared" ca="1" si="37"/>
        <v>90</v>
      </c>
      <c r="EC17" s="49">
        <f t="shared" ca="1" si="37"/>
        <v>40</v>
      </c>
      <c r="ED17" s="49">
        <f t="shared" ca="1" si="37"/>
        <v>18</v>
      </c>
      <c r="EE17" s="49">
        <f t="shared" ca="1" si="37"/>
        <v>74</v>
      </c>
    </row>
    <row r="18" spans="1:135" x14ac:dyDescent="0.4">
      <c r="A18" s="29" t="str">
        <f t="shared" si="7"/>
        <v>KPI ID 11</v>
      </c>
      <c r="B18" s="47" t="s">
        <v>60</v>
      </c>
      <c r="C18" s="48" t="s">
        <v>26</v>
      </c>
      <c r="D18" s="49">
        <f t="shared" ref="D18:AI18" ca="1" si="38">RANDBETWEEN(20, 45)</f>
        <v>30</v>
      </c>
      <c r="E18" s="49">
        <f t="shared" ca="1" si="38"/>
        <v>27</v>
      </c>
      <c r="F18" s="49">
        <f t="shared" ca="1" si="38"/>
        <v>31</v>
      </c>
      <c r="G18" s="49">
        <f t="shared" ca="1" si="38"/>
        <v>40</v>
      </c>
      <c r="H18" s="49">
        <f t="shared" ca="1" si="38"/>
        <v>29</v>
      </c>
      <c r="I18" s="49">
        <f t="shared" ca="1" si="38"/>
        <v>21</v>
      </c>
      <c r="J18" s="49">
        <f t="shared" ca="1" si="38"/>
        <v>24</v>
      </c>
      <c r="K18" s="49">
        <f t="shared" ca="1" si="38"/>
        <v>23</v>
      </c>
      <c r="L18" s="49">
        <f t="shared" ca="1" si="38"/>
        <v>22</v>
      </c>
      <c r="M18" s="49">
        <f t="shared" ca="1" si="38"/>
        <v>25</v>
      </c>
      <c r="N18" s="49">
        <f t="shared" ca="1" si="38"/>
        <v>27</v>
      </c>
      <c r="O18" s="49">
        <f t="shared" ca="1" si="38"/>
        <v>32</v>
      </c>
      <c r="P18" s="49">
        <f t="shared" ca="1" si="38"/>
        <v>28</v>
      </c>
      <c r="Q18" s="49">
        <f t="shared" ca="1" si="38"/>
        <v>35</v>
      </c>
      <c r="R18" s="49">
        <f t="shared" ca="1" si="38"/>
        <v>44</v>
      </c>
      <c r="S18" s="49">
        <f t="shared" ca="1" si="38"/>
        <v>38</v>
      </c>
      <c r="T18" s="49">
        <f t="shared" ca="1" si="38"/>
        <v>40</v>
      </c>
      <c r="U18" s="49">
        <f t="shared" ca="1" si="38"/>
        <v>27</v>
      </c>
      <c r="V18" s="49">
        <f t="shared" ca="1" si="38"/>
        <v>45</v>
      </c>
      <c r="W18" s="49">
        <f t="shared" ca="1" si="38"/>
        <v>40</v>
      </c>
      <c r="X18" s="49">
        <f t="shared" ca="1" si="38"/>
        <v>36</v>
      </c>
      <c r="Y18" s="49">
        <f t="shared" ca="1" si="38"/>
        <v>30</v>
      </c>
      <c r="Z18" s="49">
        <f t="shared" ca="1" si="38"/>
        <v>30</v>
      </c>
      <c r="AA18" s="49">
        <f t="shared" ca="1" si="38"/>
        <v>31</v>
      </c>
      <c r="AB18" s="49">
        <f t="shared" ca="1" si="38"/>
        <v>21</v>
      </c>
      <c r="AC18" s="49">
        <f t="shared" ca="1" si="38"/>
        <v>20</v>
      </c>
      <c r="AD18" s="49">
        <f t="shared" ca="1" si="38"/>
        <v>27</v>
      </c>
      <c r="AE18" s="49">
        <f t="shared" ca="1" si="38"/>
        <v>37</v>
      </c>
      <c r="AF18" s="49">
        <f t="shared" ca="1" si="38"/>
        <v>26</v>
      </c>
      <c r="AG18" s="49">
        <f t="shared" ca="1" si="38"/>
        <v>45</v>
      </c>
      <c r="AH18" s="49">
        <f t="shared" ca="1" si="38"/>
        <v>29</v>
      </c>
      <c r="AI18" s="49">
        <f t="shared" ca="1" si="38"/>
        <v>21</v>
      </c>
      <c r="AJ18" s="49">
        <f t="shared" ref="AJ18:BO18" ca="1" si="39">RANDBETWEEN(20, 45)</f>
        <v>33</v>
      </c>
      <c r="AK18" s="49">
        <f t="shared" ca="1" si="39"/>
        <v>28</v>
      </c>
      <c r="AL18" s="49">
        <f t="shared" ca="1" si="39"/>
        <v>32</v>
      </c>
      <c r="AM18" s="49">
        <f t="shared" ca="1" si="39"/>
        <v>23</v>
      </c>
      <c r="AN18" s="49">
        <f t="shared" ca="1" si="39"/>
        <v>36</v>
      </c>
      <c r="AO18" s="49">
        <f t="shared" ca="1" si="39"/>
        <v>30</v>
      </c>
      <c r="AP18" s="49">
        <f t="shared" ca="1" si="39"/>
        <v>24</v>
      </c>
      <c r="AQ18" s="49">
        <f t="shared" ca="1" si="39"/>
        <v>35</v>
      </c>
      <c r="AR18" s="49">
        <f t="shared" ca="1" si="39"/>
        <v>26</v>
      </c>
      <c r="AS18" s="49">
        <f t="shared" ca="1" si="39"/>
        <v>31</v>
      </c>
      <c r="AT18" s="49">
        <f t="shared" ca="1" si="39"/>
        <v>33</v>
      </c>
      <c r="AU18" s="49">
        <f t="shared" ca="1" si="39"/>
        <v>32</v>
      </c>
      <c r="AV18" s="49">
        <f t="shared" ca="1" si="39"/>
        <v>21</v>
      </c>
      <c r="AW18" s="49">
        <f t="shared" ca="1" si="39"/>
        <v>44</v>
      </c>
      <c r="AX18" s="49">
        <f t="shared" ca="1" si="39"/>
        <v>21</v>
      </c>
      <c r="AY18" s="49">
        <f t="shared" ca="1" si="39"/>
        <v>35</v>
      </c>
      <c r="AZ18" s="49">
        <f t="shared" ca="1" si="39"/>
        <v>26</v>
      </c>
      <c r="BA18" s="49">
        <f t="shared" ca="1" si="39"/>
        <v>39</v>
      </c>
      <c r="BB18" s="49">
        <f t="shared" ca="1" si="39"/>
        <v>38</v>
      </c>
      <c r="BC18" s="49">
        <f t="shared" ca="1" si="39"/>
        <v>39</v>
      </c>
      <c r="BD18" s="49">
        <f t="shared" ca="1" si="39"/>
        <v>42</v>
      </c>
      <c r="BE18" s="49">
        <f t="shared" ca="1" si="39"/>
        <v>34</v>
      </c>
      <c r="BF18" s="49">
        <f t="shared" ca="1" si="39"/>
        <v>37</v>
      </c>
      <c r="BG18" s="49">
        <f t="shared" ca="1" si="39"/>
        <v>21</v>
      </c>
      <c r="BH18" s="49">
        <f t="shared" ca="1" si="39"/>
        <v>32</v>
      </c>
      <c r="BI18" s="49">
        <f t="shared" ca="1" si="39"/>
        <v>41</v>
      </c>
      <c r="BJ18" s="49">
        <f t="shared" ca="1" si="39"/>
        <v>31</v>
      </c>
      <c r="BK18" s="49">
        <f t="shared" ca="1" si="39"/>
        <v>22</v>
      </c>
      <c r="BL18" s="49">
        <f t="shared" ca="1" si="39"/>
        <v>30</v>
      </c>
      <c r="BM18" s="49">
        <f t="shared" ca="1" si="39"/>
        <v>29</v>
      </c>
      <c r="BN18" s="49">
        <f t="shared" ca="1" si="39"/>
        <v>33</v>
      </c>
      <c r="BO18" s="49">
        <f t="shared" ca="1" si="39"/>
        <v>33</v>
      </c>
      <c r="BP18" s="49">
        <f t="shared" ref="BP18:CU18" ca="1" si="40">RANDBETWEEN(20, 45)</f>
        <v>32</v>
      </c>
      <c r="BQ18" s="49">
        <f t="shared" ca="1" si="40"/>
        <v>31</v>
      </c>
      <c r="BR18" s="49">
        <f t="shared" ca="1" si="40"/>
        <v>34</v>
      </c>
      <c r="BS18" s="49">
        <f t="shared" ca="1" si="40"/>
        <v>24</v>
      </c>
      <c r="BT18" s="49">
        <f t="shared" ca="1" si="40"/>
        <v>34</v>
      </c>
      <c r="BU18" s="49">
        <f t="shared" ca="1" si="40"/>
        <v>23</v>
      </c>
      <c r="BV18" s="49">
        <f t="shared" ca="1" si="40"/>
        <v>30</v>
      </c>
      <c r="BW18" s="49">
        <f t="shared" ca="1" si="40"/>
        <v>45</v>
      </c>
      <c r="BX18" s="49">
        <f t="shared" ca="1" si="40"/>
        <v>33</v>
      </c>
      <c r="BY18" s="49">
        <f t="shared" ca="1" si="40"/>
        <v>23</v>
      </c>
      <c r="BZ18" s="49">
        <f t="shared" ca="1" si="40"/>
        <v>41</v>
      </c>
      <c r="CA18" s="49">
        <f t="shared" ca="1" si="40"/>
        <v>38</v>
      </c>
      <c r="CB18" s="49">
        <f t="shared" ca="1" si="40"/>
        <v>30</v>
      </c>
      <c r="CC18" s="49">
        <f t="shared" ca="1" si="40"/>
        <v>43</v>
      </c>
      <c r="CD18" s="49">
        <f t="shared" ca="1" si="40"/>
        <v>22</v>
      </c>
      <c r="CE18" s="49">
        <f t="shared" ca="1" si="40"/>
        <v>28</v>
      </c>
      <c r="CF18" s="49">
        <f t="shared" ca="1" si="40"/>
        <v>21</v>
      </c>
      <c r="CG18" s="49">
        <f t="shared" ca="1" si="40"/>
        <v>25</v>
      </c>
      <c r="CH18" s="49">
        <f t="shared" ca="1" si="40"/>
        <v>27</v>
      </c>
      <c r="CI18" s="49">
        <f t="shared" ca="1" si="40"/>
        <v>35</v>
      </c>
      <c r="CJ18" s="49">
        <f t="shared" ca="1" si="40"/>
        <v>23</v>
      </c>
      <c r="CK18" s="49">
        <f t="shared" ca="1" si="40"/>
        <v>20</v>
      </c>
      <c r="CL18" s="49">
        <f t="shared" ca="1" si="40"/>
        <v>29</v>
      </c>
      <c r="CM18" s="49">
        <f t="shared" ca="1" si="40"/>
        <v>42</v>
      </c>
      <c r="CN18" s="49">
        <f t="shared" ca="1" si="40"/>
        <v>39</v>
      </c>
      <c r="CO18" s="49">
        <f t="shared" ca="1" si="40"/>
        <v>44</v>
      </c>
      <c r="CP18" s="49">
        <f t="shared" ca="1" si="40"/>
        <v>45</v>
      </c>
      <c r="CQ18" s="49">
        <f t="shared" ca="1" si="40"/>
        <v>34</v>
      </c>
      <c r="CR18" s="49">
        <f t="shared" ca="1" si="40"/>
        <v>36</v>
      </c>
      <c r="CS18" s="49">
        <f t="shared" ca="1" si="40"/>
        <v>30</v>
      </c>
      <c r="CT18" s="49">
        <f t="shared" ca="1" si="40"/>
        <v>21</v>
      </c>
      <c r="CU18" s="49">
        <f t="shared" ca="1" si="40"/>
        <v>35</v>
      </c>
      <c r="CV18" s="49">
        <f t="shared" ref="CV18:EE18" ca="1" si="41">RANDBETWEEN(20, 45)</f>
        <v>21</v>
      </c>
      <c r="CW18" s="49">
        <f t="shared" ca="1" si="41"/>
        <v>24</v>
      </c>
      <c r="CX18" s="49">
        <f t="shared" ca="1" si="41"/>
        <v>21</v>
      </c>
      <c r="CY18" s="49">
        <f t="shared" ca="1" si="41"/>
        <v>39</v>
      </c>
      <c r="CZ18" s="49">
        <f t="shared" ca="1" si="41"/>
        <v>27</v>
      </c>
      <c r="DA18" s="49">
        <f t="shared" ca="1" si="41"/>
        <v>33</v>
      </c>
      <c r="DB18" s="49">
        <f t="shared" ca="1" si="41"/>
        <v>33</v>
      </c>
      <c r="DC18" s="49">
        <f t="shared" ca="1" si="41"/>
        <v>29</v>
      </c>
      <c r="DD18" s="49">
        <f t="shared" ca="1" si="41"/>
        <v>32</v>
      </c>
      <c r="DE18" s="49">
        <f t="shared" ca="1" si="41"/>
        <v>45</v>
      </c>
      <c r="DF18" s="49">
        <f t="shared" ca="1" si="41"/>
        <v>32</v>
      </c>
      <c r="DG18" s="49">
        <f t="shared" ca="1" si="41"/>
        <v>44</v>
      </c>
      <c r="DH18" s="49">
        <f t="shared" ca="1" si="41"/>
        <v>31</v>
      </c>
      <c r="DI18" s="49">
        <f t="shared" ca="1" si="41"/>
        <v>37</v>
      </c>
      <c r="DJ18" s="49">
        <f t="shared" ca="1" si="41"/>
        <v>28</v>
      </c>
      <c r="DK18" s="49">
        <f t="shared" ca="1" si="41"/>
        <v>44</v>
      </c>
      <c r="DL18" s="49">
        <f t="shared" ca="1" si="41"/>
        <v>39</v>
      </c>
      <c r="DM18" s="49">
        <f t="shared" ca="1" si="41"/>
        <v>22</v>
      </c>
      <c r="DN18" s="49">
        <f t="shared" ca="1" si="41"/>
        <v>44</v>
      </c>
      <c r="DO18" s="49">
        <f t="shared" ca="1" si="41"/>
        <v>21</v>
      </c>
      <c r="DP18" s="49">
        <f t="shared" ca="1" si="41"/>
        <v>27</v>
      </c>
      <c r="DQ18" s="49">
        <f t="shared" ca="1" si="41"/>
        <v>39</v>
      </c>
      <c r="DR18" s="49">
        <f t="shared" ca="1" si="41"/>
        <v>28</v>
      </c>
      <c r="DS18" s="49">
        <f t="shared" ca="1" si="41"/>
        <v>22</v>
      </c>
      <c r="DT18" s="49">
        <f t="shared" ca="1" si="41"/>
        <v>26</v>
      </c>
      <c r="DU18" s="49">
        <f t="shared" ca="1" si="41"/>
        <v>40</v>
      </c>
      <c r="DV18" s="49">
        <f t="shared" ca="1" si="41"/>
        <v>39</v>
      </c>
      <c r="DW18" s="49">
        <f t="shared" ca="1" si="41"/>
        <v>45</v>
      </c>
      <c r="DX18" s="49">
        <f t="shared" ca="1" si="41"/>
        <v>37</v>
      </c>
      <c r="DY18" s="49">
        <f t="shared" ca="1" si="41"/>
        <v>26</v>
      </c>
      <c r="DZ18" s="49">
        <f t="shared" ca="1" si="41"/>
        <v>23</v>
      </c>
      <c r="EA18" s="49">
        <f t="shared" ca="1" si="41"/>
        <v>45</v>
      </c>
      <c r="EB18" s="49">
        <f t="shared" ca="1" si="41"/>
        <v>30</v>
      </c>
      <c r="EC18" s="49">
        <f t="shared" ca="1" si="41"/>
        <v>38</v>
      </c>
      <c r="ED18" s="49">
        <f t="shared" ca="1" si="41"/>
        <v>30</v>
      </c>
      <c r="EE18" s="49">
        <f t="shared" ca="1" si="41"/>
        <v>20</v>
      </c>
    </row>
    <row r="19" spans="1:135" ht="29.15" x14ac:dyDescent="0.4">
      <c r="A19" s="29" t="str">
        <f t="shared" si="7"/>
        <v>KPI ID 12 %</v>
      </c>
      <c r="B19" s="47" t="s">
        <v>62</v>
      </c>
      <c r="C19" s="48" t="s">
        <v>27</v>
      </c>
      <c r="D19" s="49">
        <f t="shared" ref="D19:AI19" ca="1" si="42">RAND()+1</f>
        <v>1.2804095150829</v>
      </c>
      <c r="E19" s="49">
        <f t="shared" ca="1" si="42"/>
        <v>1.0040095726949581</v>
      </c>
      <c r="F19" s="49">
        <f t="shared" ca="1" si="42"/>
        <v>1.0546152114550718</v>
      </c>
      <c r="G19" s="49">
        <f t="shared" ca="1" si="42"/>
        <v>1.6552880359023217</v>
      </c>
      <c r="H19" s="49">
        <f t="shared" ca="1" si="42"/>
        <v>1.5187105231748244</v>
      </c>
      <c r="I19" s="49">
        <f t="shared" ca="1" si="42"/>
        <v>1.4358617079380145</v>
      </c>
      <c r="J19" s="49">
        <f t="shared" ca="1" si="42"/>
        <v>1.9913254904740483</v>
      </c>
      <c r="K19" s="49">
        <f t="shared" ca="1" si="42"/>
        <v>1.5668143719052003</v>
      </c>
      <c r="L19" s="49">
        <f t="shared" ca="1" si="42"/>
        <v>1.6137905577045748</v>
      </c>
      <c r="M19" s="49">
        <f t="shared" ca="1" si="42"/>
        <v>1.8115933392544008</v>
      </c>
      <c r="N19" s="49">
        <f t="shared" ca="1" si="42"/>
        <v>1.2797189176243262</v>
      </c>
      <c r="O19" s="49">
        <f t="shared" ca="1" si="42"/>
        <v>1.6491149495149735</v>
      </c>
      <c r="P19" s="49">
        <f t="shared" ca="1" si="42"/>
        <v>1.7292989383486521</v>
      </c>
      <c r="Q19" s="49">
        <f t="shared" ca="1" si="42"/>
        <v>1.1677634854315302</v>
      </c>
      <c r="R19" s="49">
        <f t="shared" ca="1" si="42"/>
        <v>1.7788268298345249</v>
      </c>
      <c r="S19" s="49">
        <f t="shared" ca="1" si="42"/>
        <v>1.5470632900896493</v>
      </c>
      <c r="T19" s="49">
        <f t="shared" ca="1" si="42"/>
        <v>1.0650418065967218</v>
      </c>
      <c r="U19" s="49">
        <f t="shared" ca="1" si="42"/>
        <v>1.6261955896486557</v>
      </c>
      <c r="V19" s="49">
        <f t="shared" ca="1" si="42"/>
        <v>1.4074524190025208</v>
      </c>
      <c r="W19" s="49">
        <f t="shared" ca="1" si="42"/>
        <v>1.0707850276013808</v>
      </c>
      <c r="X19" s="49">
        <f t="shared" ca="1" si="42"/>
        <v>1.1116959108688029</v>
      </c>
      <c r="Y19" s="49">
        <f t="shared" ca="1" si="42"/>
        <v>1.6249965581228198</v>
      </c>
      <c r="Z19" s="49">
        <f t="shared" ca="1" si="42"/>
        <v>1.8536649621748262</v>
      </c>
      <c r="AA19" s="49">
        <f t="shared" ca="1" si="42"/>
        <v>1.1992153903475038</v>
      </c>
      <c r="AB19" s="49">
        <f t="shared" ca="1" si="42"/>
        <v>1.9915571380889827</v>
      </c>
      <c r="AC19" s="49">
        <f t="shared" ca="1" si="42"/>
        <v>1.5203226115750157</v>
      </c>
      <c r="AD19" s="49">
        <f t="shared" ca="1" si="42"/>
        <v>1.1549426891919807</v>
      </c>
      <c r="AE19" s="49">
        <f t="shared" ca="1" si="42"/>
        <v>1.1116384309005398</v>
      </c>
      <c r="AF19" s="49">
        <f t="shared" ca="1" si="42"/>
        <v>1.2377598511366266</v>
      </c>
      <c r="AG19" s="49">
        <f t="shared" ca="1" si="42"/>
        <v>1.717091025947094</v>
      </c>
      <c r="AH19" s="49">
        <f t="shared" ca="1" si="42"/>
        <v>1.5545011112478351</v>
      </c>
      <c r="AI19" s="49">
        <f t="shared" ca="1" si="42"/>
        <v>1.7243005949233265</v>
      </c>
      <c r="AJ19" s="49">
        <f t="shared" ref="AJ19:BO19" ca="1" si="43">RAND()+1</f>
        <v>1.3372372804310202</v>
      </c>
      <c r="AK19" s="49">
        <f t="shared" ca="1" si="43"/>
        <v>1.7831285358122237</v>
      </c>
      <c r="AL19" s="49">
        <f t="shared" ca="1" si="43"/>
        <v>1.5704878953986705</v>
      </c>
      <c r="AM19" s="49">
        <f t="shared" ca="1" si="43"/>
        <v>1.46763332653796</v>
      </c>
      <c r="AN19" s="49">
        <f t="shared" ca="1" si="43"/>
        <v>1.0761149259266993</v>
      </c>
      <c r="AO19" s="49">
        <f t="shared" ca="1" si="43"/>
        <v>1.315116186065157</v>
      </c>
      <c r="AP19" s="49">
        <f t="shared" ca="1" si="43"/>
        <v>1.2946258487475877</v>
      </c>
      <c r="AQ19" s="49">
        <f t="shared" ca="1" si="43"/>
        <v>1.9112652639252734</v>
      </c>
      <c r="AR19" s="49">
        <f t="shared" ca="1" si="43"/>
        <v>1.3323987131758492</v>
      </c>
      <c r="AS19" s="49">
        <f t="shared" ca="1" si="43"/>
        <v>1.0736629855561288</v>
      </c>
      <c r="AT19" s="49">
        <f t="shared" ca="1" si="43"/>
        <v>1.5804026455726992</v>
      </c>
      <c r="AU19" s="49">
        <f t="shared" ca="1" si="43"/>
        <v>1.1265920189063636</v>
      </c>
      <c r="AV19" s="49">
        <f t="shared" ca="1" si="43"/>
        <v>1.3075936812321018</v>
      </c>
      <c r="AW19" s="49">
        <f t="shared" ca="1" si="43"/>
        <v>1.092365692881671</v>
      </c>
      <c r="AX19" s="49">
        <f t="shared" ca="1" si="43"/>
        <v>1.5128711002505979</v>
      </c>
      <c r="AY19" s="49">
        <f t="shared" ca="1" si="43"/>
        <v>1.2002211170702188</v>
      </c>
      <c r="AZ19" s="49">
        <f t="shared" ca="1" si="43"/>
        <v>1.6875821027537108</v>
      </c>
      <c r="BA19" s="49">
        <f t="shared" ca="1" si="43"/>
        <v>1.1603128827641496</v>
      </c>
      <c r="BB19" s="49">
        <f t="shared" ca="1" si="43"/>
        <v>1.7581918627981981</v>
      </c>
      <c r="BC19" s="49">
        <f t="shared" ca="1" si="43"/>
        <v>1.1081804005975622</v>
      </c>
      <c r="BD19" s="49">
        <f t="shared" ca="1" si="43"/>
        <v>1.6793699806347908</v>
      </c>
      <c r="BE19" s="49">
        <f t="shared" ca="1" si="43"/>
        <v>1.4491939103307256</v>
      </c>
      <c r="BF19" s="49">
        <f t="shared" ca="1" si="43"/>
        <v>1.2547521089976827</v>
      </c>
      <c r="BG19" s="49">
        <f t="shared" ca="1" si="43"/>
        <v>1.6648262458114684</v>
      </c>
      <c r="BH19" s="49">
        <f t="shared" ca="1" si="43"/>
        <v>1.8055843087728989</v>
      </c>
      <c r="BI19" s="49">
        <f t="shared" ca="1" si="43"/>
        <v>1.8053180079798765</v>
      </c>
      <c r="BJ19" s="49">
        <f t="shared" ca="1" si="43"/>
        <v>1.9350297902642848</v>
      </c>
      <c r="BK19" s="49">
        <f t="shared" ca="1" si="43"/>
        <v>1.2000988533341994</v>
      </c>
      <c r="BL19" s="49">
        <f t="shared" ca="1" si="43"/>
        <v>1.4601375797805942</v>
      </c>
      <c r="BM19" s="49">
        <f t="shared" ca="1" si="43"/>
        <v>1.691067226652095</v>
      </c>
      <c r="BN19" s="49">
        <f t="shared" ca="1" si="43"/>
        <v>1.1987428768072665</v>
      </c>
      <c r="BO19" s="49">
        <f t="shared" ca="1" si="43"/>
        <v>1.4944113150742822</v>
      </c>
      <c r="BP19" s="49">
        <f t="shared" ref="BP19:CU19" ca="1" si="44">RAND()+1</f>
        <v>1.6721225333067624</v>
      </c>
      <c r="BQ19" s="49">
        <f t="shared" ca="1" si="44"/>
        <v>1.184923478708515</v>
      </c>
      <c r="BR19" s="49">
        <f t="shared" ca="1" si="44"/>
        <v>1.5419267066223661</v>
      </c>
      <c r="BS19" s="49">
        <f t="shared" ca="1" si="44"/>
        <v>1.8524753826946907</v>
      </c>
      <c r="BT19" s="49">
        <f t="shared" ca="1" si="44"/>
        <v>1.0323444396806343</v>
      </c>
      <c r="BU19" s="49">
        <f t="shared" ca="1" si="44"/>
        <v>1.5851794854275081</v>
      </c>
      <c r="BV19" s="49">
        <f t="shared" ca="1" si="44"/>
        <v>1.6850886256385258</v>
      </c>
      <c r="BW19" s="49">
        <f t="shared" ca="1" si="44"/>
        <v>1.1595707090564642</v>
      </c>
      <c r="BX19" s="49">
        <f t="shared" ca="1" si="44"/>
        <v>1.53655761114463</v>
      </c>
      <c r="BY19" s="49">
        <f t="shared" ca="1" si="44"/>
        <v>1.5985215152551175</v>
      </c>
      <c r="BZ19" s="49">
        <f t="shared" ca="1" si="44"/>
        <v>1.2424307669313734</v>
      </c>
      <c r="CA19" s="49">
        <f t="shared" ca="1" si="44"/>
        <v>1.123410667951944</v>
      </c>
      <c r="CB19" s="49">
        <f t="shared" ca="1" si="44"/>
        <v>1.1928899842303748</v>
      </c>
      <c r="CC19" s="49">
        <f t="shared" ca="1" si="44"/>
        <v>1.8290447084862014</v>
      </c>
      <c r="CD19" s="49">
        <f t="shared" ca="1" si="44"/>
        <v>1.054851764643312</v>
      </c>
      <c r="CE19" s="49">
        <f t="shared" ca="1" si="44"/>
        <v>1.7471144614545433</v>
      </c>
      <c r="CF19" s="49">
        <f t="shared" ca="1" si="44"/>
        <v>1.724610746287373</v>
      </c>
      <c r="CG19" s="49">
        <f t="shared" ca="1" si="44"/>
        <v>1.571481109098285</v>
      </c>
      <c r="CH19" s="49">
        <f t="shared" ca="1" si="44"/>
        <v>1.4013272185981258</v>
      </c>
      <c r="CI19" s="49">
        <f t="shared" ca="1" si="44"/>
        <v>1.3912187592433303</v>
      </c>
      <c r="CJ19" s="49">
        <f t="shared" ca="1" si="44"/>
        <v>1.9931267049352814</v>
      </c>
      <c r="CK19" s="49">
        <f t="shared" ca="1" si="44"/>
        <v>1.401139866643041</v>
      </c>
      <c r="CL19" s="49">
        <f t="shared" ca="1" si="44"/>
        <v>1.0704796214234849</v>
      </c>
      <c r="CM19" s="49">
        <f t="shared" ca="1" si="44"/>
        <v>1.7432475438018356</v>
      </c>
      <c r="CN19" s="49">
        <f t="shared" ca="1" si="44"/>
        <v>1.8065706110131132</v>
      </c>
      <c r="CO19" s="49">
        <f t="shared" ca="1" si="44"/>
        <v>1.1602811987869586</v>
      </c>
      <c r="CP19" s="49">
        <f t="shared" ca="1" si="44"/>
        <v>1.0782539746880198</v>
      </c>
      <c r="CQ19" s="49">
        <f t="shared" ca="1" si="44"/>
        <v>1.1183543090415791</v>
      </c>
      <c r="CR19" s="49">
        <f t="shared" ca="1" si="44"/>
        <v>1.4307272597818921</v>
      </c>
      <c r="CS19" s="49">
        <f t="shared" ca="1" si="44"/>
        <v>1.2309980149514788</v>
      </c>
      <c r="CT19" s="49">
        <f t="shared" ca="1" si="44"/>
        <v>1.868061275118674</v>
      </c>
      <c r="CU19" s="49">
        <f t="shared" ca="1" si="44"/>
        <v>1.7176905351581992</v>
      </c>
      <c r="CV19" s="49">
        <f t="shared" ref="CV19:EE19" ca="1" si="45">RAND()+1</f>
        <v>1.3578959620198801</v>
      </c>
      <c r="CW19" s="49">
        <f t="shared" ca="1" si="45"/>
        <v>1.6360123560003368</v>
      </c>
      <c r="CX19" s="49">
        <f t="shared" ca="1" si="45"/>
        <v>1.7791235150736617</v>
      </c>
      <c r="CY19" s="49">
        <f t="shared" ca="1" si="45"/>
        <v>1.3691616024726165</v>
      </c>
      <c r="CZ19" s="49">
        <f t="shared" ca="1" si="45"/>
        <v>1.2326194403280397</v>
      </c>
      <c r="DA19" s="49">
        <f t="shared" ca="1" si="45"/>
        <v>1.783099329772674</v>
      </c>
      <c r="DB19" s="49">
        <f t="shared" ca="1" si="45"/>
        <v>1.3747126718460025</v>
      </c>
      <c r="DC19" s="49">
        <f t="shared" ca="1" si="45"/>
        <v>1.717751058804458</v>
      </c>
      <c r="DD19" s="49">
        <f t="shared" ca="1" si="45"/>
        <v>1.1290355157980678</v>
      </c>
      <c r="DE19" s="49">
        <f t="shared" ca="1" si="45"/>
        <v>1.0470869048467424</v>
      </c>
      <c r="DF19" s="49">
        <f t="shared" ca="1" si="45"/>
        <v>1.9407429052189991</v>
      </c>
      <c r="DG19" s="49">
        <f t="shared" ca="1" si="45"/>
        <v>1.7782040917307893</v>
      </c>
      <c r="DH19" s="49">
        <f t="shared" ca="1" si="45"/>
        <v>1.928001874089242</v>
      </c>
      <c r="DI19" s="49">
        <f t="shared" ca="1" si="45"/>
        <v>1.5580725245114784</v>
      </c>
      <c r="DJ19" s="49">
        <f t="shared" ca="1" si="45"/>
        <v>1.8892301617122162</v>
      </c>
      <c r="DK19" s="49">
        <f t="shared" ca="1" si="45"/>
        <v>1.445014508347132</v>
      </c>
      <c r="DL19" s="49">
        <f t="shared" ca="1" si="45"/>
        <v>1.2227952639799762</v>
      </c>
      <c r="DM19" s="49">
        <f t="shared" ca="1" si="45"/>
        <v>1.7450081308750707</v>
      </c>
      <c r="DN19" s="49">
        <f t="shared" ca="1" si="45"/>
        <v>1.7291707148727022</v>
      </c>
      <c r="DO19" s="49">
        <f t="shared" ca="1" si="45"/>
        <v>1.4080291158698091</v>
      </c>
      <c r="DP19" s="49">
        <f t="shared" ca="1" si="45"/>
        <v>1.4013179028101317</v>
      </c>
      <c r="DQ19" s="49">
        <f t="shared" ca="1" si="45"/>
        <v>1.1754389284473925</v>
      </c>
      <c r="DR19" s="49">
        <f t="shared" ca="1" si="45"/>
        <v>1.5247436210194381</v>
      </c>
      <c r="DS19" s="49">
        <f t="shared" ca="1" si="45"/>
        <v>1.9662919113004986</v>
      </c>
      <c r="DT19" s="49">
        <f t="shared" ca="1" si="45"/>
        <v>1.0887764199059196</v>
      </c>
      <c r="DU19" s="49">
        <f t="shared" ca="1" si="45"/>
        <v>1.977445098702626</v>
      </c>
      <c r="DV19" s="49">
        <f t="shared" ca="1" si="45"/>
        <v>1.5036887474151459</v>
      </c>
      <c r="DW19" s="49">
        <f t="shared" ca="1" si="45"/>
        <v>1.5738423743877061</v>
      </c>
      <c r="DX19" s="49">
        <f t="shared" ca="1" si="45"/>
        <v>1.404951668190326</v>
      </c>
      <c r="DY19" s="49">
        <f t="shared" ca="1" si="45"/>
        <v>1.0045126298588267</v>
      </c>
      <c r="DZ19" s="49">
        <f t="shared" ca="1" si="45"/>
        <v>1.2307530244241065</v>
      </c>
      <c r="EA19" s="49">
        <f t="shared" ca="1" si="45"/>
        <v>1.0655260990534638</v>
      </c>
      <c r="EB19" s="49">
        <f t="shared" ca="1" si="45"/>
        <v>1.790805792454691</v>
      </c>
      <c r="EC19" s="49">
        <f t="shared" ca="1" si="45"/>
        <v>1.9637952406556609</v>
      </c>
      <c r="ED19" s="49">
        <f t="shared" ca="1" si="45"/>
        <v>1.2363941463782049</v>
      </c>
      <c r="EE19" s="49">
        <f t="shared" ca="1" si="45"/>
        <v>1.9681340052982423</v>
      </c>
    </row>
    <row r="20" spans="1:135" x14ac:dyDescent="0.4">
      <c r="A20" s="29" t="str">
        <f t="shared" si="7"/>
        <v>KPI ID 13</v>
      </c>
      <c r="B20" s="47" t="s">
        <v>61</v>
      </c>
      <c r="C20" s="48" t="s">
        <v>28</v>
      </c>
      <c r="D20" s="49">
        <f t="shared" ref="D20:AI20" ca="1" si="46">RANDBETWEEN(6, 10)+1.245</f>
        <v>11.245000000000001</v>
      </c>
      <c r="E20" s="49">
        <f t="shared" ca="1" si="46"/>
        <v>7.2450000000000001</v>
      </c>
      <c r="F20" s="49">
        <f t="shared" ca="1" si="46"/>
        <v>7.2450000000000001</v>
      </c>
      <c r="G20" s="49">
        <f t="shared" ca="1" si="46"/>
        <v>9.245000000000001</v>
      </c>
      <c r="H20" s="49">
        <f t="shared" ca="1" si="46"/>
        <v>7.2450000000000001</v>
      </c>
      <c r="I20" s="49">
        <f t="shared" ca="1" si="46"/>
        <v>10.245000000000001</v>
      </c>
      <c r="J20" s="49">
        <f t="shared" ca="1" si="46"/>
        <v>10.245000000000001</v>
      </c>
      <c r="K20" s="49">
        <f t="shared" ca="1" si="46"/>
        <v>11.245000000000001</v>
      </c>
      <c r="L20" s="49">
        <f t="shared" ca="1" si="46"/>
        <v>7.2450000000000001</v>
      </c>
      <c r="M20" s="49">
        <f t="shared" ca="1" si="46"/>
        <v>11.245000000000001</v>
      </c>
      <c r="N20" s="49">
        <f t="shared" ca="1" si="46"/>
        <v>11.245000000000001</v>
      </c>
      <c r="O20" s="49">
        <f t="shared" ca="1" si="46"/>
        <v>8.245000000000001</v>
      </c>
      <c r="P20" s="49">
        <f t="shared" ca="1" si="46"/>
        <v>9.245000000000001</v>
      </c>
      <c r="Q20" s="49">
        <f t="shared" ca="1" si="46"/>
        <v>10.245000000000001</v>
      </c>
      <c r="R20" s="49">
        <f t="shared" ca="1" si="46"/>
        <v>10.245000000000001</v>
      </c>
      <c r="S20" s="49">
        <f t="shared" ca="1" si="46"/>
        <v>11.245000000000001</v>
      </c>
      <c r="T20" s="49">
        <f t="shared" ca="1" si="46"/>
        <v>7.2450000000000001</v>
      </c>
      <c r="U20" s="49">
        <f t="shared" ca="1" si="46"/>
        <v>9.245000000000001</v>
      </c>
      <c r="V20" s="49">
        <f t="shared" ca="1" si="46"/>
        <v>8.245000000000001</v>
      </c>
      <c r="W20" s="49">
        <f t="shared" ca="1" si="46"/>
        <v>10.245000000000001</v>
      </c>
      <c r="X20" s="49">
        <f t="shared" ca="1" si="46"/>
        <v>11.245000000000001</v>
      </c>
      <c r="Y20" s="49">
        <f t="shared" ca="1" si="46"/>
        <v>8.245000000000001</v>
      </c>
      <c r="Z20" s="49">
        <f t="shared" ca="1" si="46"/>
        <v>9.245000000000001</v>
      </c>
      <c r="AA20" s="49">
        <f t="shared" ca="1" si="46"/>
        <v>8.245000000000001</v>
      </c>
      <c r="AB20" s="49">
        <f t="shared" ca="1" si="46"/>
        <v>7.2450000000000001</v>
      </c>
      <c r="AC20" s="49">
        <f t="shared" ca="1" si="46"/>
        <v>9.245000000000001</v>
      </c>
      <c r="AD20" s="49">
        <f t="shared" ca="1" si="46"/>
        <v>11.245000000000001</v>
      </c>
      <c r="AE20" s="49">
        <f t="shared" ca="1" si="46"/>
        <v>8.245000000000001</v>
      </c>
      <c r="AF20" s="49">
        <f t="shared" ca="1" si="46"/>
        <v>7.2450000000000001</v>
      </c>
      <c r="AG20" s="49">
        <f t="shared" ca="1" si="46"/>
        <v>10.245000000000001</v>
      </c>
      <c r="AH20" s="49">
        <f t="shared" ca="1" si="46"/>
        <v>8.245000000000001</v>
      </c>
      <c r="AI20" s="49">
        <f t="shared" ca="1" si="46"/>
        <v>10.245000000000001</v>
      </c>
      <c r="AJ20" s="49">
        <f t="shared" ref="AJ20:BO20" ca="1" si="47">RANDBETWEEN(6, 10)+1.245</f>
        <v>9.245000000000001</v>
      </c>
      <c r="AK20" s="49">
        <f t="shared" ca="1" si="47"/>
        <v>8.245000000000001</v>
      </c>
      <c r="AL20" s="49">
        <f t="shared" ca="1" si="47"/>
        <v>8.245000000000001</v>
      </c>
      <c r="AM20" s="49">
        <f t="shared" ca="1" si="47"/>
        <v>8.245000000000001</v>
      </c>
      <c r="AN20" s="49">
        <f t="shared" ca="1" si="47"/>
        <v>7.2450000000000001</v>
      </c>
      <c r="AO20" s="49">
        <f t="shared" ca="1" si="47"/>
        <v>9.245000000000001</v>
      </c>
      <c r="AP20" s="49">
        <f t="shared" ca="1" si="47"/>
        <v>9.245000000000001</v>
      </c>
      <c r="AQ20" s="49">
        <f t="shared" ca="1" si="47"/>
        <v>10.245000000000001</v>
      </c>
      <c r="AR20" s="49">
        <f t="shared" ca="1" si="47"/>
        <v>8.245000000000001</v>
      </c>
      <c r="AS20" s="49">
        <f t="shared" ca="1" si="47"/>
        <v>9.245000000000001</v>
      </c>
      <c r="AT20" s="49">
        <f t="shared" ca="1" si="47"/>
        <v>10.245000000000001</v>
      </c>
      <c r="AU20" s="49">
        <f t="shared" ca="1" si="47"/>
        <v>8.245000000000001</v>
      </c>
      <c r="AV20" s="49">
        <f t="shared" ca="1" si="47"/>
        <v>10.245000000000001</v>
      </c>
      <c r="AW20" s="49">
        <f t="shared" ca="1" si="47"/>
        <v>7.2450000000000001</v>
      </c>
      <c r="AX20" s="49">
        <f t="shared" ca="1" si="47"/>
        <v>11.245000000000001</v>
      </c>
      <c r="AY20" s="49">
        <f t="shared" ca="1" si="47"/>
        <v>10.245000000000001</v>
      </c>
      <c r="AZ20" s="49">
        <f t="shared" ca="1" si="47"/>
        <v>10.245000000000001</v>
      </c>
      <c r="BA20" s="49">
        <f t="shared" ca="1" si="47"/>
        <v>8.245000000000001</v>
      </c>
      <c r="BB20" s="49">
        <f t="shared" ca="1" si="47"/>
        <v>11.245000000000001</v>
      </c>
      <c r="BC20" s="49">
        <f t="shared" ca="1" si="47"/>
        <v>7.2450000000000001</v>
      </c>
      <c r="BD20" s="49">
        <f t="shared" ca="1" si="47"/>
        <v>9.245000000000001</v>
      </c>
      <c r="BE20" s="49">
        <f t="shared" ca="1" si="47"/>
        <v>8.245000000000001</v>
      </c>
      <c r="BF20" s="49">
        <f t="shared" ca="1" si="47"/>
        <v>9.245000000000001</v>
      </c>
      <c r="BG20" s="49">
        <f t="shared" ca="1" si="47"/>
        <v>9.245000000000001</v>
      </c>
      <c r="BH20" s="49">
        <f t="shared" ca="1" si="47"/>
        <v>9.245000000000001</v>
      </c>
      <c r="BI20" s="49">
        <f t="shared" ca="1" si="47"/>
        <v>7.2450000000000001</v>
      </c>
      <c r="BJ20" s="49">
        <f t="shared" ca="1" si="47"/>
        <v>11.245000000000001</v>
      </c>
      <c r="BK20" s="49">
        <f t="shared" ca="1" si="47"/>
        <v>7.2450000000000001</v>
      </c>
      <c r="BL20" s="49">
        <f t="shared" ca="1" si="47"/>
        <v>7.2450000000000001</v>
      </c>
      <c r="BM20" s="49">
        <f t="shared" ca="1" si="47"/>
        <v>11.245000000000001</v>
      </c>
      <c r="BN20" s="49">
        <f t="shared" ca="1" si="47"/>
        <v>10.245000000000001</v>
      </c>
      <c r="BO20" s="49">
        <f t="shared" ca="1" si="47"/>
        <v>7.2450000000000001</v>
      </c>
      <c r="BP20" s="49">
        <f t="shared" ref="BP20:CU20" ca="1" si="48">RANDBETWEEN(6, 10)+1.245</f>
        <v>7.2450000000000001</v>
      </c>
      <c r="BQ20" s="49">
        <f t="shared" ca="1" si="48"/>
        <v>7.2450000000000001</v>
      </c>
      <c r="BR20" s="49">
        <f t="shared" ca="1" si="48"/>
        <v>7.2450000000000001</v>
      </c>
      <c r="BS20" s="49">
        <f t="shared" ca="1" si="48"/>
        <v>7.2450000000000001</v>
      </c>
      <c r="BT20" s="49">
        <f t="shared" ca="1" si="48"/>
        <v>9.245000000000001</v>
      </c>
      <c r="BU20" s="49">
        <f t="shared" ca="1" si="48"/>
        <v>9.245000000000001</v>
      </c>
      <c r="BV20" s="49">
        <f t="shared" ca="1" si="48"/>
        <v>10.245000000000001</v>
      </c>
      <c r="BW20" s="49">
        <f t="shared" ca="1" si="48"/>
        <v>8.245000000000001</v>
      </c>
      <c r="BX20" s="49">
        <f t="shared" ca="1" si="48"/>
        <v>10.245000000000001</v>
      </c>
      <c r="BY20" s="49">
        <f t="shared" ca="1" si="48"/>
        <v>7.2450000000000001</v>
      </c>
      <c r="BZ20" s="49">
        <f t="shared" ca="1" si="48"/>
        <v>10.245000000000001</v>
      </c>
      <c r="CA20" s="49">
        <f t="shared" ca="1" si="48"/>
        <v>8.245000000000001</v>
      </c>
      <c r="CB20" s="49">
        <f t="shared" ca="1" si="48"/>
        <v>9.245000000000001</v>
      </c>
      <c r="CC20" s="49">
        <f t="shared" ca="1" si="48"/>
        <v>9.245000000000001</v>
      </c>
      <c r="CD20" s="49">
        <f t="shared" ca="1" si="48"/>
        <v>8.245000000000001</v>
      </c>
      <c r="CE20" s="49">
        <f t="shared" ca="1" si="48"/>
        <v>8.245000000000001</v>
      </c>
      <c r="CF20" s="49">
        <f t="shared" ca="1" si="48"/>
        <v>7.2450000000000001</v>
      </c>
      <c r="CG20" s="49">
        <f t="shared" ca="1" si="48"/>
        <v>8.245000000000001</v>
      </c>
      <c r="CH20" s="49">
        <f t="shared" ca="1" si="48"/>
        <v>11.245000000000001</v>
      </c>
      <c r="CI20" s="49">
        <f t="shared" ca="1" si="48"/>
        <v>7.2450000000000001</v>
      </c>
      <c r="CJ20" s="49">
        <f t="shared" ca="1" si="48"/>
        <v>11.245000000000001</v>
      </c>
      <c r="CK20" s="49">
        <f t="shared" ca="1" si="48"/>
        <v>7.2450000000000001</v>
      </c>
      <c r="CL20" s="49">
        <f t="shared" ca="1" si="48"/>
        <v>8.245000000000001</v>
      </c>
      <c r="CM20" s="49">
        <f t="shared" ca="1" si="48"/>
        <v>10.245000000000001</v>
      </c>
      <c r="CN20" s="49">
        <f t="shared" ca="1" si="48"/>
        <v>7.2450000000000001</v>
      </c>
      <c r="CO20" s="49">
        <f t="shared" ca="1" si="48"/>
        <v>7.2450000000000001</v>
      </c>
      <c r="CP20" s="49">
        <f t="shared" ca="1" si="48"/>
        <v>8.245000000000001</v>
      </c>
      <c r="CQ20" s="49">
        <f t="shared" ca="1" si="48"/>
        <v>9.245000000000001</v>
      </c>
      <c r="CR20" s="49">
        <f t="shared" ca="1" si="48"/>
        <v>7.2450000000000001</v>
      </c>
      <c r="CS20" s="49">
        <f t="shared" ca="1" si="48"/>
        <v>7.2450000000000001</v>
      </c>
      <c r="CT20" s="49">
        <f t="shared" ca="1" si="48"/>
        <v>10.245000000000001</v>
      </c>
      <c r="CU20" s="49">
        <f t="shared" ca="1" si="48"/>
        <v>8.245000000000001</v>
      </c>
      <c r="CV20" s="49">
        <f t="shared" ref="CV20:EE20" ca="1" si="49">RANDBETWEEN(6, 10)+1.245</f>
        <v>7.2450000000000001</v>
      </c>
      <c r="CW20" s="49">
        <f t="shared" ca="1" si="49"/>
        <v>7.2450000000000001</v>
      </c>
      <c r="CX20" s="49">
        <f t="shared" ca="1" si="49"/>
        <v>10.245000000000001</v>
      </c>
      <c r="CY20" s="49">
        <f t="shared" ca="1" si="49"/>
        <v>9.245000000000001</v>
      </c>
      <c r="CZ20" s="49">
        <f t="shared" ca="1" si="49"/>
        <v>7.2450000000000001</v>
      </c>
      <c r="DA20" s="49">
        <f t="shared" ca="1" si="49"/>
        <v>9.245000000000001</v>
      </c>
      <c r="DB20" s="49">
        <f t="shared" ca="1" si="49"/>
        <v>8.245000000000001</v>
      </c>
      <c r="DC20" s="49">
        <f t="shared" ca="1" si="49"/>
        <v>10.245000000000001</v>
      </c>
      <c r="DD20" s="49">
        <f t="shared" ca="1" si="49"/>
        <v>11.245000000000001</v>
      </c>
      <c r="DE20" s="49">
        <f t="shared" ca="1" si="49"/>
        <v>9.245000000000001</v>
      </c>
      <c r="DF20" s="49">
        <f t="shared" ca="1" si="49"/>
        <v>11.245000000000001</v>
      </c>
      <c r="DG20" s="49">
        <f t="shared" ca="1" si="49"/>
        <v>7.2450000000000001</v>
      </c>
      <c r="DH20" s="49">
        <f t="shared" ca="1" si="49"/>
        <v>7.2450000000000001</v>
      </c>
      <c r="DI20" s="49">
        <f t="shared" ca="1" si="49"/>
        <v>8.245000000000001</v>
      </c>
      <c r="DJ20" s="49">
        <f t="shared" ca="1" si="49"/>
        <v>8.245000000000001</v>
      </c>
      <c r="DK20" s="49">
        <f t="shared" ca="1" si="49"/>
        <v>7.2450000000000001</v>
      </c>
      <c r="DL20" s="49">
        <f t="shared" ca="1" si="49"/>
        <v>7.2450000000000001</v>
      </c>
      <c r="DM20" s="49">
        <f t="shared" ca="1" si="49"/>
        <v>8.245000000000001</v>
      </c>
      <c r="DN20" s="49">
        <f t="shared" ca="1" si="49"/>
        <v>7.2450000000000001</v>
      </c>
      <c r="DO20" s="49">
        <f t="shared" ca="1" si="49"/>
        <v>10.245000000000001</v>
      </c>
      <c r="DP20" s="49">
        <f t="shared" ca="1" si="49"/>
        <v>8.245000000000001</v>
      </c>
      <c r="DQ20" s="49">
        <f t="shared" ca="1" si="49"/>
        <v>8.245000000000001</v>
      </c>
      <c r="DR20" s="49">
        <f t="shared" ca="1" si="49"/>
        <v>9.245000000000001</v>
      </c>
      <c r="DS20" s="49">
        <f t="shared" ca="1" si="49"/>
        <v>10.245000000000001</v>
      </c>
      <c r="DT20" s="49">
        <f t="shared" ca="1" si="49"/>
        <v>7.2450000000000001</v>
      </c>
      <c r="DU20" s="49">
        <f t="shared" ca="1" si="49"/>
        <v>8.245000000000001</v>
      </c>
      <c r="DV20" s="49">
        <f t="shared" ca="1" si="49"/>
        <v>8.245000000000001</v>
      </c>
      <c r="DW20" s="49">
        <f t="shared" ca="1" si="49"/>
        <v>10.245000000000001</v>
      </c>
      <c r="DX20" s="49">
        <f t="shared" ca="1" si="49"/>
        <v>10.245000000000001</v>
      </c>
      <c r="DY20" s="49">
        <f t="shared" ca="1" si="49"/>
        <v>8.245000000000001</v>
      </c>
      <c r="DZ20" s="49">
        <f t="shared" ca="1" si="49"/>
        <v>8.245000000000001</v>
      </c>
      <c r="EA20" s="49">
        <f t="shared" ca="1" si="49"/>
        <v>9.245000000000001</v>
      </c>
      <c r="EB20" s="49">
        <f t="shared" ca="1" si="49"/>
        <v>7.2450000000000001</v>
      </c>
      <c r="EC20" s="49">
        <f t="shared" ca="1" si="49"/>
        <v>9.245000000000001</v>
      </c>
      <c r="ED20" s="49">
        <f t="shared" ca="1" si="49"/>
        <v>8.245000000000001</v>
      </c>
      <c r="EE20" s="49">
        <f t="shared" ca="1" si="49"/>
        <v>11.245000000000001</v>
      </c>
    </row>
    <row r="21" spans="1:135" x14ac:dyDescent="0.4">
      <c r="A21" s="29" t="str">
        <f t="shared" si="7"/>
        <v>KPI ID 14</v>
      </c>
      <c r="B21" s="47" t="s">
        <v>63</v>
      </c>
      <c r="C21" s="48" t="s">
        <v>29</v>
      </c>
      <c r="D21" s="49">
        <f t="shared" ref="D21:AI21" ca="1" si="50">RANDBETWEEN(300, 440)+1.245</f>
        <v>416.245</v>
      </c>
      <c r="E21" s="49">
        <f t="shared" ca="1" si="50"/>
        <v>337.245</v>
      </c>
      <c r="F21" s="49">
        <f t="shared" ca="1" si="50"/>
        <v>337.245</v>
      </c>
      <c r="G21" s="49">
        <f t="shared" ca="1" si="50"/>
        <v>308.245</v>
      </c>
      <c r="H21" s="49">
        <f t="shared" ca="1" si="50"/>
        <v>338.245</v>
      </c>
      <c r="I21" s="49">
        <f t="shared" ca="1" si="50"/>
        <v>357.245</v>
      </c>
      <c r="J21" s="49">
        <f t="shared" ca="1" si="50"/>
        <v>372.245</v>
      </c>
      <c r="K21" s="49">
        <f t="shared" ca="1" si="50"/>
        <v>399.245</v>
      </c>
      <c r="L21" s="49">
        <f t="shared" ca="1" si="50"/>
        <v>384.245</v>
      </c>
      <c r="M21" s="49">
        <f t="shared" ca="1" si="50"/>
        <v>347.245</v>
      </c>
      <c r="N21" s="49">
        <f t="shared" ca="1" si="50"/>
        <v>360.245</v>
      </c>
      <c r="O21" s="49">
        <f t="shared" ca="1" si="50"/>
        <v>416.245</v>
      </c>
      <c r="P21" s="49">
        <f t="shared" ca="1" si="50"/>
        <v>410.245</v>
      </c>
      <c r="Q21" s="49">
        <f t="shared" ca="1" si="50"/>
        <v>392.245</v>
      </c>
      <c r="R21" s="49">
        <f t="shared" ca="1" si="50"/>
        <v>303.245</v>
      </c>
      <c r="S21" s="49">
        <f t="shared" ca="1" si="50"/>
        <v>334.245</v>
      </c>
      <c r="T21" s="49">
        <f t="shared" ca="1" si="50"/>
        <v>403.245</v>
      </c>
      <c r="U21" s="49">
        <f t="shared" ca="1" si="50"/>
        <v>393.245</v>
      </c>
      <c r="V21" s="49">
        <f t="shared" ca="1" si="50"/>
        <v>361.245</v>
      </c>
      <c r="W21" s="49">
        <f t="shared" ca="1" si="50"/>
        <v>384.245</v>
      </c>
      <c r="X21" s="49">
        <f t="shared" ca="1" si="50"/>
        <v>335.245</v>
      </c>
      <c r="Y21" s="49">
        <f t="shared" ca="1" si="50"/>
        <v>433.245</v>
      </c>
      <c r="Z21" s="49">
        <f t="shared" ca="1" si="50"/>
        <v>301.245</v>
      </c>
      <c r="AA21" s="49">
        <f t="shared" ca="1" si="50"/>
        <v>351.245</v>
      </c>
      <c r="AB21" s="49">
        <f t="shared" ca="1" si="50"/>
        <v>403.245</v>
      </c>
      <c r="AC21" s="49">
        <f t="shared" ca="1" si="50"/>
        <v>426.245</v>
      </c>
      <c r="AD21" s="49">
        <f t="shared" ca="1" si="50"/>
        <v>430.245</v>
      </c>
      <c r="AE21" s="49">
        <f t="shared" ca="1" si="50"/>
        <v>424.245</v>
      </c>
      <c r="AF21" s="49">
        <f t="shared" ca="1" si="50"/>
        <v>371.245</v>
      </c>
      <c r="AG21" s="49">
        <f t="shared" ca="1" si="50"/>
        <v>326.245</v>
      </c>
      <c r="AH21" s="49">
        <f t="shared" ca="1" si="50"/>
        <v>335.245</v>
      </c>
      <c r="AI21" s="49">
        <f t="shared" ca="1" si="50"/>
        <v>397.245</v>
      </c>
      <c r="AJ21" s="49">
        <f t="shared" ref="AJ21:BO21" ca="1" si="51">RANDBETWEEN(300, 440)+1.245</f>
        <v>322.245</v>
      </c>
      <c r="AK21" s="49">
        <f t="shared" ca="1" si="51"/>
        <v>397.245</v>
      </c>
      <c r="AL21" s="49">
        <f t="shared" ca="1" si="51"/>
        <v>338.245</v>
      </c>
      <c r="AM21" s="49">
        <f t="shared" ca="1" si="51"/>
        <v>414.245</v>
      </c>
      <c r="AN21" s="49">
        <f t="shared" ca="1" si="51"/>
        <v>334.245</v>
      </c>
      <c r="AO21" s="49">
        <f t="shared" ca="1" si="51"/>
        <v>341.245</v>
      </c>
      <c r="AP21" s="49">
        <f t="shared" ca="1" si="51"/>
        <v>335.245</v>
      </c>
      <c r="AQ21" s="49">
        <f t="shared" ca="1" si="51"/>
        <v>378.245</v>
      </c>
      <c r="AR21" s="49">
        <f t="shared" ca="1" si="51"/>
        <v>433.245</v>
      </c>
      <c r="AS21" s="49">
        <f t="shared" ca="1" si="51"/>
        <v>365.245</v>
      </c>
      <c r="AT21" s="49">
        <f t="shared" ca="1" si="51"/>
        <v>302.245</v>
      </c>
      <c r="AU21" s="49">
        <f t="shared" ca="1" si="51"/>
        <v>415.245</v>
      </c>
      <c r="AV21" s="49">
        <f t="shared" ca="1" si="51"/>
        <v>350.245</v>
      </c>
      <c r="AW21" s="49">
        <f t="shared" ca="1" si="51"/>
        <v>421.245</v>
      </c>
      <c r="AX21" s="49">
        <f t="shared" ca="1" si="51"/>
        <v>375.245</v>
      </c>
      <c r="AY21" s="49">
        <f t="shared" ca="1" si="51"/>
        <v>425.245</v>
      </c>
      <c r="AZ21" s="49">
        <f t="shared" ca="1" si="51"/>
        <v>359.245</v>
      </c>
      <c r="BA21" s="49">
        <f t="shared" ca="1" si="51"/>
        <v>331.245</v>
      </c>
      <c r="BB21" s="49">
        <f t="shared" ca="1" si="51"/>
        <v>303.245</v>
      </c>
      <c r="BC21" s="49">
        <f t="shared" ca="1" si="51"/>
        <v>309.245</v>
      </c>
      <c r="BD21" s="49">
        <f t="shared" ca="1" si="51"/>
        <v>322.245</v>
      </c>
      <c r="BE21" s="49">
        <f t="shared" ca="1" si="51"/>
        <v>412.245</v>
      </c>
      <c r="BF21" s="49">
        <f t="shared" ca="1" si="51"/>
        <v>339.245</v>
      </c>
      <c r="BG21" s="49">
        <f t="shared" ca="1" si="51"/>
        <v>336.245</v>
      </c>
      <c r="BH21" s="49">
        <f t="shared" ca="1" si="51"/>
        <v>331.245</v>
      </c>
      <c r="BI21" s="49">
        <f t="shared" ca="1" si="51"/>
        <v>320.245</v>
      </c>
      <c r="BJ21" s="49">
        <f t="shared" ca="1" si="51"/>
        <v>401.245</v>
      </c>
      <c r="BK21" s="49">
        <f t="shared" ca="1" si="51"/>
        <v>317.245</v>
      </c>
      <c r="BL21" s="49">
        <f t="shared" ca="1" si="51"/>
        <v>401.245</v>
      </c>
      <c r="BM21" s="49">
        <f t="shared" ca="1" si="51"/>
        <v>419.245</v>
      </c>
      <c r="BN21" s="49">
        <f t="shared" ca="1" si="51"/>
        <v>355.245</v>
      </c>
      <c r="BO21" s="49">
        <f t="shared" ca="1" si="51"/>
        <v>352.245</v>
      </c>
      <c r="BP21" s="49">
        <f t="shared" ref="BP21:CU21" ca="1" si="52">RANDBETWEEN(300, 440)+1.245</f>
        <v>354.245</v>
      </c>
      <c r="BQ21" s="49">
        <f t="shared" ca="1" si="52"/>
        <v>341.245</v>
      </c>
      <c r="BR21" s="49">
        <f t="shared" ca="1" si="52"/>
        <v>422.245</v>
      </c>
      <c r="BS21" s="49">
        <f t="shared" ca="1" si="52"/>
        <v>303.245</v>
      </c>
      <c r="BT21" s="49">
        <f t="shared" ca="1" si="52"/>
        <v>304.245</v>
      </c>
      <c r="BU21" s="49">
        <f t="shared" ca="1" si="52"/>
        <v>410.245</v>
      </c>
      <c r="BV21" s="49">
        <f t="shared" ca="1" si="52"/>
        <v>355.245</v>
      </c>
      <c r="BW21" s="49">
        <f t="shared" ca="1" si="52"/>
        <v>425.245</v>
      </c>
      <c r="BX21" s="49">
        <f t="shared" ca="1" si="52"/>
        <v>371.245</v>
      </c>
      <c r="BY21" s="49">
        <f t="shared" ca="1" si="52"/>
        <v>337.245</v>
      </c>
      <c r="BZ21" s="49">
        <f t="shared" ca="1" si="52"/>
        <v>424.245</v>
      </c>
      <c r="CA21" s="49">
        <f t="shared" ca="1" si="52"/>
        <v>411.245</v>
      </c>
      <c r="CB21" s="49">
        <f t="shared" ca="1" si="52"/>
        <v>404.245</v>
      </c>
      <c r="CC21" s="49">
        <f t="shared" ca="1" si="52"/>
        <v>416.245</v>
      </c>
      <c r="CD21" s="49">
        <f t="shared" ca="1" si="52"/>
        <v>435.245</v>
      </c>
      <c r="CE21" s="49">
        <f t="shared" ca="1" si="52"/>
        <v>315.245</v>
      </c>
      <c r="CF21" s="49">
        <f t="shared" ca="1" si="52"/>
        <v>337.245</v>
      </c>
      <c r="CG21" s="49">
        <f t="shared" ca="1" si="52"/>
        <v>362.245</v>
      </c>
      <c r="CH21" s="49">
        <f t="shared" ca="1" si="52"/>
        <v>388.245</v>
      </c>
      <c r="CI21" s="49">
        <f t="shared" ca="1" si="52"/>
        <v>385.245</v>
      </c>
      <c r="CJ21" s="49">
        <f t="shared" ca="1" si="52"/>
        <v>303.245</v>
      </c>
      <c r="CK21" s="49">
        <f t="shared" ca="1" si="52"/>
        <v>378.245</v>
      </c>
      <c r="CL21" s="49">
        <f t="shared" ca="1" si="52"/>
        <v>370.245</v>
      </c>
      <c r="CM21" s="49">
        <f t="shared" ca="1" si="52"/>
        <v>409.245</v>
      </c>
      <c r="CN21" s="49">
        <f t="shared" ca="1" si="52"/>
        <v>362.245</v>
      </c>
      <c r="CO21" s="49">
        <f t="shared" ca="1" si="52"/>
        <v>329.245</v>
      </c>
      <c r="CP21" s="49">
        <f t="shared" ca="1" si="52"/>
        <v>314.245</v>
      </c>
      <c r="CQ21" s="49">
        <f t="shared" ca="1" si="52"/>
        <v>399.245</v>
      </c>
      <c r="CR21" s="49">
        <f t="shared" ca="1" si="52"/>
        <v>358.245</v>
      </c>
      <c r="CS21" s="49">
        <f t="shared" ca="1" si="52"/>
        <v>326.245</v>
      </c>
      <c r="CT21" s="49">
        <f t="shared" ca="1" si="52"/>
        <v>381.245</v>
      </c>
      <c r="CU21" s="49">
        <f t="shared" ca="1" si="52"/>
        <v>335.245</v>
      </c>
      <c r="CV21" s="49">
        <f t="shared" ref="CV21:EE21" ca="1" si="53">RANDBETWEEN(300, 440)+1.245</f>
        <v>359.245</v>
      </c>
      <c r="CW21" s="49">
        <f t="shared" ca="1" si="53"/>
        <v>333.245</v>
      </c>
      <c r="CX21" s="49">
        <f t="shared" ca="1" si="53"/>
        <v>363.245</v>
      </c>
      <c r="CY21" s="49">
        <f t="shared" ca="1" si="53"/>
        <v>358.245</v>
      </c>
      <c r="CZ21" s="49">
        <f t="shared" ca="1" si="53"/>
        <v>349.245</v>
      </c>
      <c r="DA21" s="49">
        <f t="shared" ca="1" si="53"/>
        <v>329.245</v>
      </c>
      <c r="DB21" s="49">
        <f t="shared" ca="1" si="53"/>
        <v>302.245</v>
      </c>
      <c r="DC21" s="49">
        <f t="shared" ca="1" si="53"/>
        <v>334.245</v>
      </c>
      <c r="DD21" s="49">
        <f t="shared" ca="1" si="53"/>
        <v>362.245</v>
      </c>
      <c r="DE21" s="49">
        <f t="shared" ca="1" si="53"/>
        <v>349.245</v>
      </c>
      <c r="DF21" s="49">
        <f t="shared" ca="1" si="53"/>
        <v>372.245</v>
      </c>
      <c r="DG21" s="49">
        <f t="shared" ca="1" si="53"/>
        <v>347.245</v>
      </c>
      <c r="DH21" s="49">
        <f t="shared" ca="1" si="53"/>
        <v>334.245</v>
      </c>
      <c r="DI21" s="49">
        <f t="shared" ca="1" si="53"/>
        <v>386.245</v>
      </c>
      <c r="DJ21" s="49">
        <f t="shared" ca="1" si="53"/>
        <v>436.245</v>
      </c>
      <c r="DK21" s="49">
        <f t="shared" ca="1" si="53"/>
        <v>391.245</v>
      </c>
      <c r="DL21" s="49">
        <f t="shared" ca="1" si="53"/>
        <v>417.245</v>
      </c>
      <c r="DM21" s="49">
        <f t="shared" ca="1" si="53"/>
        <v>359.245</v>
      </c>
      <c r="DN21" s="49">
        <f t="shared" ca="1" si="53"/>
        <v>314.245</v>
      </c>
      <c r="DO21" s="49">
        <f t="shared" ca="1" si="53"/>
        <v>361.245</v>
      </c>
      <c r="DP21" s="49">
        <f t="shared" ca="1" si="53"/>
        <v>387.245</v>
      </c>
      <c r="DQ21" s="49">
        <f t="shared" ca="1" si="53"/>
        <v>359.245</v>
      </c>
      <c r="DR21" s="49">
        <f t="shared" ca="1" si="53"/>
        <v>395.245</v>
      </c>
      <c r="DS21" s="49">
        <f t="shared" ca="1" si="53"/>
        <v>397.245</v>
      </c>
      <c r="DT21" s="49">
        <f t="shared" ca="1" si="53"/>
        <v>310.245</v>
      </c>
      <c r="DU21" s="49">
        <f t="shared" ca="1" si="53"/>
        <v>323.245</v>
      </c>
      <c r="DV21" s="49">
        <f t="shared" ca="1" si="53"/>
        <v>381.245</v>
      </c>
      <c r="DW21" s="49">
        <f t="shared" ca="1" si="53"/>
        <v>322.245</v>
      </c>
      <c r="DX21" s="49">
        <f t="shared" ca="1" si="53"/>
        <v>428.245</v>
      </c>
      <c r="DY21" s="49">
        <f t="shared" ca="1" si="53"/>
        <v>407.245</v>
      </c>
      <c r="DZ21" s="49">
        <f t="shared" ca="1" si="53"/>
        <v>335.245</v>
      </c>
      <c r="EA21" s="49">
        <f t="shared" ca="1" si="53"/>
        <v>431.245</v>
      </c>
      <c r="EB21" s="49">
        <f t="shared" ca="1" si="53"/>
        <v>391.245</v>
      </c>
      <c r="EC21" s="49">
        <f t="shared" ca="1" si="53"/>
        <v>393.245</v>
      </c>
      <c r="ED21" s="49">
        <f t="shared" ca="1" si="53"/>
        <v>312.245</v>
      </c>
      <c r="EE21" s="49">
        <f t="shared" ca="1" si="53"/>
        <v>304.245</v>
      </c>
    </row>
    <row r="22" spans="1:135" x14ac:dyDescent="0.4">
      <c r="A22" s="29" t="str">
        <f t="shared" si="7"/>
        <v>KPI ID 15</v>
      </c>
      <c r="B22" s="47" t="s">
        <v>63</v>
      </c>
      <c r="C22" s="48" t="s">
        <v>30</v>
      </c>
      <c r="D22" s="49">
        <f t="shared" ref="D22:M23" ca="1" si="54">RAND()</f>
        <v>0.53884204947088121</v>
      </c>
      <c r="E22" s="49">
        <f t="shared" ca="1" si="54"/>
        <v>0.15472095252246498</v>
      </c>
      <c r="F22" s="49">
        <f t="shared" ca="1" si="54"/>
        <v>0.43805490245341128</v>
      </c>
      <c r="G22" s="49">
        <f t="shared" ca="1" si="54"/>
        <v>0.16632394457830046</v>
      </c>
      <c r="H22" s="49">
        <f t="shared" ca="1" si="54"/>
        <v>0.28348522659879016</v>
      </c>
      <c r="I22" s="49">
        <f t="shared" ca="1" si="54"/>
        <v>0.62923133338835058</v>
      </c>
      <c r="J22" s="49">
        <f t="shared" ca="1" si="54"/>
        <v>0.25061989566770759</v>
      </c>
      <c r="K22" s="49">
        <f t="shared" ca="1" si="54"/>
        <v>0.35452941118129722</v>
      </c>
      <c r="L22" s="49">
        <f t="shared" ca="1" si="54"/>
        <v>0.78420057163568513</v>
      </c>
      <c r="M22" s="49">
        <f t="shared" ca="1" si="54"/>
        <v>0.84712959816539224</v>
      </c>
      <c r="N22" s="49">
        <f t="shared" ref="N22:W23" ca="1" si="55">RAND()</f>
        <v>1.0978548372659658E-2</v>
      </c>
      <c r="O22" s="49">
        <f t="shared" ca="1" si="55"/>
        <v>0.78806704920119264</v>
      </c>
      <c r="P22" s="49">
        <f t="shared" ca="1" si="55"/>
        <v>0.98606036789214391</v>
      </c>
      <c r="Q22" s="49">
        <f t="shared" ca="1" si="55"/>
        <v>0.73153243826007119</v>
      </c>
      <c r="R22" s="49">
        <f t="shared" ca="1" si="55"/>
        <v>0.26830064558691613</v>
      </c>
      <c r="S22" s="49">
        <f t="shared" ca="1" si="55"/>
        <v>0.54710321644807025</v>
      </c>
      <c r="T22" s="49">
        <f t="shared" ca="1" si="55"/>
        <v>0.92238744181534982</v>
      </c>
      <c r="U22" s="49">
        <f t="shared" ca="1" si="55"/>
        <v>0.20219519012126752</v>
      </c>
      <c r="V22" s="49">
        <f t="shared" ca="1" si="55"/>
        <v>0.90033657286878643</v>
      </c>
      <c r="W22" s="49">
        <f t="shared" ca="1" si="55"/>
        <v>0.45042417728916351</v>
      </c>
      <c r="X22" s="49">
        <f t="shared" ref="X22:AG23" ca="1" si="56">RAND()</f>
        <v>0.11346641073306862</v>
      </c>
      <c r="Y22" s="49">
        <f t="shared" ca="1" si="56"/>
        <v>3.6945571366737928E-2</v>
      </c>
      <c r="Z22" s="49">
        <f t="shared" ca="1" si="56"/>
        <v>0.34633561803032931</v>
      </c>
      <c r="AA22" s="49">
        <f t="shared" ca="1" si="56"/>
        <v>0.41591250607383157</v>
      </c>
      <c r="AB22" s="49">
        <f t="shared" ca="1" si="56"/>
        <v>0.4857334955480217</v>
      </c>
      <c r="AC22" s="49">
        <f t="shared" ca="1" si="56"/>
        <v>0.582257841622706</v>
      </c>
      <c r="AD22" s="49">
        <f t="shared" ca="1" si="56"/>
        <v>0.74366309105813</v>
      </c>
      <c r="AE22" s="49">
        <f t="shared" ca="1" si="56"/>
        <v>0.73742054872933527</v>
      </c>
      <c r="AF22" s="49">
        <f t="shared" ca="1" si="56"/>
        <v>0.79497851067241276</v>
      </c>
      <c r="AG22" s="49">
        <f t="shared" ca="1" si="56"/>
        <v>0.98485991759537916</v>
      </c>
      <c r="AH22" s="49">
        <f t="shared" ref="AH22:AQ23" ca="1" si="57">RAND()</f>
        <v>0.35793743540233003</v>
      </c>
      <c r="AI22" s="49">
        <f t="shared" ca="1" si="57"/>
        <v>0.44063005737178762</v>
      </c>
      <c r="AJ22" s="49">
        <f t="shared" ca="1" si="57"/>
        <v>0.47057839597851625</v>
      </c>
      <c r="AK22" s="49">
        <f t="shared" ca="1" si="57"/>
        <v>0.11838594466650598</v>
      </c>
      <c r="AL22" s="49">
        <f t="shared" ca="1" si="57"/>
        <v>0.30005954928213474</v>
      </c>
      <c r="AM22" s="49">
        <f t="shared" ca="1" si="57"/>
        <v>0.41917513856156596</v>
      </c>
      <c r="AN22" s="49">
        <f t="shared" ca="1" si="57"/>
        <v>0.63399590104038339</v>
      </c>
      <c r="AO22" s="49">
        <f t="shared" ca="1" si="57"/>
        <v>0.33968784000993246</v>
      </c>
      <c r="AP22" s="49">
        <f t="shared" ca="1" si="57"/>
        <v>0.49451752116376457</v>
      </c>
      <c r="AQ22" s="49">
        <f t="shared" ca="1" si="57"/>
        <v>0.38458207279599543</v>
      </c>
      <c r="AR22" s="49">
        <f t="shared" ref="AR22:BA23" ca="1" si="58">RAND()</f>
        <v>0.85455279458641564</v>
      </c>
      <c r="AS22" s="49">
        <f t="shared" ca="1" si="58"/>
        <v>1.9484568938224256E-2</v>
      </c>
      <c r="AT22" s="49">
        <f t="shared" ca="1" si="58"/>
        <v>0.40043946534121744</v>
      </c>
      <c r="AU22" s="49">
        <f t="shared" ca="1" si="58"/>
        <v>0.72473316425656287</v>
      </c>
      <c r="AV22" s="49">
        <f t="shared" ca="1" si="58"/>
        <v>0.32573212413043051</v>
      </c>
      <c r="AW22" s="49">
        <f t="shared" ca="1" si="58"/>
        <v>0.34069861606792684</v>
      </c>
      <c r="AX22" s="49">
        <f t="shared" ca="1" si="58"/>
        <v>9.6987971345362523E-2</v>
      </c>
      <c r="AY22" s="49">
        <f t="shared" ca="1" si="58"/>
        <v>2.8854714208934595E-2</v>
      </c>
      <c r="AZ22" s="49">
        <f t="shared" ca="1" si="58"/>
        <v>0.83354298638295699</v>
      </c>
      <c r="BA22" s="49">
        <f t="shared" ca="1" si="58"/>
        <v>0.78197522375733519</v>
      </c>
      <c r="BB22" s="49">
        <f t="shared" ref="BB22:BK23" ca="1" si="59">RAND()</f>
        <v>0.58010232520819305</v>
      </c>
      <c r="BC22" s="49">
        <f t="shared" ca="1" si="59"/>
        <v>9.0143896970106385E-2</v>
      </c>
      <c r="BD22" s="49">
        <f t="shared" ca="1" si="59"/>
        <v>0.68207615784153264</v>
      </c>
      <c r="BE22" s="49">
        <f t="shared" ca="1" si="59"/>
        <v>0.47213167825136559</v>
      </c>
      <c r="BF22" s="49">
        <f t="shared" ca="1" si="59"/>
        <v>0.59777002781142297</v>
      </c>
      <c r="BG22" s="49">
        <f t="shared" ca="1" si="59"/>
        <v>0.78834025100944161</v>
      </c>
      <c r="BH22" s="49">
        <f t="shared" ca="1" si="59"/>
        <v>0.54299566720136783</v>
      </c>
      <c r="BI22" s="49">
        <f t="shared" ca="1" si="59"/>
        <v>0.65370893700884936</v>
      </c>
      <c r="BJ22" s="49">
        <f t="shared" ca="1" si="59"/>
        <v>0.54776338000581004</v>
      </c>
      <c r="BK22" s="49">
        <f t="shared" ca="1" si="59"/>
        <v>0.45831503865647294</v>
      </c>
      <c r="BL22" s="49">
        <f t="shared" ref="BL22:BU23" ca="1" si="60">RAND()</f>
        <v>0.49501600583802918</v>
      </c>
      <c r="BM22" s="49">
        <f t="shared" ca="1" si="60"/>
        <v>0.77149392568906627</v>
      </c>
      <c r="BN22" s="49">
        <f t="shared" ca="1" si="60"/>
        <v>0.90674023695495543</v>
      </c>
      <c r="BO22" s="49">
        <f t="shared" ca="1" si="60"/>
        <v>0.43277611569130991</v>
      </c>
      <c r="BP22" s="49">
        <f t="shared" ca="1" si="60"/>
        <v>0.16665221908471972</v>
      </c>
      <c r="BQ22" s="49">
        <f t="shared" ca="1" si="60"/>
        <v>0.74862074184969329</v>
      </c>
      <c r="BR22" s="49">
        <f t="shared" ca="1" si="60"/>
        <v>0.15090507811697207</v>
      </c>
      <c r="BS22" s="49">
        <f t="shared" ca="1" si="60"/>
        <v>0.79025892282207899</v>
      </c>
      <c r="BT22" s="49">
        <f t="shared" ca="1" si="60"/>
        <v>0.52526926089123482</v>
      </c>
      <c r="BU22" s="49">
        <f t="shared" ca="1" si="60"/>
        <v>3.0097354540778887E-2</v>
      </c>
      <c r="BV22" s="49">
        <f t="shared" ref="BV22:CE23" ca="1" si="61">RAND()</f>
        <v>0.70704218456163126</v>
      </c>
      <c r="BW22" s="49">
        <f t="shared" ca="1" si="61"/>
        <v>0.8707742889975989</v>
      </c>
      <c r="BX22" s="49">
        <f t="shared" ca="1" si="61"/>
        <v>0.91989978744396494</v>
      </c>
      <c r="BY22" s="49">
        <f t="shared" ca="1" si="61"/>
        <v>0.38843894479607832</v>
      </c>
      <c r="BZ22" s="49">
        <f t="shared" ca="1" si="61"/>
        <v>0.67288310861658751</v>
      </c>
      <c r="CA22" s="49">
        <f t="shared" ca="1" si="61"/>
        <v>4.3811183666861764E-2</v>
      </c>
      <c r="CB22" s="49">
        <f t="shared" ca="1" si="61"/>
        <v>0.28535767748583984</v>
      </c>
      <c r="CC22" s="49">
        <f t="shared" ca="1" si="61"/>
        <v>0.39903458528037838</v>
      </c>
      <c r="CD22" s="49">
        <f t="shared" ca="1" si="61"/>
        <v>0.63946130237396193</v>
      </c>
      <c r="CE22" s="49">
        <f t="shared" ca="1" si="61"/>
        <v>0.12107171151908724</v>
      </c>
      <c r="CF22" s="49">
        <f t="shared" ref="CF22:CO23" ca="1" si="62">RAND()</f>
        <v>4.4212785326001813E-2</v>
      </c>
      <c r="CG22" s="49">
        <f t="shared" ca="1" si="62"/>
        <v>0.12945080081969695</v>
      </c>
      <c r="CH22" s="49">
        <f t="shared" ca="1" si="62"/>
        <v>0.46141362630601812</v>
      </c>
      <c r="CI22" s="49">
        <f t="shared" ca="1" si="62"/>
        <v>1.2488777135292728E-2</v>
      </c>
      <c r="CJ22" s="49">
        <f t="shared" ca="1" si="62"/>
        <v>0.11824284579322986</v>
      </c>
      <c r="CK22" s="49">
        <f t="shared" ca="1" si="62"/>
        <v>0.32202855930985252</v>
      </c>
      <c r="CL22" s="49">
        <f t="shared" ca="1" si="62"/>
        <v>3.7462876437790227E-2</v>
      </c>
      <c r="CM22" s="49">
        <f t="shared" ca="1" si="62"/>
        <v>0.98851923502346117</v>
      </c>
      <c r="CN22" s="49">
        <f t="shared" ca="1" si="62"/>
        <v>0.77232802642420662</v>
      </c>
      <c r="CO22" s="49">
        <f t="shared" ca="1" si="62"/>
        <v>0.96534692952887258</v>
      </c>
      <c r="CP22" s="49">
        <f t="shared" ref="CP22:CY23" ca="1" si="63">RAND()</f>
        <v>0.10267653166737178</v>
      </c>
      <c r="CQ22" s="49">
        <f t="shared" ca="1" si="63"/>
        <v>0.98841222443390386</v>
      </c>
      <c r="CR22" s="49">
        <f t="shared" ca="1" si="63"/>
        <v>0.48208092401851776</v>
      </c>
      <c r="CS22" s="49">
        <f t="shared" ca="1" si="63"/>
        <v>0.35160710679931884</v>
      </c>
      <c r="CT22" s="49">
        <f t="shared" ca="1" si="63"/>
        <v>0.79058598088172327</v>
      </c>
      <c r="CU22" s="49">
        <f t="shared" ca="1" si="63"/>
        <v>0.5445300862496375</v>
      </c>
      <c r="CV22" s="49">
        <f t="shared" ca="1" si="63"/>
        <v>0.82583379604441831</v>
      </c>
      <c r="CW22" s="49">
        <f t="shared" ca="1" si="63"/>
        <v>0.87887745199633993</v>
      </c>
      <c r="CX22" s="49">
        <f t="shared" ca="1" si="63"/>
        <v>0.54153148469648471</v>
      </c>
      <c r="CY22" s="49">
        <f t="shared" ca="1" si="63"/>
        <v>0.3553164019376025</v>
      </c>
      <c r="CZ22" s="49">
        <f t="shared" ref="CZ22:DI23" ca="1" si="64">RAND()</f>
        <v>0.97747572416729422</v>
      </c>
      <c r="DA22" s="49">
        <f t="shared" ca="1" si="64"/>
        <v>0.60056486811772469</v>
      </c>
      <c r="DB22" s="49">
        <f t="shared" ca="1" si="64"/>
        <v>6.2715589319477183E-2</v>
      </c>
      <c r="DC22" s="49">
        <f t="shared" ca="1" si="64"/>
        <v>0.42604656082078907</v>
      </c>
      <c r="DD22" s="49">
        <f t="shared" ca="1" si="64"/>
        <v>0.17836983275527962</v>
      </c>
      <c r="DE22" s="49">
        <f t="shared" ca="1" si="64"/>
        <v>0.51794295422556691</v>
      </c>
      <c r="DF22" s="49">
        <f t="shared" ca="1" si="64"/>
        <v>0.94191078753709034</v>
      </c>
      <c r="DG22" s="49">
        <f t="shared" ca="1" si="64"/>
        <v>0.12190512592078451</v>
      </c>
      <c r="DH22" s="49">
        <f t="shared" ca="1" si="64"/>
        <v>0.32190039136717652</v>
      </c>
      <c r="DI22" s="49">
        <f t="shared" ca="1" si="64"/>
        <v>7.7582219925649509E-2</v>
      </c>
      <c r="DJ22" s="49">
        <f t="shared" ref="DJ22:DS23" ca="1" si="65">RAND()</f>
        <v>0.68535346681836073</v>
      </c>
      <c r="DK22" s="49">
        <f t="shared" ca="1" si="65"/>
        <v>0.20879348122834984</v>
      </c>
      <c r="DL22" s="49">
        <f t="shared" ca="1" si="65"/>
        <v>5.3781505850156841E-2</v>
      </c>
      <c r="DM22" s="49">
        <f t="shared" ca="1" si="65"/>
        <v>0.90586014001130422</v>
      </c>
      <c r="DN22" s="49">
        <f t="shared" ca="1" si="65"/>
        <v>0.38197418537067795</v>
      </c>
      <c r="DO22" s="49">
        <f t="shared" ca="1" si="65"/>
        <v>0.95000363066411775</v>
      </c>
      <c r="DP22" s="49">
        <f t="shared" ca="1" si="65"/>
        <v>0.72593107543463764</v>
      </c>
      <c r="DQ22" s="49">
        <f t="shared" ca="1" si="65"/>
        <v>0.16311094904742951</v>
      </c>
      <c r="DR22" s="49">
        <f t="shared" ca="1" si="65"/>
        <v>0.90671075520662148</v>
      </c>
      <c r="DS22" s="49">
        <f t="shared" ca="1" si="65"/>
        <v>9.0500525954912314E-2</v>
      </c>
      <c r="DT22" s="49">
        <f t="shared" ref="DT22:EE23" ca="1" si="66">RAND()</f>
        <v>0.42098008367512285</v>
      </c>
      <c r="DU22" s="49">
        <f t="shared" ca="1" si="66"/>
        <v>0.44278468437238416</v>
      </c>
      <c r="DV22" s="49">
        <f t="shared" ca="1" si="66"/>
        <v>0.55202829392911712</v>
      </c>
      <c r="DW22" s="49">
        <f t="shared" ca="1" si="66"/>
        <v>0.38744342377107832</v>
      </c>
      <c r="DX22" s="49">
        <f t="shared" ca="1" si="66"/>
        <v>0.63167465528101263</v>
      </c>
      <c r="DY22" s="49">
        <f t="shared" ca="1" si="66"/>
        <v>0.22403692304305711</v>
      </c>
      <c r="DZ22" s="49">
        <f t="shared" ca="1" si="66"/>
        <v>0.62994275077256623</v>
      </c>
      <c r="EA22" s="49">
        <f t="shared" ca="1" si="66"/>
        <v>0.76141821354721417</v>
      </c>
      <c r="EB22" s="49">
        <f t="shared" ca="1" si="66"/>
        <v>0.57325707050187036</v>
      </c>
      <c r="EC22" s="49">
        <f t="shared" ca="1" si="66"/>
        <v>0.53487403646532394</v>
      </c>
      <c r="ED22" s="49">
        <f t="shared" ca="1" si="66"/>
        <v>0.59517215854909311</v>
      </c>
      <c r="EE22" s="49">
        <f t="shared" ca="1" si="66"/>
        <v>0.29029131334009439</v>
      </c>
    </row>
    <row r="23" spans="1:135" x14ac:dyDescent="0.4">
      <c r="A23" s="29" t="str">
        <f t="shared" si="7"/>
        <v>KPI ID 16 %</v>
      </c>
      <c r="B23" s="47" t="s">
        <v>64</v>
      </c>
      <c r="C23" s="48" t="s">
        <v>31</v>
      </c>
      <c r="D23" s="49">
        <f t="shared" ca="1" si="54"/>
        <v>0.25975611404067067</v>
      </c>
      <c r="E23" s="49">
        <f t="shared" ca="1" si="54"/>
        <v>0.47486362631920775</v>
      </c>
      <c r="F23" s="49">
        <f t="shared" ca="1" si="54"/>
        <v>0.39664493763023601</v>
      </c>
      <c r="G23" s="49">
        <f t="shared" ca="1" si="54"/>
        <v>0.61638986250761696</v>
      </c>
      <c r="H23" s="49">
        <f t="shared" ca="1" si="54"/>
        <v>0.97754478368239905</v>
      </c>
      <c r="I23" s="49">
        <f t="shared" ca="1" si="54"/>
        <v>0.78741974320925401</v>
      </c>
      <c r="J23" s="49">
        <f t="shared" ca="1" si="54"/>
        <v>8.5746806755913174E-2</v>
      </c>
      <c r="K23" s="49">
        <f t="shared" ca="1" si="54"/>
        <v>0.51063031914069723</v>
      </c>
      <c r="L23" s="49">
        <f t="shared" ca="1" si="54"/>
        <v>0.72313975830562816</v>
      </c>
      <c r="M23" s="49">
        <f t="shared" ca="1" si="54"/>
        <v>0.26799208751272652</v>
      </c>
      <c r="N23" s="49">
        <f t="shared" ca="1" si="55"/>
        <v>0.23424063314147914</v>
      </c>
      <c r="O23" s="49">
        <f t="shared" ca="1" si="55"/>
        <v>0.80818594131006649</v>
      </c>
      <c r="P23" s="49">
        <f t="shared" ca="1" si="55"/>
        <v>0.63461487191581811</v>
      </c>
      <c r="Q23" s="49">
        <f t="shared" ca="1" si="55"/>
        <v>0.80320370862695312</v>
      </c>
      <c r="R23" s="49">
        <f t="shared" ca="1" si="55"/>
        <v>0.67372565850857957</v>
      </c>
      <c r="S23" s="49">
        <f t="shared" ca="1" si="55"/>
        <v>2.3642514207123599E-2</v>
      </c>
      <c r="T23" s="49">
        <f t="shared" ca="1" si="55"/>
        <v>0.42749759206146742</v>
      </c>
      <c r="U23" s="49">
        <f t="shared" ca="1" si="55"/>
        <v>0.90349666125583639</v>
      </c>
      <c r="V23" s="49">
        <f t="shared" ca="1" si="55"/>
        <v>0.56020550779916856</v>
      </c>
      <c r="W23" s="49">
        <f t="shared" ca="1" si="55"/>
        <v>0.40209725493386728</v>
      </c>
      <c r="X23" s="49">
        <f t="shared" ca="1" si="56"/>
        <v>0.52766160608477319</v>
      </c>
      <c r="Y23" s="49">
        <f t="shared" ca="1" si="56"/>
        <v>0.10137504229515759</v>
      </c>
      <c r="Z23" s="49">
        <f t="shared" ca="1" si="56"/>
        <v>0.39941104845500253</v>
      </c>
      <c r="AA23" s="49">
        <f t="shared" ca="1" si="56"/>
        <v>0.86286855460943079</v>
      </c>
      <c r="AB23" s="49">
        <f t="shared" ca="1" si="56"/>
        <v>0.8539865552434931</v>
      </c>
      <c r="AC23" s="49">
        <f t="shared" ca="1" si="56"/>
        <v>0.75232758268960154</v>
      </c>
      <c r="AD23" s="49">
        <f t="shared" ca="1" si="56"/>
        <v>0.25377273039710535</v>
      </c>
      <c r="AE23" s="49">
        <f t="shared" ca="1" si="56"/>
        <v>0.68721222789412995</v>
      </c>
      <c r="AF23" s="49">
        <f t="shared" ca="1" si="56"/>
        <v>0.29564362425524071</v>
      </c>
      <c r="AG23" s="49">
        <f t="shared" ca="1" si="56"/>
        <v>0.56673336347988879</v>
      </c>
      <c r="AH23" s="49">
        <f t="shared" ca="1" si="57"/>
        <v>0.18465567965766505</v>
      </c>
      <c r="AI23" s="49">
        <f t="shared" ca="1" si="57"/>
        <v>0.26164915930503907</v>
      </c>
      <c r="AJ23" s="49">
        <f t="shared" ca="1" si="57"/>
        <v>4.0535203055981128E-2</v>
      </c>
      <c r="AK23" s="49">
        <f t="shared" ca="1" si="57"/>
        <v>0.28590578994944504</v>
      </c>
      <c r="AL23" s="49">
        <f t="shared" ca="1" si="57"/>
        <v>0.46051091002657352</v>
      </c>
      <c r="AM23" s="49">
        <f t="shared" ca="1" si="57"/>
        <v>0.21972273421307276</v>
      </c>
      <c r="AN23" s="49">
        <f t="shared" ca="1" si="57"/>
        <v>0.95094208340719066</v>
      </c>
      <c r="AO23" s="49">
        <f t="shared" ca="1" si="57"/>
        <v>0.83300594115806137</v>
      </c>
      <c r="AP23" s="49">
        <f t="shared" ca="1" si="57"/>
        <v>0.73888853666033205</v>
      </c>
      <c r="AQ23" s="49">
        <f t="shared" ca="1" si="57"/>
        <v>0.3224259001519616</v>
      </c>
      <c r="AR23" s="49">
        <f t="shared" ca="1" si="58"/>
        <v>0.17953981713529099</v>
      </c>
      <c r="AS23" s="49">
        <f t="shared" ca="1" si="58"/>
        <v>0.63939699912736803</v>
      </c>
      <c r="AT23" s="49">
        <f t="shared" ca="1" si="58"/>
        <v>3.434088345229469E-2</v>
      </c>
      <c r="AU23" s="49">
        <f t="shared" ca="1" si="58"/>
        <v>0.19993512398387814</v>
      </c>
      <c r="AV23" s="49">
        <f t="shared" ca="1" si="58"/>
        <v>0.90023772964343751</v>
      </c>
      <c r="AW23" s="49">
        <f t="shared" ca="1" si="58"/>
        <v>0.79574816118787428</v>
      </c>
      <c r="AX23" s="49">
        <f t="shared" ca="1" si="58"/>
        <v>0.68890176814209725</v>
      </c>
      <c r="AY23" s="49">
        <f t="shared" ca="1" si="58"/>
        <v>0.21923637011744002</v>
      </c>
      <c r="AZ23" s="49">
        <f t="shared" ca="1" si="58"/>
        <v>0.67301243382116471</v>
      </c>
      <c r="BA23" s="49">
        <f t="shared" ca="1" si="58"/>
        <v>0.21542864040242038</v>
      </c>
      <c r="BB23" s="49">
        <f t="shared" ca="1" si="59"/>
        <v>0.97024793359756878</v>
      </c>
      <c r="BC23" s="49">
        <f t="shared" ca="1" si="59"/>
        <v>0.61991747418223231</v>
      </c>
      <c r="BD23" s="49">
        <f t="shared" ca="1" si="59"/>
        <v>0.98890494969473053</v>
      </c>
      <c r="BE23" s="49">
        <f t="shared" ca="1" si="59"/>
        <v>0.55107996352159716</v>
      </c>
      <c r="BF23" s="49">
        <f t="shared" ca="1" si="59"/>
        <v>0.8053931448535161</v>
      </c>
      <c r="BG23" s="49">
        <f t="shared" ca="1" si="59"/>
        <v>0.61516753611952346</v>
      </c>
      <c r="BH23" s="49">
        <f t="shared" ca="1" si="59"/>
        <v>0.71108437557372006</v>
      </c>
      <c r="BI23" s="49">
        <f t="shared" ca="1" si="59"/>
        <v>0.15465916776607869</v>
      </c>
      <c r="BJ23" s="49">
        <f t="shared" ca="1" si="59"/>
        <v>0.70799846266212219</v>
      </c>
      <c r="BK23" s="49">
        <f t="shared" ca="1" si="59"/>
        <v>7.4591732665015842E-3</v>
      </c>
      <c r="BL23" s="49">
        <f t="shared" ca="1" si="60"/>
        <v>0.98233255167452993</v>
      </c>
      <c r="BM23" s="49">
        <f t="shared" ca="1" si="60"/>
        <v>3.0813336455530749E-2</v>
      </c>
      <c r="BN23" s="49">
        <f t="shared" ca="1" si="60"/>
        <v>0.81517037814869686</v>
      </c>
      <c r="BO23" s="49">
        <f t="shared" ca="1" si="60"/>
        <v>0.67636025278378531</v>
      </c>
      <c r="BP23" s="49">
        <f t="shared" ca="1" si="60"/>
        <v>0.99138666228578687</v>
      </c>
      <c r="BQ23" s="49">
        <f t="shared" ca="1" si="60"/>
        <v>0.51662951628004172</v>
      </c>
      <c r="BR23" s="49">
        <f t="shared" ca="1" si="60"/>
        <v>0.41817585302655158</v>
      </c>
      <c r="BS23" s="49">
        <f t="shared" ca="1" si="60"/>
        <v>0.75667807243554852</v>
      </c>
      <c r="BT23" s="49">
        <f t="shared" ca="1" si="60"/>
        <v>0.96180986857376649</v>
      </c>
      <c r="BU23" s="49">
        <f t="shared" ca="1" si="60"/>
        <v>0.46006342109224696</v>
      </c>
      <c r="BV23" s="49">
        <f t="shared" ca="1" si="61"/>
        <v>0.12406462422533671</v>
      </c>
      <c r="BW23" s="49">
        <f t="shared" ca="1" si="61"/>
        <v>0.28263712014170883</v>
      </c>
      <c r="BX23" s="49">
        <f t="shared" ca="1" si="61"/>
        <v>0.7003377626225652</v>
      </c>
      <c r="BY23" s="49">
        <f t="shared" ca="1" si="61"/>
        <v>4.0520320018443523E-2</v>
      </c>
      <c r="BZ23" s="49">
        <f t="shared" ca="1" si="61"/>
        <v>0.36907108936576472</v>
      </c>
      <c r="CA23" s="49">
        <f t="shared" ca="1" si="61"/>
        <v>0.92212801931842991</v>
      </c>
      <c r="CB23" s="49">
        <f t="shared" ca="1" si="61"/>
        <v>0.98994094217570161</v>
      </c>
      <c r="CC23" s="49">
        <f t="shared" ca="1" si="61"/>
        <v>0.10638979799548476</v>
      </c>
      <c r="CD23" s="49">
        <f t="shared" ca="1" si="61"/>
        <v>0.85049247529294136</v>
      </c>
      <c r="CE23" s="49">
        <f t="shared" ca="1" si="61"/>
        <v>0.28689381612626363</v>
      </c>
      <c r="CF23" s="49">
        <f t="shared" ca="1" si="62"/>
        <v>0.81271281422611019</v>
      </c>
      <c r="CG23" s="49">
        <f t="shared" ca="1" si="62"/>
        <v>0.81512279388266462</v>
      </c>
      <c r="CH23" s="49">
        <f t="shared" ca="1" si="62"/>
        <v>6.8419265970884102E-2</v>
      </c>
      <c r="CI23" s="49">
        <f t="shared" ca="1" si="62"/>
        <v>0.40619717908131736</v>
      </c>
      <c r="CJ23" s="49">
        <f t="shared" ca="1" si="62"/>
        <v>0.79486369890953401</v>
      </c>
      <c r="CK23" s="49">
        <f t="shared" ca="1" si="62"/>
        <v>0.1565030198853945</v>
      </c>
      <c r="CL23" s="49">
        <f t="shared" ca="1" si="62"/>
        <v>0.14522686414284969</v>
      </c>
      <c r="CM23" s="49">
        <f t="shared" ca="1" si="62"/>
        <v>0.77368391869603481</v>
      </c>
      <c r="CN23" s="49">
        <f t="shared" ca="1" si="62"/>
        <v>0.13101948456405521</v>
      </c>
      <c r="CO23" s="49">
        <f t="shared" ca="1" si="62"/>
        <v>0.60628039309651416</v>
      </c>
      <c r="CP23" s="49">
        <f t="shared" ca="1" si="63"/>
        <v>8.7925644554214366E-2</v>
      </c>
      <c r="CQ23" s="49">
        <f t="shared" ca="1" si="63"/>
        <v>0.66097509242752039</v>
      </c>
      <c r="CR23" s="49">
        <f t="shared" ca="1" si="63"/>
        <v>0.79162376206516794</v>
      </c>
      <c r="CS23" s="49">
        <f t="shared" ca="1" si="63"/>
        <v>0.50194744232760935</v>
      </c>
      <c r="CT23" s="49">
        <f t="shared" ca="1" si="63"/>
        <v>0.31589106003555478</v>
      </c>
      <c r="CU23" s="49">
        <f t="shared" ca="1" si="63"/>
        <v>0.62716176089125752</v>
      </c>
      <c r="CV23" s="49">
        <f t="shared" ca="1" si="63"/>
        <v>0.50436542980600185</v>
      </c>
      <c r="CW23" s="49">
        <f t="shared" ca="1" si="63"/>
        <v>0.12579273978672834</v>
      </c>
      <c r="CX23" s="49">
        <f t="shared" ca="1" si="63"/>
        <v>0.24074856102900555</v>
      </c>
      <c r="CY23" s="49">
        <f t="shared" ca="1" si="63"/>
        <v>0.48557735275782965</v>
      </c>
      <c r="CZ23" s="49">
        <f t="shared" ca="1" si="64"/>
        <v>0.36920286300771499</v>
      </c>
      <c r="DA23" s="49">
        <f t="shared" ca="1" si="64"/>
        <v>5.3218332175087979E-2</v>
      </c>
      <c r="DB23" s="49">
        <f t="shared" ca="1" si="64"/>
        <v>0.69077578943275342</v>
      </c>
      <c r="DC23" s="49">
        <f t="shared" ca="1" si="64"/>
        <v>0.32979739003221353</v>
      </c>
      <c r="DD23" s="49">
        <f t="shared" ca="1" si="64"/>
        <v>0.25882356934796602</v>
      </c>
      <c r="DE23" s="49">
        <f t="shared" ca="1" si="64"/>
        <v>0.18989189664021822</v>
      </c>
      <c r="DF23" s="49">
        <f t="shared" ca="1" si="64"/>
        <v>0.55201029122058365</v>
      </c>
      <c r="DG23" s="49">
        <f t="shared" ca="1" si="64"/>
        <v>0.82012308189054184</v>
      </c>
      <c r="DH23" s="49">
        <f t="shared" ca="1" si="64"/>
        <v>0.7315868617283523</v>
      </c>
      <c r="DI23" s="49">
        <f t="shared" ca="1" si="64"/>
        <v>0.6917601682855069</v>
      </c>
      <c r="DJ23" s="49">
        <f t="shared" ca="1" si="65"/>
        <v>4.948127752502629E-2</v>
      </c>
      <c r="DK23" s="49">
        <f t="shared" ca="1" si="65"/>
        <v>0.4816421891538889</v>
      </c>
      <c r="DL23" s="49">
        <f t="shared" ca="1" si="65"/>
        <v>0.62235351932479943</v>
      </c>
      <c r="DM23" s="49">
        <f t="shared" ca="1" si="65"/>
        <v>0.48057930762397105</v>
      </c>
      <c r="DN23" s="49">
        <f t="shared" ca="1" si="65"/>
        <v>0.69152782480226638</v>
      </c>
      <c r="DO23" s="49">
        <f t="shared" ca="1" si="65"/>
        <v>0.78343342154686246</v>
      </c>
      <c r="DP23" s="49">
        <f t="shared" ca="1" si="65"/>
        <v>0.39594023476066198</v>
      </c>
      <c r="DQ23" s="49">
        <f t="shared" ca="1" si="65"/>
        <v>0.49208131190875215</v>
      </c>
      <c r="DR23" s="49">
        <f t="shared" ca="1" si="65"/>
        <v>0.37297100565051666</v>
      </c>
      <c r="DS23" s="49">
        <f t="shared" ca="1" si="65"/>
        <v>0.42228002568950507</v>
      </c>
      <c r="DT23" s="49">
        <f t="shared" ca="1" si="66"/>
        <v>0.67483461442412662</v>
      </c>
      <c r="DU23" s="49">
        <f t="shared" ca="1" si="66"/>
        <v>0.93401970892923758</v>
      </c>
      <c r="DV23" s="49">
        <f t="shared" ca="1" si="66"/>
        <v>0.16554644403372398</v>
      </c>
      <c r="DW23" s="49">
        <f t="shared" ca="1" si="66"/>
        <v>0.17956123578036642</v>
      </c>
      <c r="DX23" s="49">
        <f t="shared" ca="1" si="66"/>
        <v>0.41173080018567976</v>
      </c>
      <c r="DY23" s="49">
        <f t="shared" ca="1" si="66"/>
        <v>0.47787543477533689</v>
      </c>
      <c r="DZ23" s="49">
        <f t="shared" ca="1" si="66"/>
        <v>0.71980834699076346</v>
      </c>
      <c r="EA23" s="49">
        <f t="shared" ca="1" si="66"/>
        <v>0.33504009371647825</v>
      </c>
      <c r="EB23" s="49">
        <f t="shared" ca="1" si="66"/>
        <v>0.86856085001682959</v>
      </c>
      <c r="EC23" s="49">
        <f t="shared" ca="1" si="66"/>
        <v>0.81337009389397341</v>
      </c>
      <c r="ED23" s="49">
        <f t="shared" ca="1" si="66"/>
        <v>0.7899680708115685</v>
      </c>
      <c r="EE23" s="49">
        <f t="shared" ca="1" si="66"/>
        <v>0.51887643396984739</v>
      </c>
    </row>
    <row r="24" spans="1:135" x14ac:dyDescent="0.4">
      <c r="A24" s="29" t="str">
        <f t="shared" si="7"/>
        <v>KPI ID 17</v>
      </c>
      <c r="B24" s="47" t="s">
        <v>63</v>
      </c>
      <c r="C24" s="48" t="s">
        <v>32</v>
      </c>
      <c r="D24" s="49">
        <f t="shared" ref="D24:AI24" ca="1" si="67">RANDBETWEEN(1, 100)</f>
        <v>71</v>
      </c>
      <c r="E24" s="49">
        <f t="shared" ca="1" si="67"/>
        <v>4</v>
      </c>
      <c r="F24" s="49">
        <f t="shared" ca="1" si="67"/>
        <v>88</v>
      </c>
      <c r="G24" s="49">
        <f t="shared" ca="1" si="67"/>
        <v>66</v>
      </c>
      <c r="H24" s="49">
        <f t="shared" ca="1" si="67"/>
        <v>33</v>
      </c>
      <c r="I24" s="49">
        <f t="shared" ca="1" si="67"/>
        <v>82</v>
      </c>
      <c r="J24" s="49">
        <f t="shared" ca="1" si="67"/>
        <v>11</v>
      </c>
      <c r="K24" s="49">
        <f t="shared" ca="1" si="67"/>
        <v>77</v>
      </c>
      <c r="L24" s="49">
        <f t="shared" ca="1" si="67"/>
        <v>65</v>
      </c>
      <c r="M24" s="49">
        <f t="shared" ca="1" si="67"/>
        <v>97</v>
      </c>
      <c r="N24" s="49">
        <f t="shared" ca="1" si="67"/>
        <v>45</v>
      </c>
      <c r="O24" s="49">
        <f t="shared" ca="1" si="67"/>
        <v>71</v>
      </c>
      <c r="P24" s="49">
        <f t="shared" ca="1" si="67"/>
        <v>77</v>
      </c>
      <c r="Q24" s="49">
        <f t="shared" ca="1" si="67"/>
        <v>51</v>
      </c>
      <c r="R24" s="49">
        <f t="shared" ca="1" si="67"/>
        <v>92</v>
      </c>
      <c r="S24" s="49">
        <f t="shared" ca="1" si="67"/>
        <v>91</v>
      </c>
      <c r="T24" s="49">
        <f t="shared" ca="1" si="67"/>
        <v>12</v>
      </c>
      <c r="U24" s="49">
        <f t="shared" ca="1" si="67"/>
        <v>20</v>
      </c>
      <c r="V24" s="49">
        <f t="shared" ca="1" si="67"/>
        <v>9</v>
      </c>
      <c r="W24" s="49">
        <f t="shared" ca="1" si="67"/>
        <v>33</v>
      </c>
      <c r="X24" s="49">
        <f t="shared" ca="1" si="67"/>
        <v>76</v>
      </c>
      <c r="Y24" s="49">
        <f t="shared" ca="1" si="67"/>
        <v>14</v>
      </c>
      <c r="Z24" s="49">
        <f t="shared" ca="1" si="67"/>
        <v>58</v>
      </c>
      <c r="AA24" s="49">
        <f t="shared" ca="1" si="67"/>
        <v>20</v>
      </c>
      <c r="AB24" s="49">
        <f t="shared" ca="1" si="67"/>
        <v>76</v>
      </c>
      <c r="AC24" s="49">
        <f t="shared" ca="1" si="67"/>
        <v>67</v>
      </c>
      <c r="AD24" s="49">
        <f t="shared" ca="1" si="67"/>
        <v>78</v>
      </c>
      <c r="AE24" s="49">
        <f t="shared" ca="1" si="67"/>
        <v>5</v>
      </c>
      <c r="AF24" s="49">
        <f t="shared" ca="1" si="67"/>
        <v>83</v>
      </c>
      <c r="AG24" s="49">
        <f t="shared" ca="1" si="67"/>
        <v>52</v>
      </c>
      <c r="AH24" s="49">
        <f t="shared" ca="1" si="67"/>
        <v>13</v>
      </c>
      <c r="AI24" s="49">
        <f t="shared" ca="1" si="67"/>
        <v>80</v>
      </c>
      <c r="AJ24" s="49">
        <f t="shared" ref="AJ24:BO24" ca="1" si="68">RANDBETWEEN(1, 100)</f>
        <v>72</v>
      </c>
      <c r="AK24" s="49">
        <f t="shared" ca="1" si="68"/>
        <v>62</v>
      </c>
      <c r="AL24" s="49">
        <f t="shared" ca="1" si="68"/>
        <v>94</v>
      </c>
      <c r="AM24" s="49">
        <f t="shared" ca="1" si="68"/>
        <v>6</v>
      </c>
      <c r="AN24" s="49">
        <f t="shared" ca="1" si="68"/>
        <v>17</v>
      </c>
      <c r="AO24" s="49">
        <f t="shared" ca="1" si="68"/>
        <v>68</v>
      </c>
      <c r="AP24" s="49">
        <f t="shared" ca="1" si="68"/>
        <v>36</v>
      </c>
      <c r="AQ24" s="49">
        <f t="shared" ca="1" si="68"/>
        <v>15</v>
      </c>
      <c r="AR24" s="49">
        <f t="shared" ca="1" si="68"/>
        <v>58</v>
      </c>
      <c r="AS24" s="49">
        <f t="shared" ca="1" si="68"/>
        <v>47</v>
      </c>
      <c r="AT24" s="49">
        <f t="shared" ca="1" si="68"/>
        <v>61</v>
      </c>
      <c r="AU24" s="49">
        <f t="shared" ca="1" si="68"/>
        <v>43</v>
      </c>
      <c r="AV24" s="49">
        <f t="shared" ca="1" si="68"/>
        <v>45</v>
      </c>
      <c r="AW24" s="49">
        <f t="shared" ca="1" si="68"/>
        <v>85</v>
      </c>
      <c r="AX24" s="49">
        <f t="shared" ca="1" si="68"/>
        <v>34</v>
      </c>
      <c r="AY24" s="49">
        <f t="shared" ca="1" si="68"/>
        <v>19</v>
      </c>
      <c r="AZ24" s="49">
        <f t="shared" ca="1" si="68"/>
        <v>43</v>
      </c>
      <c r="BA24" s="49">
        <f t="shared" ca="1" si="68"/>
        <v>6</v>
      </c>
      <c r="BB24" s="49">
        <f t="shared" ca="1" si="68"/>
        <v>48</v>
      </c>
      <c r="BC24" s="49">
        <f t="shared" ca="1" si="68"/>
        <v>55</v>
      </c>
      <c r="BD24" s="49">
        <f t="shared" ca="1" si="68"/>
        <v>41</v>
      </c>
      <c r="BE24" s="49">
        <f t="shared" ca="1" si="68"/>
        <v>42</v>
      </c>
      <c r="BF24" s="49">
        <f t="shared" ca="1" si="68"/>
        <v>37</v>
      </c>
      <c r="BG24" s="49">
        <f t="shared" ca="1" si="68"/>
        <v>25</v>
      </c>
      <c r="BH24" s="49">
        <f t="shared" ca="1" si="68"/>
        <v>12</v>
      </c>
      <c r="BI24" s="49">
        <f t="shared" ca="1" si="68"/>
        <v>11</v>
      </c>
      <c r="BJ24" s="49">
        <f t="shared" ca="1" si="68"/>
        <v>65</v>
      </c>
      <c r="BK24" s="49">
        <f t="shared" ca="1" si="68"/>
        <v>50</v>
      </c>
      <c r="BL24" s="49">
        <f t="shared" ca="1" si="68"/>
        <v>94</v>
      </c>
      <c r="BM24" s="49">
        <f t="shared" ca="1" si="68"/>
        <v>75</v>
      </c>
      <c r="BN24" s="49">
        <f t="shared" ca="1" si="68"/>
        <v>71</v>
      </c>
      <c r="BO24" s="49">
        <f t="shared" ca="1" si="68"/>
        <v>41</v>
      </c>
      <c r="BP24" s="49">
        <f t="shared" ref="BP24:CU24" ca="1" si="69">RANDBETWEEN(1, 100)</f>
        <v>95</v>
      </c>
      <c r="BQ24" s="49">
        <f t="shared" ca="1" si="69"/>
        <v>66</v>
      </c>
      <c r="BR24" s="49">
        <f t="shared" ca="1" si="69"/>
        <v>70</v>
      </c>
      <c r="BS24" s="49">
        <f t="shared" ca="1" si="69"/>
        <v>87</v>
      </c>
      <c r="BT24" s="49">
        <f t="shared" ca="1" si="69"/>
        <v>3</v>
      </c>
      <c r="BU24" s="49">
        <f t="shared" ca="1" si="69"/>
        <v>22</v>
      </c>
      <c r="BV24" s="49">
        <f t="shared" ca="1" si="69"/>
        <v>63</v>
      </c>
      <c r="BW24" s="49">
        <f t="shared" ca="1" si="69"/>
        <v>100</v>
      </c>
      <c r="BX24" s="49">
        <f t="shared" ca="1" si="69"/>
        <v>39</v>
      </c>
      <c r="BY24" s="49">
        <f t="shared" ca="1" si="69"/>
        <v>8</v>
      </c>
      <c r="BZ24" s="49">
        <f t="shared" ca="1" si="69"/>
        <v>17</v>
      </c>
      <c r="CA24" s="49">
        <f t="shared" ca="1" si="69"/>
        <v>73</v>
      </c>
      <c r="CB24" s="49">
        <f t="shared" ca="1" si="69"/>
        <v>56</v>
      </c>
      <c r="CC24" s="49">
        <f t="shared" ca="1" si="69"/>
        <v>50</v>
      </c>
      <c r="CD24" s="49">
        <f t="shared" ca="1" si="69"/>
        <v>23</v>
      </c>
      <c r="CE24" s="49">
        <f t="shared" ca="1" si="69"/>
        <v>27</v>
      </c>
      <c r="CF24" s="49">
        <f t="shared" ca="1" si="69"/>
        <v>97</v>
      </c>
      <c r="CG24" s="49">
        <f t="shared" ca="1" si="69"/>
        <v>61</v>
      </c>
      <c r="CH24" s="49">
        <f t="shared" ca="1" si="69"/>
        <v>18</v>
      </c>
      <c r="CI24" s="49">
        <f t="shared" ca="1" si="69"/>
        <v>66</v>
      </c>
      <c r="CJ24" s="49">
        <f t="shared" ca="1" si="69"/>
        <v>57</v>
      </c>
      <c r="CK24" s="49">
        <f t="shared" ca="1" si="69"/>
        <v>35</v>
      </c>
      <c r="CL24" s="49">
        <f t="shared" ca="1" si="69"/>
        <v>46</v>
      </c>
      <c r="CM24" s="49">
        <f t="shared" ca="1" si="69"/>
        <v>70</v>
      </c>
      <c r="CN24" s="49">
        <f t="shared" ca="1" si="69"/>
        <v>79</v>
      </c>
      <c r="CO24" s="49">
        <f t="shared" ca="1" si="69"/>
        <v>66</v>
      </c>
      <c r="CP24" s="49">
        <f t="shared" ca="1" si="69"/>
        <v>32</v>
      </c>
      <c r="CQ24" s="49">
        <f t="shared" ca="1" si="69"/>
        <v>80</v>
      </c>
      <c r="CR24" s="49">
        <f t="shared" ca="1" si="69"/>
        <v>59</v>
      </c>
      <c r="CS24" s="49">
        <f t="shared" ca="1" si="69"/>
        <v>63</v>
      </c>
      <c r="CT24" s="49">
        <f t="shared" ca="1" si="69"/>
        <v>91</v>
      </c>
      <c r="CU24" s="49">
        <f t="shared" ca="1" si="69"/>
        <v>25</v>
      </c>
      <c r="CV24" s="49">
        <f t="shared" ref="CV24:EE24" ca="1" si="70">RANDBETWEEN(1, 100)</f>
        <v>64</v>
      </c>
      <c r="CW24" s="49">
        <f t="shared" ca="1" si="70"/>
        <v>22</v>
      </c>
      <c r="CX24" s="49">
        <f t="shared" ca="1" si="70"/>
        <v>49</v>
      </c>
      <c r="CY24" s="49">
        <f t="shared" ca="1" si="70"/>
        <v>71</v>
      </c>
      <c r="CZ24" s="49">
        <f t="shared" ca="1" si="70"/>
        <v>4</v>
      </c>
      <c r="DA24" s="49">
        <f t="shared" ca="1" si="70"/>
        <v>75</v>
      </c>
      <c r="DB24" s="49">
        <f t="shared" ca="1" si="70"/>
        <v>7</v>
      </c>
      <c r="DC24" s="49">
        <f t="shared" ca="1" si="70"/>
        <v>60</v>
      </c>
      <c r="DD24" s="49">
        <f t="shared" ca="1" si="70"/>
        <v>86</v>
      </c>
      <c r="DE24" s="49">
        <f t="shared" ca="1" si="70"/>
        <v>79</v>
      </c>
      <c r="DF24" s="49">
        <f t="shared" ca="1" si="70"/>
        <v>41</v>
      </c>
      <c r="DG24" s="49">
        <f t="shared" ca="1" si="70"/>
        <v>40</v>
      </c>
      <c r="DH24" s="49">
        <f t="shared" ca="1" si="70"/>
        <v>66</v>
      </c>
      <c r="DI24" s="49">
        <f t="shared" ca="1" si="70"/>
        <v>45</v>
      </c>
      <c r="DJ24" s="49">
        <f t="shared" ca="1" si="70"/>
        <v>36</v>
      </c>
      <c r="DK24" s="49">
        <f t="shared" ca="1" si="70"/>
        <v>100</v>
      </c>
      <c r="DL24" s="49">
        <f t="shared" ca="1" si="70"/>
        <v>35</v>
      </c>
      <c r="DM24" s="49">
        <f t="shared" ca="1" si="70"/>
        <v>61</v>
      </c>
      <c r="DN24" s="49">
        <f t="shared" ca="1" si="70"/>
        <v>54</v>
      </c>
      <c r="DO24" s="49">
        <f t="shared" ca="1" si="70"/>
        <v>83</v>
      </c>
      <c r="DP24" s="49">
        <f t="shared" ca="1" si="70"/>
        <v>86</v>
      </c>
      <c r="DQ24" s="49">
        <f t="shared" ca="1" si="70"/>
        <v>37</v>
      </c>
      <c r="DR24" s="49">
        <f t="shared" ca="1" si="70"/>
        <v>23</v>
      </c>
      <c r="DS24" s="49">
        <f t="shared" ca="1" si="70"/>
        <v>75</v>
      </c>
      <c r="DT24" s="49">
        <f t="shared" ca="1" si="70"/>
        <v>28</v>
      </c>
      <c r="DU24" s="49">
        <f t="shared" ca="1" si="70"/>
        <v>7</v>
      </c>
      <c r="DV24" s="49">
        <f t="shared" ca="1" si="70"/>
        <v>6</v>
      </c>
      <c r="DW24" s="49">
        <f t="shared" ca="1" si="70"/>
        <v>9</v>
      </c>
      <c r="DX24" s="49">
        <f t="shared" ca="1" si="70"/>
        <v>47</v>
      </c>
      <c r="DY24" s="49">
        <f t="shared" ca="1" si="70"/>
        <v>9</v>
      </c>
      <c r="DZ24" s="49">
        <f t="shared" ca="1" si="70"/>
        <v>11</v>
      </c>
      <c r="EA24" s="49">
        <f t="shared" ca="1" si="70"/>
        <v>84</v>
      </c>
      <c r="EB24" s="49">
        <f t="shared" ca="1" si="70"/>
        <v>64</v>
      </c>
      <c r="EC24" s="49">
        <f t="shared" ca="1" si="70"/>
        <v>25</v>
      </c>
      <c r="ED24" s="49">
        <f t="shared" ca="1" si="70"/>
        <v>72</v>
      </c>
      <c r="EE24" s="49">
        <f t="shared" ca="1" si="70"/>
        <v>46</v>
      </c>
    </row>
    <row r="25" spans="1:135" x14ac:dyDescent="0.4">
      <c r="A25" s="29" t="str">
        <f t="shared" si="7"/>
        <v>KPI ID 18</v>
      </c>
      <c r="B25" s="47" t="s">
        <v>63</v>
      </c>
      <c r="C25" s="48" t="s">
        <v>33</v>
      </c>
      <c r="D25" s="49">
        <f t="shared" ref="D25:AI25" ca="1" si="71">RANDBETWEEN(1, 200)</f>
        <v>82</v>
      </c>
      <c r="E25" s="49">
        <f t="shared" ca="1" si="71"/>
        <v>87</v>
      </c>
      <c r="F25" s="49">
        <f t="shared" ca="1" si="71"/>
        <v>149</v>
      </c>
      <c r="G25" s="49">
        <f t="shared" ca="1" si="71"/>
        <v>110</v>
      </c>
      <c r="H25" s="49">
        <f t="shared" ca="1" si="71"/>
        <v>113</v>
      </c>
      <c r="I25" s="49">
        <f t="shared" ca="1" si="71"/>
        <v>180</v>
      </c>
      <c r="J25" s="49">
        <f t="shared" ca="1" si="71"/>
        <v>116</v>
      </c>
      <c r="K25" s="49">
        <f t="shared" ca="1" si="71"/>
        <v>154</v>
      </c>
      <c r="L25" s="49">
        <f t="shared" ca="1" si="71"/>
        <v>96</v>
      </c>
      <c r="M25" s="49">
        <f t="shared" ca="1" si="71"/>
        <v>182</v>
      </c>
      <c r="N25" s="49">
        <f t="shared" ca="1" si="71"/>
        <v>84</v>
      </c>
      <c r="O25" s="49">
        <f t="shared" ca="1" si="71"/>
        <v>91</v>
      </c>
      <c r="P25" s="49">
        <f t="shared" ca="1" si="71"/>
        <v>94</v>
      </c>
      <c r="Q25" s="49">
        <f t="shared" ca="1" si="71"/>
        <v>113</v>
      </c>
      <c r="R25" s="49">
        <f t="shared" ca="1" si="71"/>
        <v>159</v>
      </c>
      <c r="S25" s="49">
        <f t="shared" ca="1" si="71"/>
        <v>28</v>
      </c>
      <c r="T25" s="49">
        <f t="shared" ca="1" si="71"/>
        <v>123</v>
      </c>
      <c r="U25" s="49">
        <f t="shared" ca="1" si="71"/>
        <v>153</v>
      </c>
      <c r="V25" s="49">
        <f t="shared" ca="1" si="71"/>
        <v>170</v>
      </c>
      <c r="W25" s="49">
        <f t="shared" ca="1" si="71"/>
        <v>152</v>
      </c>
      <c r="X25" s="49">
        <f t="shared" ca="1" si="71"/>
        <v>63</v>
      </c>
      <c r="Y25" s="49">
        <f t="shared" ca="1" si="71"/>
        <v>15</v>
      </c>
      <c r="Z25" s="49">
        <f t="shared" ca="1" si="71"/>
        <v>39</v>
      </c>
      <c r="AA25" s="49">
        <f t="shared" ca="1" si="71"/>
        <v>56</v>
      </c>
      <c r="AB25" s="49">
        <f t="shared" ca="1" si="71"/>
        <v>199</v>
      </c>
      <c r="AC25" s="49">
        <f t="shared" ca="1" si="71"/>
        <v>55</v>
      </c>
      <c r="AD25" s="49">
        <f t="shared" ca="1" si="71"/>
        <v>102</v>
      </c>
      <c r="AE25" s="49">
        <f t="shared" ca="1" si="71"/>
        <v>10</v>
      </c>
      <c r="AF25" s="49">
        <f t="shared" ca="1" si="71"/>
        <v>41</v>
      </c>
      <c r="AG25" s="49">
        <f t="shared" ca="1" si="71"/>
        <v>183</v>
      </c>
      <c r="AH25" s="49">
        <f t="shared" ca="1" si="71"/>
        <v>152</v>
      </c>
      <c r="AI25" s="49">
        <f t="shared" ca="1" si="71"/>
        <v>3</v>
      </c>
      <c r="AJ25" s="49">
        <f t="shared" ref="AJ25:BO25" ca="1" si="72">RANDBETWEEN(1, 200)</f>
        <v>159</v>
      </c>
      <c r="AK25" s="49">
        <f t="shared" ca="1" si="72"/>
        <v>18</v>
      </c>
      <c r="AL25" s="49">
        <f t="shared" ca="1" si="72"/>
        <v>84</v>
      </c>
      <c r="AM25" s="49">
        <f t="shared" ca="1" si="72"/>
        <v>155</v>
      </c>
      <c r="AN25" s="49">
        <f t="shared" ca="1" si="72"/>
        <v>140</v>
      </c>
      <c r="AO25" s="49">
        <f t="shared" ca="1" si="72"/>
        <v>11</v>
      </c>
      <c r="AP25" s="49">
        <f t="shared" ca="1" si="72"/>
        <v>86</v>
      </c>
      <c r="AQ25" s="49">
        <f t="shared" ca="1" si="72"/>
        <v>52</v>
      </c>
      <c r="AR25" s="49">
        <f t="shared" ca="1" si="72"/>
        <v>128</v>
      </c>
      <c r="AS25" s="49">
        <f t="shared" ca="1" si="72"/>
        <v>106</v>
      </c>
      <c r="AT25" s="49">
        <f t="shared" ca="1" si="72"/>
        <v>55</v>
      </c>
      <c r="AU25" s="49">
        <f t="shared" ca="1" si="72"/>
        <v>152</v>
      </c>
      <c r="AV25" s="49">
        <f t="shared" ca="1" si="72"/>
        <v>54</v>
      </c>
      <c r="AW25" s="49">
        <f t="shared" ca="1" si="72"/>
        <v>133</v>
      </c>
      <c r="AX25" s="49">
        <f t="shared" ca="1" si="72"/>
        <v>27</v>
      </c>
      <c r="AY25" s="49">
        <f t="shared" ca="1" si="72"/>
        <v>12</v>
      </c>
      <c r="AZ25" s="49">
        <f t="shared" ca="1" si="72"/>
        <v>70</v>
      </c>
      <c r="BA25" s="49">
        <f t="shared" ca="1" si="72"/>
        <v>110</v>
      </c>
      <c r="BB25" s="49">
        <f t="shared" ca="1" si="72"/>
        <v>42</v>
      </c>
      <c r="BC25" s="49">
        <f t="shared" ca="1" si="72"/>
        <v>27</v>
      </c>
      <c r="BD25" s="49">
        <f t="shared" ca="1" si="72"/>
        <v>79</v>
      </c>
      <c r="BE25" s="49">
        <f t="shared" ca="1" si="72"/>
        <v>125</v>
      </c>
      <c r="BF25" s="49">
        <f t="shared" ca="1" si="72"/>
        <v>89</v>
      </c>
      <c r="BG25" s="49">
        <f t="shared" ca="1" si="72"/>
        <v>171</v>
      </c>
      <c r="BH25" s="49">
        <f t="shared" ca="1" si="72"/>
        <v>94</v>
      </c>
      <c r="BI25" s="49">
        <f t="shared" ca="1" si="72"/>
        <v>66</v>
      </c>
      <c r="BJ25" s="49">
        <f t="shared" ca="1" si="72"/>
        <v>88</v>
      </c>
      <c r="BK25" s="49">
        <f t="shared" ca="1" si="72"/>
        <v>101</v>
      </c>
      <c r="BL25" s="49">
        <f t="shared" ca="1" si="72"/>
        <v>54</v>
      </c>
      <c r="BM25" s="49">
        <f t="shared" ca="1" si="72"/>
        <v>169</v>
      </c>
      <c r="BN25" s="49">
        <f t="shared" ca="1" si="72"/>
        <v>136</v>
      </c>
      <c r="BO25" s="49">
        <f t="shared" ca="1" si="72"/>
        <v>138</v>
      </c>
      <c r="BP25" s="49">
        <f t="shared" ref="BP25:CU25" ca="1" si="73">RANDBETWEEN(1, 200)</f>
        <v>16</v>
      </c>
      <c r="BQ25" s="49">
        <f t="shared" ca="1" si="73"/>
        <v>196</v>
      </c>
      <c r="BR25" s="49">
        <f t="shared" ca="1" si="73"/>
        <v>121</v>
      </c>
      <c r="BS25" s="49">
        <f t="shared" ca="1" si="73"/>
        <v>137</v>
      </c>
      <c r="BT25" s="49">
        <f t="shared" ca="1" si="73"/>
        <v>153</v>
      </c>
      <c r="BU25" s="49">
        <f t="shared" ca="1" si="73"/>
        <v>171</v>
      </c>
      <c r="BV25" s="49">
        <f t="shared" ca="1" si="73"/>
        <v>135</v>
      </c>
      <c r="BW25" s="49">
        <f t="shared" ca="1" si="73"/>
        <v>52</v>
      </c>
      <c r="BX25" s="49">
        <f t="shared" ca="1" si="73"/>
        <v>118</v>
      </c>
      <c r="BY25" s="49">
        <f t="shared" ca="1" si="73"/>
        <v>67</v>
      </c>
      <c r="BZ25" s="49">
        <f t="shared" ca="1" si="73"/>
        <v>156</v>
      </c>
      <c r="CA25" s="49">
        <f t="shared" ca="1" si="73"/>
        <v>9</v>
      </c>
      <c r="CB25" s="49">
        <f t="shared" ca="1" si="73"/>
        <v>22</v>
      </c>
      <c r="CC25" s="49">
        <f t="shared" ca="1" si="73"/>
        <v>7</v>
      </c>
      <c r="CD25" s="49">
        <f t="shared" ca="1" si="73"/>
        <v>162</v>
      </c>
      <c r="CE25" s="49">
        <f t="shared" ca="1" si="73"/>
        <v>172</v>
      </c>
      <c r="CF25" s="49">
        <f t="shared" ca="1" si="73"/>
        <v>70</v>
      </c>
      <c r="CG25" s="49">
        <f t="shared" ca="1" si="73"/>
        <v>21</v>
      </c>
      <c r="CH25" s="49">
        <f t="shared" ca="1" si="73"/>
        <v>100</v>
      </c>
      <c r="CI25" s="49">
        <f t="shared" ca="1" si="73"/>
        <v>84</v>
      </c>
      <c r="CJ25" s="49">
        <f t="shared" ca="1" si="73"/>
        <v>184</v>
      </c>
      <c r="CK25" s="49">
        <f t="shared" ca="1" si="73"/>
        <v>84</v>
      </c>
      <c r="CL25" s="49">
        <f t="shared" ca="1" si="73"/>
        <v>42</v>
      </c>
      <c r="CM25" s="49">
        <f t="shared" ca="1" si="73"/>
        <v>63</v>
      </c>
      <c r="CN25" s="49">
        <f t="shared" ca="1" si="73"/>
        <v>62</v>
      </c>
      <c r="CO25" s="49">
        <f t="shared" ca="1" si="73"/>
        <v>19</v>
      </c>
      <c r="CP25" s="49">
        <f t="shared" ca="1" si="73"/>
        <v>11</v>
      </c>
      <c r="CQ25" s="49">
        <f t="shared" ca="1" si="73"/>
        <v>1</v>
      </c>
      <c r="CR25" s="49">
        <f t="shared" ca="1" si="73"/>
        <v>93</v>
      </c>
      <c r="CS25" s="49">
        <f t="shared" ca="1" si="73"/>
        <v>81</v>
      </c>
      <c r="CT25" s="49">
        <f t="shared" ca="1" si="73"/>
        <v>178</v>
      </c>
      <c r="CU25" s="49">
        <f t="shared" ca="1" si="73"/>
        <v>126</v>
      </c>
      <c r="CV25" s="49">
        <f t="shared" ref="CV25:EE25" ca="1" si="74">RANDBETWEEN(1, 200)</f>
        <v>140</v>
      </c>
      <c r="CW25" s="49">
        <f t="shared" ca="1" si="74"/>
        <v>43</v>
      </c>
      <c r="CX25" s="49">
        <f t="shared" ca="1" si="74"/>
        <v>76</v>
      </c>
      <c r="CY25" s="49">
        <f t="shared" ca="1" si="74"/>
        <v>59</v>
      </c>
      <c r="CZ25" s="49">
        <f t="shared" ca="1" si="74"/>
        <v>12</v>
      </c>
      <c r="DA25" s="49">
        <f t="shared" ca="1" si="74"/>
        <v>171</v>
      </c>
      <c r="DB25" s="49">
        <f t="shared" ca="1" si="74"/>
        <v>61</v>
      </c>
      <c r="DC25" s="49">
        <f t="shared" ca="1" si="74"/>
        <v>136</v>
      </c>
      <c r="DD25" s="49">
        <f t="shared" ca="1" si="74"/>
        <v>13</v>
      </c>
      <c r="DE25" s="49">
        <f t="shared" ca="1" si="74"/>
        <v>54</v>
      </c>
      <c r="DF25" s="49">
        <f t="shared" ca="1" si="74"/>
        <v>187</v>
      </c>
      <c r="DG25" s="49">
        <f t="shared" ca="1" si="74"/>
        <v>194</v>
      </c>
      <c r="DH25" s="49">
        <f t="shared" ca="1" si="74"/>
        <v>153</v>
      </c>
      <c r="DI25" s="49">
        <f t="shared" ca="1" si="74"/>
        <v>120</v>
      </c>
      <c r="DJ25" s="49">
        <f t="shared" ca="1" si="74"/>
        <v>22</v>
      </c>
      <c r="DK25" s="49">
        <f t="shared" ca="1" si="74"/>
        <v>128</v>
      </c>
      <c r="DL25" s="49">
        <f t="shared" ca="1" si="74"/>
        <v>18</v>
      </c>
      <c r="DM25" s="49">
        <f t="shared" ca="1" si="74"/>
        <v>11</v>
      </c>
      <c r="DN25" s="49">
        <f t="shared" ca="1" si="74"/>
        <v>188</v>
      </c>
      <c r="DO25" s="49">
        <f t="shared" ca="1" si="74"/>
        <v>116</v>
      </c>
      <c r="DP25" s="49">
        <f t="shared" ca="1" si="74"/>
        <v>160</v>
      </c>
      <c r="DQ25" s="49">
        <f t="shared" ca="1" si="74"/>
        <v>2</v>
      </c>
      <c r="DR25" s="49">
        <f t="shared" ca="1" si="74"/>
        <v>91</v>
      </c>
      <c r="DS25" s="49">
        <f t="shared" ca="1" si="74"/>
        <v>196</v>
      </c>
      <c r="DT25" s="49">
        <f t="shared" ca="1" si="74"/>
        <v>194</v>
      </c>
      <c r="DU25" s="49">
        <f t="shared" ca="1" si="74"/>
        <v>109</v>
      </c>
      <c r="DV25" s="49">
        <f t="shared" ca="1" si="74"/>
        <v>188</v>
      </c>
      <c r="DW25" s="49">
        <f t="shared" ca="1" si="74"/>
        <v>40</v>
      </c>
      <c r="DX25" s="49">
        <f t="shared" ca="1" si="74"/>
        <v>77</v>
      </c>
      <c r="DY25" s="49">
        <f t="shared" ca="1" si="74"/>
        <v>48</v>
      </c>
      <c r="DZ25" s="49">
        <f t="shared" ca="1" si="74"/>
        <v>121</v>
      </c>
      <c r="EA25" s="49">
        <f t="shared" ca="1" si="74"/>
        <v>85</v>
      </c>
      <c r="EB25" s="49">
        <f t="shared" ca="1" si="74"/>
        <v>47</v>
      </c>
      <c r="EC25" s="49">
        <f t="shared" ca="1" si="74"/>
        <v>83</v>
      </c>
      <c r="ED25" s="49">
        <f t="shared" ca="1" si="74"/>
        <v>146</v>
      </c>
      <c r="EE25" s="49">
        <f t="shared" ca="1" si="74"/>
        <v>62</v>
      </c>
    </row>
    <row r="26" spans="1:135" x14ac:dyDescent="0.4">
      <c r="A26" s="29" t="str">
        <f t="shared" si="7"/>
        <v>KPI ID 19 %</v>
      </c>
      <c r="B26" s="47" t="s">
        <v>63</v>
      </c>
      <c r="C26" s="48" t="s">
        <v>34</v>
      </c>
      <c r="D26" s="49">
        <f t="shared" ref="D26:AI26" ca="1" si="75">RANDBETWEEN(20, 45)</f>
        <v>40</v>
      </c>
      <c r="E26" s="49">
        <f t="shared" ca="1" si="75"/>
        <v>25</v>
      </c>
      <c r="F26" s="49">
        <f t="shared" ca="1" si="75"/>
        <v>38</v>
      </c>
      <c r="G26" s="49">
        <f t="shared" ca="1" si="75"/>
        <v>26</v>
      </c>
      <c r="H26" s="49">
        <f t="shared" ca="1" si="75"/>
        <v>36</v>
      </c>
      <c r="I26" s="49">
        <f t="shared" ca="1" si="75"/>
        <v>36</v>
      </c>
      <c r="J26" s="49">
        <f t="shared" ca="1" si="75"/>
        <v>33</v>
      </c>
      <c r="K26" s="49">
        <f t="shared" ca="1" si="75"/>
        <v>41</v>
      </c>
      <c r="L26" s="49">
        <f t="shared" ca="1" si="75"/>
        <v>44</v>
      </c>
      <c r="M26" s="49">
        <f t="shared" ca="1" si="75"/>
        <v>41</v>
      </c>
      <c r="N26" s="49">
        <f t="shared" ca="1" si="75"/>
        <v>24</v>
      </c>
      <c r="O26" s="49">
        <f t="shared" ca="1" si="75"/>
        <v>33</v>
      </c>
      <c r="P26" s="49">
        <f t="shared" ca="1" si="75"/>
        <v>29</v>
      </c>
      <c r="Q26" s="49">
        <f t="shared" ca="1" si="75"/>
        <v>22</v>
      </c>
      <c r="R26" s="49">
        <f t="shared" ca="1" si="75"/>
        <v>38</v>
      </c>
      <c r="S26" s="49">
        <f t="shared" ca="1" si="75"/>
        <v>24</v>
      </c>
      <c r="T26" s="49">
        <f t="shared" ca="1" si="75"/>
        <v>31</v>
      </c>
      <c r="U26" s="49">
        <f t="shared" ca="1" si="75"/>
        <v>42</v>
      </c>
      <c r="V26" s="49">
        <f t="shared" ca="1" si="75"/>
        <v>39</v>
      </c>
      <c r="W26" s="49">
        <f t="shared" ca="1" si="75"/>
        <v>45</v>
      </c>
      <c r="X26" s="49">
        <f t="shared" ca="1" si="75"/>
        <v>31</v>
      </c>
      <c r="Y26" s="49">
        <f t="shared" ca="1" si="75"/>
        <v>42</v>
      </c>
      <c r="Z26" s="49">
        <f t="shared" ca="1" si="75"/>
        <v>26</v>
      </c>
      <c r="AA26" s="49">
        <f t="shared" ca="1" si="75"/>
        <v>30</v>
      </c>
      <c r="AB26" s="49">
        <f t="shared" ca="1" si="75"/>
        <v>24</v>
      </c>
      <c r="AC26" s="49">
        <f t="shared" ca="1" si="75"/>
        <v>45</v>
      </c>
      <c r="AD26" s="49">
        <f t="shared" ca="1" si="75"/>
        <v>39</v>
      </c>
      <c r="AE26" s="49">
        <f t="shared" ca="1" si="75"/>
        <v>20</v>
      </c>
      <c r="AF26" s="49">
        <f t="shared" ca="1" si="75"/>
        <v>45</v>
      </c>
      <c r="AG26" s="49">
        <f t="shared" ca="1" si="75"/>
        <v>42</v>
      </c>
      <c r="AH26" s="49">
        <f t="shared" ca="1" si="75"/>
        <v>42</v>
      </c>
      <c r="AI26" s="49">
        <f t="shared" ca="1" si="75"/>
        <v>28</v>
      </c>
      <c r="AJ26" s="49">
        <f t="shared" ref="AJ26:BO26" ca="1" si="76">RANDBETWEEN(20, 45)</f>
        <v>40</v>
      </c>
      <c r="AK26" s="49">
        <f t="shared" ca="1" si="76"/>
        <v>26</v>
      </c>
      <c r="AL26" s="49">
        <f t="shared" ca="1" si="76"/>
        <v>24</v>
      </c>
      <c r="AM26" s="49">
        <f t="shared" ca="1" si="76"/>
        <v>21</v>
      </c>
      <c r="AN26" s="49">
        <f t="shared" ca="1" si="76"/>
        <v>36</v>
      </c>
      <c r="AO26" s="49">
        <f t="shared" ca="1" si="76"/>
        <v>23</v>
      </c>
      <c r="AP26" s="49">
        <f t="shared" ca="1" si="76"/>
        <v>43</v>
      </c>
      <c r="AQ26" s="49">
        <f t="shared" ca="1" si="76"/>
        <v>39</v>
      </c>
      <c r="AR26" s="49">
        <f t="shared" ca="1" si="76"/>
        <v>28</v>
      </c>
      <c r="AS26" s="49">
        <f t="shared" ca="1" si="76"/>
        <v>43</v>
      </c>
      <c r="AT26" s="49">
        <f t="shared" ca="1" si="76"/>
        <v>30</v>
      </c>
      <c r="AU26" s="49">
        <f t="shared" ca="1" si="76"/>
        <v>26</v>
      </c>
      <c r="AV26" s="49">
        <f t="shared" ca="1" si="76"/>
        <v>40</v>
      </c>
      <c r="AW26" s="49">
        <f t="shared" ca="1" si="76"/>
        <v>41</v>
      </c>
      <c r="AX26" s="49">
        <f t="shared" ca="1" si="76"/>
        <v>38</v>
      </c>
      <c r="AY26" s="49">
        <f t="shared" ca="1" si="76"/>
        <v>29</v>
      </c>
      <c r="AZ26" s="49">
        <f t="shared" ca="1" si="76"/>
        <v>41</v>
      </c>
      <c r="BA26" s="49">
        <f t="shared" ca="1" si="76"/>
        <v>20</v>
      </c>
      <c r="BB26" s="49">
        <f t="shared" ca="1" si="76"/>
        <v>28</v>
      </c>
      <c r="BC26" s="49">
        <f t="shared" ca="1" si="76"/>
        <v>38</v>
      </c>
      <c r="BD26" s="49">
        <f t="shared" ca="1" si="76"/>
        <v>30</v>
      </c>
      <c r="BE26" s="49">
        <f t="shared" ca="1" si="76"/>
        <v>28</v>
      </c>
      <c r="BF26" s="49">
        <f t="shared" ca="1" si="76"/>
        <v>42</v>
      </c>
      <c r="BG26" s="49">
        <f t="shared" ca="1" si="76"/>
        <v>25</v>
      </c>
      <c r="BH26" s="49">
        <f t="shared" ca="1" si="76"/>
        <v>24</v>
      </c>
      <c r="BI26" s="49">
        <f t="shared" ca="1" si="76"/>
        <v>30</v>
      </c>
      <c r="BJ26" s="49">
        <f t="shared" ca="1" si="76"/>
        <v>20</v>
      </c>
      <c r="BK26" s="49">
        <f t="shared" ca="1" si="76"/>
        <v>35</v>
      </c>
      <c r="BL26" s="49">
        <f t="shared" ca="1" si="76"/>
        <v>31</v>
      </c>
      <c r="BM26" s="49">
        <f t="shared" ca="1" si="76"/>
        <v>38</v>
      </c>
      <c r="BN26" s="49">
        <f t="shared" ca="1" si="76"/>
        <v>42</v>
      </c>
      <c r="BO26" s="49">
        <f t="shared" ca="1" si="76"/>
        <v>43</v>
      </c>
      <c r="BP26" s="49">
        <f t="shared" ref="BP26:CU26" ca="1" si="77">RANDBETWEEN(20, 45)</f>
        <v>33</v>
      </c>
      <c r="BQ26" s="49">
        <f t="shared" ca="1" si="77"/>
        <v>38</v>
      </c>
      <c r="BR26" s="49">
        <f t="shared" ca="1" si="77"/>
        <v>30</v>
      </c>
      <c r="BS26" s="49">
        <f t="shared" ca="1" si="77"/>
        <v>45</v>
      </c>
      <c r="BT26" s="49">
        <f t="shared" ca="1" si="77"/>
        <v>28</v>
      </c>
      <c r="BU26" s="49">
        <f t="shared" ca="1" si="77"/>
        <v>26</v>
      </c>
      <c r="BV26" s="49">
        <f t="shared" ca="1" si="77"/>
        <v>36</v>
      </c>
      <c r="BW26" s="49">
        <f t="shared" ca="1" si="77"/>
        <v>20</v>
      </c>
      <c r="BX26" s="49">
        <f t="shared" ca="1" si="77"/>
        <v>36</v>
      </c>
      <c r="BY26" s="49">
        <f t="shared" ca="1" si="77"/>
        <v>32</v>
      </c>
      <c r="BZ26" s="49">
        <f t="shared" ca="1" si="77"/>
        <v>20</v>
      </c>
      <c r="CA26" s="49">
        <f t="shared" ca="1" si="77"/>
        <v>38</v>
      </c>
      <c r="CB26" s="49">
        <f t="shared" ca="1" si="77"/>
        <v>44</v>
      </c>
      <c r="CC26" s="49">
        <f t="shared" ca="1" si="77"/>
        <v>41</v>
      </c>
      <c r="CD26" s="49">
        <f t="shared" ca="1" si="77"/>
        <v>44</v>
      </c>
      <c r="CE26" s="49">
        <f t="shared" ca="1" si="77"/>
        <v>24</v>
      </c>
      <c r="CF26" s="49">
        <f t="shared" ca="1" si="77"/>
        <v>27</v>
      </c>
      <c r="CG26" s="49">
        <f t="shared" ca="1" si="77"/>
        <v>33</v>
      </c>
      <c r="CH26" s="49">
        <f t="shared" ca="1" si="77"/>
        <v>42</v>
      </c>
      <c r="CI26" s="49">
        <f t="shared" ca="1" si="77"/>
        <v>40</v>
      </c>
      <c r="CJ26" s="49">
        <f t="shared" ca="1" si="77"/>
        <v>23</v>
      </c>
      <c r="CK26" s="49">
        <f t="shared" ca="1" si="77"/>
        <v>41</v>
      </c>
      <c r="CL26" s="49">
        <f t="shared" ca="1" si="77"/>
        <v>23</v>
      </c>
      <c r="CM26" s="49">
        <f t="shared" ca="1" si="77"/>
        <v>43</v>
      </c>
      <c r="CN26" s="49">
        <f t="shared" ca="1" si="77"/>
        <v>45</v>
      </c>
      <c r="CO26" s="49">
        <f t="shared" ca="1" si="77"/>
        <v>29</v>
      </c>
      <c r="CP26" s="49">
        <f t="shared" ca="1" si="77"/>
        <v>32</v>
      </c>
      <c r="CQ26" s="49">
        <f t="shared" ca="1" si="77"/>
        <v>38</v>
      </c>
      <c r="CR26" s="49">
        <f t="shared" ca="1" si="77"/>
        <v>32</v>
      </c>
      <c r="CS26" s="49">
        <f t="shared" ca="1" si="77"/>
        <v>23</v>
      </c>
      <c r="CT26" s="49">
        <f t="shared" ca="1" si="77"/>
        <v>40</v>
      </c>
      <c r="CU26" s="49">
        <f t="shared" ca="1" si="77"/>
        <v>27</v>
      </c>
      <c r="CV26" s="49">
        <f t="shared" ref="CV26:DQ26" ca="1" si="78">RANDBETWEEN(20, 45)</f>
        <v>23</v>
      </c>
      <c r="CW26" s="49">
        <f t="shared" ca="1" si="78"/>
        <v>34</v>
      </c>
      <c r="CX26" s="49">
        <f t="shared" ca="1" si="78"/>
        <v>20</v>
      </c>
      <c r="CY26" s="49">
        <f t="shared" ca="1" si="78"/>
        <v>28</v>
      </c>
      <c r="CZ26" s="49">
        <f t="shared" ca="1" si="78"/>
        <v>41</v>
      </c>
      <c r="DA26" s="49">
        <f t="shared" ca="1" si="78"/>
        <v>23</v>
      </c>
      <c r="DB26" s="49">
        <f t="shared" ca="1" si="78"/>
        <v>41</v>
      </c>
      <c r="DC26" s="49">
        <f t="shared" ca="1" si="78"/>
        <v>33</v>
      </c>
      <c r="DD26" s="49">
        <f t="shared" ca="1" si="78"/>
        <v>24</v>
      </c>
      <c r="DE26" s="49">
        <f t="shared" ca="1" si="78"/>
        <v>25</v>
      </c>
      <c r="DF26" s="49">
        <f t="shared" ca="1" si="78"/>
        <v>24</v>
      </c>
      <c r="DG26" s="49">
        <f t="shared" ca="1" si="78"/>
        <v>25</v>
      </c>
      <c r="DH26" s="49">
        <f t="shared" ca="1" si="78"/>
        <v>21</v>
      </c>
      <c r="DI26" s="49">
        <f t="shared" ca="1" si="78"/>
        <v>35</v>
      </c>
      <c r="DJ26" s="49">
        <f t="shared" ca="1" si="78"/>
        <v>40</v>
      </c>
      <c r="DK26" s="49">
        <f t="shared" ca="1" si="78"/>
        <v>29</v>
      </c>
      <c r="DL26" s="49">
        <f t="shared" ca="1" si="78"/>
        <v>23</v>
      </c>
      <c r="DM26" s="49">
        <f t="shared" ca="1" si="78"/>
        <v>23</v>
      </c>
      <c r="DN26" s="49">
        <f t="shared" ca="1" si="78"/>
        <v>31</v>
      </c>
      <c r="DO26" s="49">
        <f t="shared" ca="1" si="78"/>
        <v>41</v>
      </c>
      <c r="DP26" s="49">
        <f t="shared" ca="1" si="78"/>
        <v>41</v>
      </c>
      <c r="DQ26" s="49">
        <f t="shared" ca="1" si="78"/>
        <v>30</v>
      </c>
      <c r="DR26" s="49">
        <f ca="1">RAND()+1</f>
        <v>1.4216886776650151</v>
      </c>
      <c r="DS26" s="49">
        <f t="shared" ref="DS26:EE26" ca="1" si="79">RANDBETWEEN(20, 45)</f>
        <v>34</v>
      </c>
      <c r="DT26" s="49">
        <f t="shared" ca="1" si="79"/>
        <v>24</v>
      </c>
      <c r="DU26" s="49">
        <f t="shared" ca="1" si="79"/>
        <v>29</v>
      </c>
      <c r="DV26" s="49">
        <f t="shared" ca="1" si="79"/>
        <v>24</v>
      </c>
      <c r="DW26" s="49">
        <f t="shared" ca="1" si="79"/>
        <v>43</v>
      </c>
      <c r="DX26" s="49">
        <f t="shared" ca="1" si="79"/>
        <v>22</v>
      </c>
      <c r="DY26" s="49">
        <f t="shared" ca="1" si="79"/>
        <v>32</v>
      </c>
      <c r="DZ26" s="49">
        <f t="shared" ca="1" si="79"/>
        <v>42</v>
      </c>
      <c r="EA26" s="49">
        <f t="shared" ca="1" si="79"/>
        <v>34</v>
      </c>
      <c r="EB26" s="49">
        <f t="shared" ca="1" si="79"/>
        <v>29</v>
      </c>
      <c r="EC26" s="49">
        <f t="shared" ca="1" si="79"/>
        <v>34</v>
      </c>
      <c r="ED26" s="49">
        <f t="shared" ca="1" si="79"/>
        <v>36</v>
      </c>
      <c r="EE26" s="49">
        <f t="shared" ca="1" si="79"/>
        <v>43</v>
      </c>
    </row>
    <row r="27" spans="1:135" x14ac:dyDescent="0.4">
      <c r="A27" s="29" t="str">
        <f t="shared" si="7"/>
        <v>KPI ID 20 %</v>
      </c>
      <c r="B27" s="47" t="s">
        <v>63</v>
      </c>
      <c r="C27" s="48" t="s">
        <v>35</v>
      </c>
      <c r="D27" s="49">
        <f t="shared" ref="D27:AI27" ca="1" si="80">RAND()*0.224</f>
        <v>0.20078782893975886</v>
      </c>
      <c r="E27" s="49">
        <f t="shared" ca="1" si="80"/>
        <v>0.21537276306941527</v>
      </c>
      <c r="F27" s="49">
        <f t="shared" ca="1" si="80"/>
        <v>3.6611859032901907E-2</v>
      </c>
      <c r="G27" s="49">
        <f t="shared" ca="1" si="80"/>
        <v>1.0849133617589039E-3</v>
      </c>
      <c r="H27" s="49">
        <f t="shared" ca="1" si="80"/>
        <v>0.19142687233515759</v>
      </c>
      <c r="I27" s="49">
        <f t="shared" ca="1" si="80"/>
        <v>0.1518080736170033</v>
      </c>
      <c r="J27" s="49">
        <f t="shared" ca="1" si="80"/>
        <v>8.4508269568883437E-2</v>
      </c>
      <c r="K27" s="49">
        <f t="shared" ca="1" si="80"/>
        <v>0.16209992109728855</v>
      </c>
      <c r="L27" s="49">
        <f t="shared" ca="1" si="80"/>
        <v>0.17171371737038835</v>
      </c>
      <c r="M27" s="49">
        <f t="shared" ca="1" si="80"/>
        <v>0.16214772345369513</v>
      </c>
      <c r="N27" s="49">
        <f t="shared" ca="1" si="80"/>
        <v>6.6886122630149619E-2</v>
      </c>
      <c r="O27" s="49">
        <f t="shared" ca="1" si="80"/>
        <v>0.18201198081765446</v>
      </c>
      <c r="P27" s="49">
        <f t="shared" ca="1" si="80"/>
        <v>0.133053546737844</v>
      </c>
      <c r="Q27" s="49">
        <f t="shared" ca="1" si="80"/>
        <v>0.11244744275839333</v>
      </c>
      <c r="R27" s="49">
        <f t="shared" ca="1" si="80"/>
        <v>0.11267085014798225</v>
      </c>
      <c r="S27" s="49">
        <f t="shared" ca="1" si="80"/>
        <v>0.117636156527856</v>
      </c>
      <c r="T27" s="49">
        <f t="shared" ca="1" si="80"/>
        <v>4.3685869763005938E-2</v>
      </c>
      <c r="U27" s="49">
        <f t="shared" ca="1" si="80"/>
        <v>9.7879354487096643E-2</v>
      </c>
      <c r="V27" s="49">
        <f t="shared" ca="1" si="80"/>
        <v>5.5540243963784673E-2</v>
      </c>
      <c r="W27" s="49">
        <f t="shared" ca="1" si="80"/>
        <v>0.21428526102121867</v>
      </c>
      <c r="X27" s="49">
        <f t="shared" ca="1" si="80"/>
        <v>0.11633092029971027</v>
      </c>
      <c r="Y27" s="49">
        <f t="shared" ca="1" si="80"/>
        <v>0.16942909850857857</v>
      </c>
      <c r="Z27" s="49">
        <f t="shared" ca="1" si="80"/>
        <v>0.17738238883525753</v>
      </c>
      <c r="AA27" s="49">
        <f t="shared" ca="1" si="80"/>
        <v>0.14011440927171151</v>
      </c>
      <c r="AB27" s="49">
        <f t="shared" ca="1" si="80"/>
        <v>0.158422703344509</v>
      </c>
      <c r="AC27" s="49">
        <f t="shared" ca="1" si="80"/>
        <v>6.8192884055516033E-3</v>
      </c>
      <c r="AD27" s="49">
        <f t="shared" ca="1" si="80"/>
        <v>0.11693061372845298</v>
      </c>
      <c r="AE27" s="49">
        <f t="shared" ca="1" si="80"/>
        <v>9.5479225193728062E-2</v>
      </c>
      <c r="AF27" s="49">
        <f t="shared" ca="1" si="80"/>
        <v>0.17688345410937739</v>
      </c>
      <c r="AG27" s="49">
        <f t="shared" ca="1" si="80"/>
        <v>0.13460646948851107</v>
      </c>
      <c r="AH27" s="49">
        <f t="shared" ca="1" si="80"/>
        <v>3.4941125464643875E-2</v>
      </c>
      <c r="AI27" s="49">
        <f t="shared" ca="1" si="80"/>
        <v>9.7503629283787793E-2</v>
      </c>
      <c r="AJ27" s="49">
        <f t="shared" ref="AJ27:BO27" ca="1" si="81">RAND()*0.224</f>
        <v>7.451198059916414E-2</v>
      </c>
      <c r="AK27" s="49">
        <f t="shared" ca="1" si="81"/>
        <v>0.14268997247674023</v>
      </c>
      <c r="AL27" s="49">
        <f t="shared" ca="1" si="81"/>
        <v>0.12900611558567698</v>
      </c>
      <c r="AM27" s="49">
        <f t="shared" ca="1" si="81"/>
        <v>0.22294983622360134</v>
      </c>
      <c r="AN27" s="49">
        <f t="shared" ca="1" si="81"/>
        <v>0.22123353734404971</v>
      </c>
      <c r="AO27" s="49">
        <f t="shared" ca="1" si="81"/>
        <v>0.13248185749407065</v>
      </c>
      <c r="AP27" s="49">
        <f t="shared" ca="1" si="81"/>
        <v>0.17536790592431781</v>
      </c>
      <c r="AQ27" s="49">
        <f t="shared" ca="1" si="81"/>
        <v>5.8956415735949936E-3</v>
      </c>
      <c r="AR27" s="49">
        <f t="shared" ca="1" si="81"/>
        <v>0.15337930091866328</v>
      </c>
      <c r="AS27" s="49">
        <f t="shared" ca="1" si="81"/>
        <v>0.1865125986098648</v>
      </c>
      <c r="AT27" s="49">
        <f t="shared" ca="1" si="81"/>
        <v>0.19446436114950652</v>
      </c>
      <c r="AU27" s="49">
        <f t="shared" ca="1" si="81"/>
        <v>0.13063277943974644</v>
      </c>
      <c r="AV27" s="49">
        <f t="shared" ca="1" si="81"/>
        <v>3.805726966697609E-2</v>
      </c>
      <c r="AW27" s="49">
        <f t="shared" ca="1" si="81"/>
        <v>0.11049171441084382</v>
      </c>
      <c r="AX27" s="49">
        <f t="shared" ca="1" si="81"/>
        <v>0.16047701841552028</v>
      </c>
      <c r="AY27" s="49">
        <f t="shared" ca="1" si="81"/>
        <v>9.9364765126128837E-2</v>
      </c>
      <c r="AZ27" s="49">
        <f t="shared" ca="1" si="81"/>
        <v>7.2131769506563567E-2</v>
      </c>
      <c r="BA27" s="49">
        <f t="shared" ca="1" si="81"/>
        <v>0.16579548130880001</v>
      </c>
      <c r="BB27" s="49">
        <f t="shared" ca="1" si="81"/>
        <v>4.0119585190148799E-2</v>
      </c>
      <c r="BC27" s="49">
        <f t="shared" ca="1" si="81"/>
        <v>8.7389385705050976E-2</v>
      </c>
      <c r="BD27" s="49">
        <f t="shared" ca="1" si="81"/>
        <v>0.18872944859453208</v>
      </c>
      <c r="BE27" s="49">
        <f t="shared" ca="1" si="81"/>
        <v>3.3098653942185682E-2</v>
      </c>
      <c r="BF27" s="49">
        <f t="shared" ca="1" si="81"/>
        <v>2.4246331934804004E-2</v>
      </c>
      <c r="BG27" s="49">
        <f t="shared" ca="1" si="81"/>
        <v>0.1185140786936856</v>
      </c>
      <c r="BH27" s="49">
        <f t="shared" ca="1" si="81"/>
        <v>0.19707268086519911</v>
      </c>
      <c r="BI27" s="49">
        <f t="shared" ca="1" si="81"/>
        <v>0.1060073772343218</v>
      </c>
      <c r="BJ27" s="49">
        <f t="shared" ca="1" si="81"/>
        <v>3.0003877330459391E-2</v>
      </c>
      <c r="BK27" s="49">
        <f t="shared" ca="1" si="81"/>
        <v>8.185837899294033E-3</v>
      </c>
      <c r="BL27" s="49">
        <f t="shared" ca="1" si="81"/>
        <v>0.2125368172470963</v>
      </c>
      <c r="BM27" s="49">
        <f t="shared" ca="1" si="81"/>
        <v>8.3140594492253139E-2</v>
      </c>
      <c r="BN27" s="49">
        <f t="shared" ca="1" si="81"/>
        <v>7.6718137923530189E-2</v>
      </c>
      <c r="BO27" s="49">
        <f t="shared" ca="1" si="81"/>
        <v>5.902199096701119E-2</v>
      </c>
      <c r="BP27" s="49">
        <f t="shared" ref="BP27:CU27" ca="1" si="82">RAND()*0.224</f>
        <v>0.14670935479669664</v>
      </c>
      <c r="BQ27" s="49">
        <f t="shared" ca="1" si="82"/>
        <v>0.11964075421919253</v>
      </c>
      <c r="BR27" s="49">
        <f t="shared" ca="1" si="82"/>
        <v>0.13520063594052681</v>
      </c>
      <c r="BS27" s="49">
        <f t="shared" ca="1" si="82"/>
        <v>4.9100853878567198E-2</v>
      </c>
      <c r="BT27" s="49">
        <f t="shared" ca="1" si="82"/>
        <v>0.17221265128378291</v>
      </c>
      <c r="BU27" s="49">
        <f t="shared" ca="1" si="82"/>
        <v>0.16445977799405345</v>
      </c>
      <c r="BV27" s="49">
        <f t="shared" ca="1" si="82"/>
        <v>5.0031058857781321E-2</v>
      </c>
      <c r="BW27" s="49">
        <f t="shared" ca="1" si="82"/>
        <v>0.16978641608684325</v>
      </c>
      <c r="BX27" s="49">
        <f t="shared" ca="1" si="82"/>
        <v>0.11064344072735759</v>
      </c>
      <c r="BY27" s="49">
        <f t="shared" ca="1" si="82"/>
        <v>9.1449217306397296E-3</v>
      </c>
      <c r="BZ27" s="49">
        <f t="shared" ca="1" si="82"/>
        <v>4.4238370381295362E-2</v>
      </c>
      <c r="CA27" s="49">
        <f t="shared" ca="1" si="82"/>
        <v>8.1742330380919173E-2</v>
      </c>
      <c r="CB27" s="49">
        <f t="shared" ca="1" si="82"/>
        <v>0.19383704052085024</v>
      </c>
      <c r="CC27" s="49">
        <f t="shared" ca="1" si="82"/>
        <v>3.2763918279389112E-2</v>
      </c>
      <c r="CD27" s="49">
        <f t="shared" ca="1" si="82"/>
        <v>6.4833980430880428E-2</v>
      </c>
      <c r="CE27" s="49">
        <f t="shared" ca="1" si="82"/>
        <v>3.0073179092762563E-2</v>
      </c>
      <c r="CF27" s="49">
        <f t="shared" ca="1" si="82"/>
        <v>0.16457241144343515</v>
      </c>
      <c r="CG27" s="49">
        <f t="shared" ca="1" si="82"/>
        <v>0.11188517686383481</v>
      </c>
      <c r="CH27" s="49">
        <f t="shared" ca="1" si="82"/>
        <v>6.9695016743568192E-2</v>
      </c>
      <c r="CI27" s="49">
        <f t="shared" ca="1" si="82"/>
        <v>0.14188439145681289</v>
      </c>
      <c r="CJ27" s="49">
        <f t="shared" ca="1" si="82"/>
        <v>0.17838693248328535</v>
      </c>
      <c r="CK27" s="49">
        <f t="shared" ca="1" si="82"/>
        <v>0.20923117119726722</v>
      </c>
      <c r="CL27" s="49">
        <f t="shared" ca="1" si="82"/>
        <v>0.20809711209098994</v>
      </c>
      <c r="CM27" s="49">
        <f t="shared" ca="1" si="82"/>
        <v>6.8948079428169801E-2</v>
      </c>
      <c r="CN27" s="49">
        <f t="shared" ca="1" si="82"/>
        <v>0.12003415336873875</v>
      </c>
      <c r="CO27" s="49">
        <f t="shared" ca="1" si="82"/>
        <v>0.21057862636770766</v>
      </c>
      <c r="CP27" s="49">
        <f t="shared" ca="1" si="82"/>
        <v>0.15054700096781481</v>
      </c>
      <c r="CQ27" s="49">
        <f t="shared" ca="1" si="82"/>
        <v>2.2492269928028252E-3</v>
      </c>
      <c r="CR27" s="49">
        <f t="shared" ca="1" si="82"/>
        <v>8.337979654243903E-2</v>
      </c>
      <c r="CS27" s="49">
        <f t="shared" ca="1" si="82"/>
        <v>1.5169501491469877E-2</v>
      </c>
      <c r="CT27" s="49">
        <f t="shared" ca="1" si="82"/>
        <v>9.8909182956659306E-2</v>
      </c>
      <c r="CU27" s="49">
        <f t="shared" ca="1" si="82"/>
        <v>0.19952674965810552</v>
      </c>
      <c r="CV27" s="49">
        <f t="shared" ref="CV27:EE27" ca="1" si="83">RAND()*0.224</f>
        <v>0.20317654340249175</v>
      </c>
      <c r="CW27" s="49">
        <f t="shared" ca="1" si="83"/>
        <v>3.2088735389832236E-2</v>
      </c>
      <c r="CX27" s="49">
        <f t="shared" ca="1" si="83"/>
        <v>3.1404741697703048E-2</v>
      </c>
      <c r="CY27" s="49">
        <f t="shared" ca="1" si="83"/>
        <v>0.12109384539139352</v>
      </c>
      <c r="CZ27" s="49">
        <f t="shared" ca="1" si="83"/>
        <v>0.11036410206409911</v>
      </c>
      <c r="DA27" s="49">
        <f t="shared" ca="1" si="83"/>
        <v>6.4701568996325357E-2</v>
      </c>
      <c r="DB27" s="49">
        <f t="shared" ca="1" si="83"/>
        <v>0.20357183892837261</v>
      </c>
      <c r="DC27" s="49">
        <f t="shared" ca="1" si="83"/>
        <v>0.17740692638481292</v>
      </c>
      <c r="DD27" s="49">
        <f t="shared" ca="1" si="83"/>
        <v>8.9832591422830191E-2</v>
      </c>
      <c r="DE27" s="49">
        <f t="shared" ca="1" si="83"/>
        <v>0.14081294464917934</v>
      </c>
      <c r="DF27" s="49">
        <f t="shared" ca="1" si="83"/>
        <v>8.4326204240341679E-2</v>
      </c>
      <c r="DG27" s="49">
        <f t="shared" ca="1" si="83"/>
        <v>0.10460516597169778</v>
      </c>
      <c r="DH27" s="49">
        <f t="shared" ca="1" si="83"/>
        <v>0.20859491630801189</v>
      </c>
      <c r="DI27" s="49">
        <f t="shared" ca="1" si="83"/>
        <v>0.19202053976018912</v>
      </c>
      <c r="DJ27" s="49">
        <f t="shared" ca="1" si="83"/>
        <v>0.12411813488105369</v>
      </c>
      <c r="DK27" s="49">
        <f t="shared" ca="1" si="83"/>
        <v>0.11983762973068182</v>
      </c>
      <c r="DL27" s="49">
        <f t="shared" ca="1" si="83"/>
        <v>0.148310529367842</v>
      </c>
      <c r="DM27" s="49">
        <f t="shared" ca="1" si="83"/>
        <v>0.14734219565649573</v>
      </c>
      <c r="DN27" s="49">
        <f t="shared" ca="1" si="83"/>
        <v>3.9951304267708161E-2</v>
      </c>
      <c r="DO27" s="49">
        <f t="shared" ca="1" si="83"/>
        <v>5.6289630002570652E-2</v>
      </c>
      <c r="DP27" s="49">
        <f t="shared" ca="1" si="83"/>
        <v>0.1014105392799303</v>
      </c>
      <c r="DQ27" s="49">
        <f t="shared" ca="1" si="83"/>
        <v>1.0953530294728999E-3</v>
      </c>
      <c r="DR27" s="49">
        <f t="shared" ca="1" si="83"/>
        <v>3.6514603902170616E-2</v>
      </c>
      <c r="DS27" s="49">
        <f t="shared" ca="1" si="83"/>
        <v>0.2173610690773754</v>
      </c>
      <c r="DT27" s="49">
        <f t="shared" ca="1" si="83"/>
        <v>0.17327958180955286</v>
      </c>
      <c r="DU27" s="49">
        <f t="shared" ca="1" si="83"/>
        <v>0.15931914419949153</v>
      </c>
      <c r="DV27" s="49">
        <f t="shared" ca="1" si="83"/>
        <v>2.9932342582027066E-2</v>
      </c>
      <c r="DW27" s="49">
        <f t="shared" ca="1" si="83"/>
        <v>0.19900271740422756</v>
      </c>
      <c r="DX27" s="49">
        <f t="shared" ca="1" si="83"/>
        <v>0.15577617892356749</v>
      </c>
      <c r="DY27" s="49">
        <f t="shared" ca="1" si="83"/>
        <v>9.997942877924465E-2</v>
      </c>
      <c r="DZ27" s="49">
        <f t="shared" ca="1" si="83"/>
        <v>3.7141807847451649E-2</v>
      </c>
      <c r="EA27" s="49">
        <f t="shared" ca="1" si="83"/>
        <v>8.229954594789036E-6</v>
      </c>
      <c r="EB27" s="49">
        <f t="shared" ca="1" si="83"/>
        <v>0.18155137183654554</v>
      </c>
      <c r="EC27" s="49">
        <f t="shared" ca="1" si="83"/>
        <v>5.2041670999683765E-3</v>
      </c>
      <c r="ED27" s="49">
        <f t="shared" ca="1" si="83"/>
        <v>0.16652887165497712</v>
      </c>
      <c r="EE27" s="49">
        <f t="shared" ca="1" si="83"/>
        <v>0.21991194793290364</v>
      </c>
    </row>
    <row r="28" spans="1:135" x14ac:dyDescent="0.4">
      <c r="A28" s="29" t="str">
        <f t="shared" si="7"/>
        <v>KPI ID 21 %</v>
      </c>
      <c r="B28" s="47" t="s">
        <v>63</v>
      </c>
      <c r="C28" s="48" t="s">
        <v>36</v>
      </c>
      <c r="D28" s="49">
        <f t="shared" ref="D28:AI28" ca="1" si="84">RAND()</f>
        <v>0.71282879645546415</v>
      </c>
      <c r="E28" s="49">
        <f t="shared" ca="1" si="84"/>
        <v>0.16515840747940413</v>
      </c>
      <c r="F28" s="49">
        <f t="shared" ca="1" si="84"/>
        <v>0.79546922886916183</v>
      </c>
      <c r="G28" s="49">
        <f t="shared" ca="1" si="84"/>
        <v>0.79418791246990061</v>
      </c>
      <c r="H28" s="49">
        <f t="shared" ca="1" si="84"/>
        <v>0.90372192535104456</v>
      </c>
      <c r="I28" s="49">
        <f t="shared" ca="1" si="84"/>
        <v>0.48152406995877195</v>
      </c>
      <c r="J28" s="49">
        <f t="shared" ca="1" si="84"/>
        <v>0.89578951795851602</v>
      </c>
      <c r="K28" s="49">
        <f t="shared" ca="1" si="84"/>
        <v>6.1559329639243821E-2</v>
      </c>
      <c r="L28" s="49">
        <f t="shared" ca="1" si="84"/>
        <v>0.24014398025450479</v>
      </c>
      <c r="M28" s="49">
        <f t="shared" ca="1" si="84"/>
        <v>0.38249213159898088</v>
      </c>
      <c r="N28" s="49">
        <f t="shared" ca="1" si="84"/>
        <v>5.4607482251847306E-2</v>
      </c>
      <c r="O28" s="49">
        <f t="shared" ca="1" si="84"/>
        <v>7.3772915989980592E-2</v>
      </c>
      <c r="P28" s="49">
        <f t="shared" ca="1" si="84"/>
        <v>0.30538693722992794</v>
      </c>
      <c r="Q28" s="49">
        <f t="shared" ca="1" si="84"/>
        <v>0.92738777514327397</v>
      </c>
      <c r="R28" s="49">
        <f t="shared" ca="1" si="84"/>
        <v>0.93350099065100656</v>
      </c>
      <c r="S28" s="49">
        <f t="shared" ca="1" si="84"/>
        <v>0.18689764719826851</v>
      </c>
      <c r="T28" s="49">
        <f t="shared" ca="1" si="84"/>
        <v>0.52500834395659646</v>
      </c>
      <c r="U28" s="49">
        <f t="shared" ca="1" si="84"/>
        <v>0.91858034344890793</v>
      </c>
      <c r="V28" s="49">
        <f t="shared" ca="1" si="84"/>
        <v>0.45213437276835566</v>
      </c>
      <c r="W28" s="49">
        <f t="shared" ca="1" si="84"/>
        <v>0.25231587438704806</v>
      </c>
      <c r="X28" s="49">
        <f t="shared" ca="1" si="84"/>
        <v>0.14425605231394256</v>
      </c>
      <c r="Y28" s="49">
        <f t="shared" ca="1" si="84"/>
        <v>0.78559501464938508</v>
      </c>
      <c r="Z28" s="49">
        <f t="shared" ca="1" si="84"/>
        <v>0.5478767043130166</v>
      </c>
      <c r="AA28" s="49">
        <f t="shared" ca="1" si="84"/>
        <v>0.80651686057386551</v>
      </c>
      <c r="AB28" s="49">
        <f t="shared" ca="1" si="84"/>
        <v>0.41345651193951583</v>
      </c>
      <c r="AC28" s="49">
        <f t="shared" ca="1" si="84"/>
        <v>0.64872343413901978</v>
      </c>
      <c r="AD28" s="49">
        <f t="shared" ca="1" si="84"/>
        <v>0.17516772533190805</v>
      </c>
      <c r="AE28" s="49">
        <f t="shared" ca="1" si="84"/>
        <v>0.38924115845248508</v>
      </c>
      <c r="AF28" s="49">
        <f t="shared" ca="1" si="84"/>
        <v>0.6267270550175742</v>
      </c>
      <c r="AG28" s="49">
        <f t="shared" ca="1" si="84"/>
        <v>0.81975477368886884</v>
      </c>
      <c r="AH28" s="49">
        <f t="shared" ca="1" si="84"/>
        <v>0.82309148183661407</v>
      </c>
      <c r="AI28" s="49">
        <f t="shared" ca="1" si="84"/>
        <v>0.57532402132062266</v>
      </c>
      <c r="AJ28" s="49">
        <f t="shared" ref="AJ28:BO28" ca="1" si="85">RAND()</f>
        <v>0.880027774780623</v>
      </c>
      <c r="AK28" s="49">
        <f t="shared" ca="1" si="85"/>
        <v>0.25097511554110241</v>
      </c>
      <c r="AL28" s="49">
        <f t="shared" ca="1" si="85"/>
        <v>0.3410536327760596</v>
      </c>
      <c r="AM28" s="49">
        <f t="shared" ca="1" si="85"/>
        <v>0.82110834759388429</v>
      </c>
      <c r="AN28" s="49">
        <f t="shared" ca="1" si="85"/>
        <v>8.2405416091024475E-2</v>
      </c>
      <c r="AO28" s="49">
        <f t="shared" ca="1" si="85"/>
        <v>0.76311953699771373</v>
      </c>
      <c r="AP28" s="49">
        <f t="shared" ca="1" si="85"/>
        <v>0.83287679152106697</v>
      </c>
      <c r="AQ28" s="49">
        <f t="shared" ca="1" si="85"/>
        <v>0.63051797712967506</v>
      </c>
      <c r="AR28" s="49">
        <f t="shared" ca="1" si="85"/>
        <v>0.39099449282750309</v>
      </c>
      <c r="AS28" s="49">
        <f t="shared" ca="1" si="85"/>
        <v>0.33535424690181437</v>
      </c>
      <c r="AT28" s="49">
        <f t="shared" ca="1" si="85"/>
        <v>0.11606544642967753</v>
      </c>
      <c r="AU28" s="49">
        <f t="shared" ca="1" si="85"/>
        <v>0.7852594117278292</v>
      </c>
      <c r="AV28" s="49">
        <f t="shared" ca="1" si="85"/>
        <v>0.17504661474630068</v>
      </c>
      <c r="AW28" s="49">
        <f t="shared" ca="1" si="85"/>
        <v>0.44594337354492919</v>
      </c>
      <c r="AX28" s="49">
        <f t="shared" ca="1" si="85"/>
        <v>0.16560689809494022</v>
      </c>
      <c r="AY28" s="49">
        <f t="shared" ca="1" si="85"/>
        <v>0.6142275905286888</v>
      </c>
      <c r="AZ28" s="49">
        <f t="shared" ca="1" si="85"/>
        <v>0.10186458224766393</v>
      </c>
      <c r="BA28" s="49">
        <f t="shared" ca="1" si="85"/>
        <v>0.18521407219372255</v>
      </c>
      <c r="BB28" s="49">
        <f t="shared" ca="1" si="85"/>
        <v>0.41617214531311653</v>
      </c>
      <c r="BC28" s="49">
        <f t="shared" ca="1" si="85"/>
        <v>0.29010610775382073</v>
      </c>
      <c r="BD28" s="49">
        <f t="shared" ca="1" si="85"/>
        <v>0.51561299465496835</v>
      </c>
      <c r="BE28" s="49">
        <f t="shared" ca="1" si="85"/>
        <v>0.75156173299948292</v>
      </c>
      <c r="BF28" s="49">
        <f t="shared" ca="1" si="85"/>
        <v>7.3737469827717117E-4</v>
      </c>
      <c r="BG28" s="49">
        <f t="shared" ca="1" si="85"/>
        <v>0.20073557917842633</v>
      </c>
      <c r="BH28" s="49">
        <f t="shared" ca="1" si="85"/>
        <v>0.26497705898730672</v>
      </c>
      <c r="BI28" s="49">
        <f t="shared" ca="1" si="85"/>
        <v>0.44457393375460108</v>
      </c>
      <c r="BJ28" s="49">
        <f t="shared" ca="1" si="85"/>
        <v>0.26890145430678014</v>
      </c>
      <c r="BK28" s="49">
        <f t="shared" ca="1" si="85"/>
        <v>7.9825067743861111E-2</v>
      </c>
      <c r="BL28" s="49">
        <f t="shared" ca="1" si="85"/>
        <v>0.94924485343108478</v>
      </c>
      <c r="BM28" s="49">
        <f t="shared" ca="1" si="85"/>
        <v>0.19183751085275447</v>
      </c>
      <c r="BN28" s="49">
        <f t="shared" ca="1" si="85"/>
        <v>0.89209575505134886</v>
      </c>
      <c r="BO28" s="49">
        <f t="shared" ca="1" si="85"/>
        <v>1.3936116660752895E-2</v>
      </c>
      <c r="BP28" s="49">
        <f t="shared" ref="BP28:CU28" ca="1" si="86">RAND()</f>
        <v>0.54533162681091796</v>
      </c>
      <c r="BQ28" s="49">
        <f t="shared" ca="1" si="86"/>
        <v>2.56742626727402E-3</v>
      </c>
      <c r="BR28" s="49">
        <f t="shared" ca="1" si="86"/>
        <v>0.22082205779927866</v>
      </c>
      <c r="BS28" s="49">
        <f t="shared" ca="1" si="86"/>
        <v>0.14606472225893175</v>
      </c>
      <c r="BT28" s="49">
        <f t="shared" ca="1" si="86"/>
        <v>0.15934701477103952</v>
      </c>
      <c r="BU28" s="49">
        <f t="shared" ca="1" si="86"/>
        <v>0.18250830277546326</v>
      </c>
      <c r="BV28" s="49">
        <f t="shared" ca="1" si="86"/>
        <v>0.49236163907493624</v>
      </c>
      <c r="BW28" s="49">
        <f t="shared" ca="1" si="86"/>
        <v>0.90048394139488264</v>
      </c>
      <c r="BX28" s="49">
        <f t="shared" ca="1" si="86"/>
        <v>0.82716381383815651</v>
      </c>
      <c r="BY28" s="49">
        <f t="shared" ca="1" si="86"/>
        <v>0.42137568875426867</v>
      </c>
      <c r="BZ28" s="49">
        <f t="shared" ca="1" si="86"/>
        <v>0.94708823630497985</v>
      </c>
      <c r="CA28" s="49">
        <f t="shared" ca="1" si="86"/>
        <v>0.72379818960364772</v>
      </c>
      <c r="CB28" s="49">
        <f t="shared" ca="1" si="86"/>
        <v>0.24747477464119194</v>
      </c>
      <c r="CC28" s="49">
        <f t="shared" ca="1" si="86"/>
        <v>0.40447001114444847</v>
      </c>
      <c r="CD28" s="49">
        <f t="shared" ca="1" si="86"/>
        <v>3.9717766808080812E-2</v>
      </c>
      <c r="CE28" s="49">
        <f t="shared" ca="1" si="86"/>
        <v>1.030362696015763E-2</v>
      </c>
      <c r="CF28" s="49">
        <f t="shared" ca="1" si="86"/>
        <v>5.9087358910168253E-2</v>
      </c>
      <c r="CG28" s="49">
        <f t="shared" ca="1" si="86"/>
        <v>0.59845228352910385</v>
      </c>
      <c r="CH28" s="49">
        <f t="shared" ca="1" si="86"/>
        <v>0.13853823282044742</v>
      </c>
      <c r="CI28" s="49">
        <f t="shared" ca="1" si="86"/>
        <v>4.9198421288611738E-2</v>
      </c>
      <c r="CJ28" s="49">
        <f t="shared" ca="1" si="86"/>
        <v>0.87046597677122906</v>
      </c>
      <c r="CK28" s="49">
        <f t="shared" ca="1" si="86"/>
        <v>8.0367339775395563E-2</v>
      </c>
      <c r="CL28" s="49">
        <f t="shared" ca="1" si="86"/>
        <v>0.89893913510764423</v>
      </c>
      <c r="CM28" s="49">
        <f t="shared" ca="1" si="86"/>
        <v>0.13701745270918386</v>
      </c>
      <c r="CN28" s="49">
        <f t="shared" ca="1" si="86"/>
        <v>0.91501798356454767</v>
      </c>
      <c r="CO28" s="49">
        <f t="shared" ca="1" si="86"/>
        <v>4.8655939641832124E-2</v>
      </c>
      <c r="CP28" s="49">
        <f t="shared" ca="1" si="86"/>
        <v>0.94574570599160235</v>
      </c>
      <c r="CQ28" s="49">
        <f t="shared" ca="1" si="86"/>
        <v>0.77793222154486419</v>
      </c>
      <c r="CR28" s="49">
        <f t="shared" ca="1" si="86"/>
        <v>0.26852611906980861</v>
      </c>
      <c r="CS28" s="49">
        <f t="shared" ca="1" si="86"/>
        <v>0.57145219077076681</v>
      </c>
      <c r="CT28" s="49">
        <f t="shared" ca="1" si="86"/>
        <v>0.83014214155397836</v>
      </c>
      <c r="CU28" s="49">
        <f t="shared" ca="1" si="86"/>
        <v>0.33009583118888564</v>
      </c>
      <c r="CV28" s="49">
        <f t="shared" ref="CV28:EE28" ca="1" si="87">RAND()</f>
        <v>4.1621767253399944E-2</v>
      </c>
      <c r="CW28" s="49">
        <f t="shared" ca="1" si="87"/>
        <v>1.0917153151529524E-2</v>
      </c>
      <c r="CX28" s="49">
        <f t="shared" ca="1" si="87"/>
        <v>0.54910189977824364</v>
      </c>
      <c r="CY28" s="49">
        <f t="shared" ca="1" si="87"/>
        <v>0.86241194558183565</v>
      </c>
      <c r="CZ28" s="49">
        <f t="shared" ca="1" si="87"/>
        <v>9.446003347093912E-2</v>
      </c>
      <c r="DA28" s="49">
        <f t="shared" ca="1" si="87"/>
        <v>1.0152826446773733E-2</v>
      </c>
      <c r="DB28" s="49">
        <f t="shared" ca="1" si="87"/>
        <v>0.7970886426719459</v>
      </c>
      <c r="DC28" s="49">
        <f t="shared" ca="1" si="87"/>
        <v>0.51210891799976677</v>
      </c>
      <c r="DD28" s="49">
        <f t="shared" ca="1" si="87"/>
        <v>0.97111219469347065</v>
      </c>
      <c r="DE28" s="49">
        <f t="shared" ca="1" si="87"/>
        <v>0.67404017610701572</v>
      </c>
      <c r="DF28" s="49">
        <f t="shared" ca="1" si="87"/>
        <v>0.20944484702689292</v>
      </c>
      <c r="DG28" s="49">
        <f t="shared" ca="1" si="87"/>
        <v>0.31515637578840128</v>
      </c>
      <c r="DH28" s="49">
        <f t="shared" ca="1" si="87"/>
        <v>0.7570392048825445</v>
      </c>
      <c r="DI28" s="49">
        <f t="shared" ca="1" si="87"/>
        <v>0.31104327657470665</v>
      </c>
      <c r="DJ28" s="49">
        <f t="shared" ca="1" si="87"/>
        <v>0.55365376057706273</v>
      </c>
      <c r="DK28" s="49">
        <f t="shared" ca="1" si="87"/>
        <v>0.19713964306478149</v>
      </c>
      <c r="DL28" s="49">
        <f t="shared" ca="1" si="87"/>
        <v>0.39494028907479128</v>
      </c>
      <c r="DM28" s="49">
        <f t="shared" ca="1" si="87"/>
        <v>0.5570982691316545</v>
      </c>
      <c r="DN28" s="49">
        <f t="shared" ca="1" si="87"/>
        <v>0.27958194279301074</v>
      </c>
      <c r="DO28" s="49">
        <f t="shared" ca="1" si="87"/>
        <v>0.72161760944651865</v>
      </c>
      <c r="DP28" s="49">
        <f t="shared" ca="1" si="87"/>
        <v>0.74226728993694002</v>
      </c>
      <c r="DQ28" s="49">
        <f t="shared" ca="1" si="87"/>
        <v>0.21567569424401334</v>
      </c>
      <c r="DR28" s="49">
        <f t="shared" ca="1" si="87"/>
        <v>4.1502800219026859E-2</v>
      </c>
      <c r="DS28" s="49">
        <f t="shared" ca="1" si="87"/>
        <v>0.94256229688211057</v>
      </c>
      <c r="DT28" s="49">
        <f t="shared" ca="1" si="87"/>
        <v>0.67845858217126931</v>
      </c>
      <c r="DU28" s="49">
        <f t="shared" ca="1" si="87"/>
        <v>0.66569963502727969</v>
      </c>
      <c r="DV28" s="49">
        <f t="shared" ca="1" si="87"/>
        <v>0.85879548152343088</v>
      </c>
      <c r="DW28" s="49">
        <f t="shared" ca="1" si="87"/>
        <v>0.84290973398895874</v>
      </c>
      <c r="DX28" s="49">
        <f t="shared" ca="1" si="87"/>
        <v>0.85915376672685406</v>
      </c>
      <c r="DY28" s="49">
        <f t="shared" ca="1" si="87"/>
        <v>0.15316210632488281</v>
      </c>
      <c r="DZ28" s="49">
        <f t="shared" ca="1" si="87"/>
        <v>0.93267057358812988</v>
      </c>
      <c r="EA28" s="49">
        <f t="shared" ca="1" si="87"/>
        <v>0.73984358560700259</v>
      </c>
      <c r="EB28" s="49">
        <f t="shared" ca="1" si="87"/>
        <v>0.57773615424054059</v>
      </c>
      <c r="EC28" s="49">
        <f t="shared" ca="1" si="87"/>
        <v>0.26138952767953705</v>
      </c>
      <c r="ED28" s="49">
        <f t="shared" ca="1" si="87"/>
        <v>0.60539024546674514</v>
      </c>
      <c r="EE28" s="49">
        <f t="shared" ca="1" si="87"/>
        <v>1.1269638375104862E-2</v>
      </c>
    </row>
    <row r="29" spans="1:135" x14ac:dyDescent="0.4">
      <c r="A29" s="29" t="str">
        <f t="shared" si="7"/>
        <v>KPI ID 22</v>
      </c>
      <c r="B29" s="47" t="s">
        <v>63</v>
      </c>
      <c r="C29" s="48" t="s">
        <v>37</v>
      </c>
      <c r="D29" s="49">
        <f t="shared" ref="D29:AI29" ca="1" si="88">RAND()+1</f>
        <v>1.5651068852232066</v>
      </c>
      <c r="E29" s="49">
        <f t="shared" ca="1" si="88"/>
        <v>1.8349802599338827</v>
      </c>
      <c r="F29" s="49">
        <f t="shared" ca="1" si="88"/>
        <v>1.0073838107052051</v>
      </c>
      <c r="G29" s="49">
        <f t="shared" ca="1" si="88"/>
        <v>1.4233667398136953</v>
      </c>
      <c r="H29" s="49">
        <f t="shared" ca="1" si="88"/>
        <v>1.9175838223955588</v>
      </c>
      <c r="I29" s="49">
        <f t="shared" ca="1" si="88"/>
        <v>1.6391963800341156</v>
      </c>
      <c r="J29" s="49">
        <f t="shared" ca="1" si="88"/>
        <v>1.4051765405993923</v>
      </c>
      <c r="K29" s="49">
        <f t="shared" ca="1" si="88"/>
        <v>1.9851988573127661</v>
      </c>
      <c r="L29" s="49">
        <f t="shared" ca="1" si="88"/>
        <v>1.4445346479912415</v>
      </c>
      <c r="M29" s="49">
        <f t="shared" ca="1" si="88"/>
        <v>1.0322991141075621</v>
      </c>
      <c r="N29" s="49">
        <f t="shared" ca="1" si="88"/>
        <v>1.4885686256672241</v>
      </c>
      <c r="O29" s="49">
        <f t="shared" ca="1" si="88"/>
        <v>1.355691639994608</v>
      </c>
      <c r="P29" s="49">
        <f t="shared" ca="1" si="88"/>
        <v>1.5354212635022086</v>
      </c>
      <c r="Q29" s="49">
        <f t="shared" ca="1" si="88"/>
        <v>1.9027610326231494</v>
      </c>
      <c r="R29" s="49">
        <f t="shared" ca="1" si="88"/>
        <v>1.9308987443557393</v>
      </c>
      <c r="S29" s="49">
        <f t="shared" ca="1" si="88"/>
        <v>1.0938293820371174</v>
      </c>
      <c r="T29" s="49">
        <f t="shared" ca="1" si="88"/>
        <v>1.2896181280042023</v>
      </c>
      <c r="U29" s="49">
        <f t="shared" ca="1" si="88"/>
        <v>1.5888978718770945</v>
      </c>
      <c r="V29" s="49">
        <f t="shared" ca="1" si="88"/>
        <v>1.5612784610433119</v>
      </c>
      <c r="W29" s="49">
        <f t="shared" ca="1" si="88"/>
        <v>1.0110721138235623</v>
      </c>
      <c r="X29" s="49">
        <f t="shared" ca="1" si="88"/>
        <v>1.6112036535697762</v>
      </c>
      <c r="Y29" s="49">
        <f t="shared" ca="1" si="88"/>
        <v>1.406786794611913</v>
      </c>
      <c r="Z29" s="49">
        <f t="shared" ca="1" si="88"/>
        <v>1.2973787969423269</v>
      </c>
      <c r="AA29" s="49">
        <f t="shared" ca="1" si="88"/>
        <v>1.7885309618705998</v>
      </c>
      <c r="AB29" s="49">
        <f t="shared" ca="1" si="88"/>
        <v>1.8027559011568404</v>
      </c>
      <c r="AC29" s="49">
        <f t="shared" ca="1" si="88"/>
        <v>1.746091884303427</v>
      </c>
      <c r="AD29" s="49">
        <f t="shared" ca="1" si="88"/>
        <v>1.1620911254885868</v>
      </c>
      <c r="AE29" s="49">
        <f t="shared" ca="1" si="88"/>
        <v>1.3405439130343151</v>
      </c>
      <c r="AF29" s="49">
        <f t="shared" ca="1" si="88"/>
        <v>1.3450618885161794</v>
      </c>
      <c r="AG29" s="49">
        <f t="shared" ca="1" si="88"/>
        <v>1.3899886531868813</v>
      </c>
      <c r="AH29" s="49">
        <f t="shared" ca="1" si="88"/>
        <v>1.6439728570033003</v>
      </c>
      <c r="AI29" s="49">
        <f t="shared" ca="1" si="88"/>
        <v>1.8784604227279011</v>
      </c>
      <c r="AJ29" s="49">
        <f t="shared" ref="AJ29:BO29" ca="1" si="89">RAND()+1</f>
        <v>1.3745292583999702</v>
      </c>
      <c r="AK29" s="49">
        <f t="shared" ca="1" si="89"/>
        <v>1.8506937504201399</v>
      </c>
      <c r="AL29" s="49">
        <f t="shared" ca="1" si="89"/>
        <v>1.2570608787678346</v>
      </c>
      <c r="AM29" s="49">
        <f t="shared" ca="1" si="89"/>
        <v>1.8817355498651529</v>
      </c>
      <c r="AN29" s="49">
        <f t="shared" ca="1" si="89"/>
        <v>1.3020019219565495</v>
      </c>
      <c r="AO29" s="49">
        <f t="shared" ca="1" si="89"/>
        <v>1.9276565651272302</v>
      </c>
      <c r="AP29" s="49">
        <f t="shared" ca="1" si="89"/>
        <v>1.3140211176882028</v>
      </c>
      <c r="AQ29" s="49">
        <f t="shared" ca="1" si="89"/>
        <v>1.4724332778971281</v>
      </c>
      <c r="AR29" s="49">
        <f t="shared" ca="1" si="89"/>
        <v>1.4895025888055244</v>
      </c>
      <c r="AS29" s="49">
        <f t="shared" ca="1" si="89"/>
        <v>1.5454383071376747</v>
      </c>
      <c r="AT29" s="49">
        <f t="shared" ca="1" si="89"/>
        <v>1.0068993605383307</v>
      </c>
      <c r="AU29" s="49">
        <f t="shared" ca="1" si="89"/>
        <v>1.5264533065010641</v>
      </c>
      <c r="AV29" s="49">
        <f t="shared" ca="1" si="89"/>
        <v>1.7166836225791888</v>
      </c>
      <c r="AW29" s="49">
        <f t="shared" ca="1" si="89"/>
        <v>1.6969119344934027</v>
      </c>
      <c r="AX29" s="49">
        <f t="shared" ca="1" si="89"/>
        <v>1.9481389754197842</v>
      </c>
      <c r="AY29" s="49">
        <f t="shared" ca="1" si="89"/>
        <v>1.5096463514912553</v>
      </c>
      <c r="AZ29" s="49">
        <f t="shared" ca="1" si="89"/>
        <v>1.4749332336501655</v>
      </c>
      <c r="BA29" s="49">
        <f t="shared" ca="1" si="89"/>
        <v>1.3511714634509111</v>
      </c>
      <c r="BB29" s="49">
        <f t="shared" ca="1" si="89"/>
        <v>1.6268853382078348</v>
      </c>
      <c r="BC29" s="49">
        <f t="shared" ca="1" si="89"/>
        <v>1.8087982028497132</v>
      </c>
      <c r="BD29" s="49">
        <f t="shared" ca="1" si="89"/>
        <v>1.0243540127489843</v>
      </c>
      <c r="BE29" s="49">
        <f t="shared" ca="1" si="89"/>
        <v>1.186973470987053</v>
      </c>
      <c r="BF29" s="49">
        <f t="shared" ca="1" si="89"/>
        <v>1.5109485657742967</v>
      </c>
      <c r="BG29" s="49">
        <f t="shared" ca="1" si="89"/>
        <v>1.0298722240458951</v>
      </c>
      <c r="BH29" s="49">
        <f t="shared" ca="1" si="89"/>
        <v>1.3705442387394688</v>
      </c>
      <c r="BI29" s="49">
        <f t="shared" ca="1" si="89"/>
        <v>1.3116752690737592</v>
      </c>
      <c r="BJ29" s="49">
        <f t="shared" ca="1" si="89"/>
        <v>1.6722265748354879</v>
      </c>
      <c r="BK29" s="49">
        <f t="shared" ca="1" si="89"/>
        <v>1.7253513115916057</v>
      </c>
      <c r="BL29" s="49">
        <f t="shared" ca="1" si="89"/>
        <v>1.151181303032613</v>
      </c>
      <c r="BM29" s="49">
        <f t="shared" ca="1" si="89"/>
        <v>1.2364721509762053</v>
      </c>
      <c r="BN29" s="49">
        <f t="shared" ca="1" si="89"/>
        <v>1.3532553131542753</v>
      </c>
      <c r="BO29" s="49">
        <f t="shared" ca="1" si="89"/>
        <v>1.3833525237732271</v>
      </c>
      <c r="BP29" s="49">
        <f t="shared" ref="BP29:CU29" ca="1" si="90">RAND()+1</f>
        <v>1.349039673183084</v>
      </c>
      <c r="BQ29" s="49">
        <f t="shared" ca="1" si="90"/>
        <v>1.360710340699012</v>
      </c>
      <c r="BR29" s="49">
        <f t="shared" ca="1" si="90"/>
        <v>1.9721263483091034</v>
      </c>
      <c r="BS29" s="49">
        <f t="shared" ca="1" si="90"/>
        <v>1.7410801348709297</v>
      </c>
      <c r="BT29" s="49">
        <f t="shared" ca="1" si="90"/>
        <v>1.0764037239272359</v>
      </c>
      <c r="BU29" s="49">
        <f t="shared" ca="1" si="90"/>
        <v>1.8457964118274715</v>
      </c>
      <c r="BV29" s="49">
        <f t="shared" ca="1" si="90"/>
        <v>1.0067895057458274</v>
      </c>
      <c r="BW29" s="49">
        <f t="shared" ca="1" si="90"/>
        <v>1.3035748239170037</v>
      </c>
      <c r="BX29" s="49">
        <f t="shared" ca="1" si="90"/>
        <v>1.704523452816614</v>
      </c>
      <c r="BY29" s="49">
        <f t="shared" ca="1" si="90"/>
        <v>1.2704392086238288</v>
      </c>
      <c r="BZ29" s="49">
        <f t="shared" ca="1" si="90"/>
        <v>1.5428611412134545</v>
      </c>
      <c r="CA29" s="49">
        <f t="shared" ca="1" si="90"/>
        <v>1.917157531284893</v>
      </c>
      <c r="CB29" s="49">
        <f t="shared" ca="1" si="90"/>
        <v>1.5506869997437289</v>
      </c>
      <c r="CC29" s="49">
        <f t="shared" ca="1" si="90"/>
        <v>1.743813903396866</v>
      </c>
      <c r="CD29" s="49">
        <f t="shared" ca="1" si="90"/>
        <v>1.7613096904099266</v>
      </c>
      <c r="CE29" s="49">
        <f t="shared" ca="1" si="90"/>
        <v>1.9133469974371002</v>
      </c>
      <c r="CF29" s="49">
        <f t="shared" ca="1" si="90"/>
        <v>1.1848410526260846</v>
      </c>
      <c r="CG29" s="49">
        <f t="shared" ca="1" si="90"/>
        <v>1.4847295209719258</v>
      </c>
      <c r="CH29" s="49">
        <f t="shared" ca="1" si="90"/>
        <v>1.4590640562460584</v>
      </c>
      <c r="CI29" s="49">
        <f t="shared" ca="1" si="90"/>
        <v>1.6629894150890792</v>
      </c>
      <c r="CJ29" s="49">
        <f t="shared" ca="1" si="90"/>
        <v>1.4514295651644575</v>
      </c>
      <c r="CK29" s="49">
        <f t="shared" ca="1" si="90"/>
        <v>1.2123687912105312</v>
      </c>
      <c r="CL29" s="49">
        <f t="shared" ca="1" si="90"/>
        <v>1.8261436604179786</v>
      </c>
      <c r="CM29" s="49">
        <f t="shared" ca="1" si="90"/>
        <v>1.6110781027977765</v>
      </c>
      <c r="CN29" s="49">
        <f t="shared" ca="1" si="90"/>
        <v>1.4557303908969887</v>
      </c>
      <c r="CO29" s="49">
        <f t="shared" ca="1" si="90"/>
        <v>1.5191119672978655</v>
      </c>
      <c r="CP29" s="49">
        <f t="shared" ca="1" si="90"/>
        <v>1.7864892702082356</v>
      </c>
      <c r="CQ29" s="49">
        <f t="shared" ca="1" si="90"/>
        <v>1.0396954780053067</v>
      </c>
      <c r="CR29" s="49">
        <f t="shared" ca="1" si="90"/>
        <v>1.5431508304602717</v>
      </c>
      <c r="CS29" s="49">
        <f t="shared" ca="1" si="90"/>
        <v>1.9126149141035711</v>
      </c>
      <c r="CT29" s="49">
        <f t="shared" ca="1" si="90"/>
        <v>1.8510108728198666</v>
      </c>
      <c r="CU29" s="49">
        <f t="shared" ca="1" si="90"/>
        <v>1.9287552257162086</v>
      </c>
      <c r="CV29" s="49">
        <f t="shared" ref="CV29:DP29" ca="1" si="91">RAND()+1</f>
        <v>1.6418933940795166</v>
      </c>
      <c r="CW29" s="49">
        <f t="shared" ca="1" si="91"/>
        <v>1.5245124927954281</v>
      </c>
      <c r="CX29" s="49">
        <f t="shared" ca="1" si="91"/>
        <v>1.1499644842480514</v>
      </c>
      <c r="CY29" s="49">
        <f t="shared" ca="1" si="91"/>
        <v>1.0987518609721956</v>
      </c>
      <c r="CZ29" s="49">
        <f t="shared" ca="1" si="91"/>
        <v>1.5331549956227142</v>
      </c>
      <c r="DA29" s="49">
        <f t="shared" ca="1" si="91"/>
        <v>1.52799263160843</v>
      </c>
      <c r="DB29" s="49">
        <f t="shared" ca="1" si="91"/>
        <v>1.2599291379384099</v>
      </c>
      <c r="DC29" s="49">
        <f t="shared" ca="1" si="91"/>
        <v>1.5719420857984625</v>
      </c>
      <c r="DD29" s="49">
        <f t="shared" ca="1" si="91"/>
        <v>1.5618294381765643</v>
      </c>
      <c r="DE29" s="49">
        <f t="shared" ca="1" si="91"/>
        <v>1.4643907391610171</v>
      </c>
      <c r="DF29" s="49">
        <f t="shared" ca="1" si="91"/>
        <v>1.5928231230403178</v>
      </c>
      <c r="DG29" s="49">
        <f t="shared" ca="1" si="91"/>
        <v>1.3138086310838923</v>
      </c>
      <c r="DH29" s="49">
        <f t="shared" ca="1" si="91"/>
        <v>1.2675926264794501</v>
      </c>
      <c r="DI29" s="49">
        <f t="shared" ca="1" si="91"/>
        <v>1.0652881323349697</v>
      </c>
      <c r="DJ29" s="49">
        <f t="shared" ca="1" si="91"/>
        <v>1.047772080372932</v>
      </c>
      <c r="DK29" s="49">
        <f t="shared" ca="1" si="91"/>
        <v>1.5649300230420229</v>
      </c>
      <c r="DL29" s="49">
        <f t="shared" ca="1" si="91"/>
        <v>1.0843259486778696</v>
      </c>
      <c r="DM29" s="49">
        <f t="shared" ca="1" si="91"/>
        <v>1.4351782345523443</v>
      </c>
      <c r="DN29" s="49">
        <f t="shared" ca="1" si="91"/>
        <v>1.4563348547842188</v>
      </c>
      <c r="DO29" s="49">
        <f t="shared" ca="1" si="91"/>
        <v>1.7381189255616052</v>
      </c>
      <c r="DP29" s="49">
        <f t="shared" ca="1" si="91"/>
        <v>1.7437810505842835</v>
      </c>
      <c r="DQ29" s="49">
        <f ca="1">RANDBETWEEN(20, 45)</f>
        <v>36</v>
      </c>
      <c r="DR29" s="49">
        <f t="shared" ref="DR29:EE29" ca="1" si="92">RAND()+1</f>
        <v>1.3283863978417463</v>
      </c>
      <c r="DS29" s="49">
        <f t="shared" ca="1" si="92"/>
        <v>1.4275485364232043</v>
      </c>
      <c r="DT29" s="49">
        <f t="shared" ca="1" si="92"/>
        <v>1.770223414393199</v>
      </c>
      <c r="DU29" s="49">
        <f t="shared" ca="1" si="92"/>
        <v>1.5884672651566669</v>
      </c>
      <c r="DV29" s="49">
        <f t="shared" ca="1" si="92"/>
        <v>1.2692880412723311</v>
      </c>
      <c r="DW29" s="49">
        <f t="shared" ca="1" si="92"/>
        <v>1.7945859350758127</v>
      </c>
      <c r="DX29" s="49">
        <f t="shared" ca="1" si="92"/>
        <v>1.4611252617540931</v>
      </c>
      <c r="DY29" s="49">
        <f t="shared" ca="1" si="92"/>
        <v>1.1350601990239699</v>
      </c>
      <c r="DZ29" s="49">
        <f t="shared" ca="1" si="92"/>
        <v>1.589650040915493</v>
      </c>
      <c r="EA29" s="49">
        <f t="shared" ca="1" si="92"/>
        <v>1.8797586157528299</v>
      </c>
      <c r="EB29" s="49">
        <f t="shared" ca="1" si="92"/>
        <v>1.9768156584042478</v>
      </c>
      <c r="EC29" s="49">
        <f t="shared" ca="1" si="92"/>
        <v>1.5716608943311161</v>
      </c>
      <c r="ED29" s="49">
        <f t="shared" ca="1" si="92"/>
        <v>1.936049870225979</v>
      </c>
      <c r="EE29" s="49">
        <f t="shared" ca="1" si="92"/>
        <v>1.8050844776189647</v>
      </c>
    </row>
    <row r="30" spans="1:135" x14ac:dyDescent="0.4">
      <c r="A30" s="29" t="str">
        <f t="shared" si="7"/>
        <v>KPI ID 23 R</v>
      </c>
      <c r="B30" s="47" t="s">
        <v>63</v>
      </c>
      <c r="C30" s="48" t="s">
        <v>38</v>
      </c>
      <c r="D30" s="49">
        <f t="shared" ref="D30:AI30" ca="1" si="93">RANDBETWEEN(1, 200)</f>
        <v>58</v>
      </c>
      <c r="E30" s="49">
        <f t="shared" ca="1" si="93"/>
        <v>183</v>
      </c>
      <c r="F30" s="49">
        <f t="shared" ca="1" si="93"/>
        <v>152</v>
      </c>
      <c r="G30" s="49">
        <f t="shared" ca="1" si="93"/>
        <v>126</v>
      </c>
      <c r="H30" s="49">
        <f t="shared" ca="1" si="93"/>
        <v>89</v>
      </c>
      <c r="I30" s="49">
        <f t="shared" ca="1" si="93"/>
        <v>145</v>
      </c>
      <c r="J30" s="49">
        <f t="shared" ca="1" si="93"/>
        <v>90</v>
      </c>
      <c r="K30" s="49">
        <f t="shared" ca="1" si="93"/>
        <v>125</v>
      </c>
      <c r="L30" s="49">
        <f t="shared" ca="1" si="93"/>
        <v>170</v>
      </c>
      <c r="M30" s="49">
        <f t="shared" ca="1" si="93"/>
        <v>32</v>
      </c>
      <c r="N30" s="49">
        <f t="shared" ca="1" si="93"/>
        <v>119</v>
      </c>
      <c r="O30" s="49">
        <f t="shared" ca="1" si="93"/>
        <v>52</v>
      </c>
      <c r="P30" s="49">
        <f t="shared" ca="1" si="93"/>
        <v>81</v>
      </c>
      <c r="Q30" s="49">
        <f t="shared" ca="1" si="93"/>
        <v>187</v>
      </c>
      <c r="R30" s="49">
        <f t="shared" ca="1" si="93"/>
        <v>109</v>
      </c>
      <c r="S30" s="49">
        <f t="shared" ca="1" si="93"/>
        <v>111</v>
      </c>
      <c r="T30" s="49">
        <f t="shared" ca="1" si="93"/>
        <v>166</v>
      </c>
      <c r="U30" s="49">
        <f t="shared" ca="1" si="93"/>
        <v>73</v>
      </c>
      <c r="V30" s="49">
        <f t="shared" ca="1" si="93"/>
        <v>121</v>
      </c>
      <c r="W30" s="49">
        <f t="shared" ca="1" si="93"/>
        <v>31</v>
      </c>
      <c r="X30" s="49">
        <f t="shared" ca="1" si="93"/>
        <v>40</v>
      </c>
      <c r="Y30" s="49">
        <f t="shared" ca="1" si="93"/>
        <v>76</v>
      </c>
      <c r="Z30" s="49">
        <f t="shared" ca="1" si="93"/>
        <v>102</v>
      </c>
      <c r="AA30" s="49">
        <f t="shared" ca="1" si="93"/>
        <v>11</v>
      </c>
      <c r="AB30" s="49">
        <f t="shared" ca="1" si="93"/>
        <v>162</v>
      </c>
      <c r="AC30" s="49">
        <f t="shared" ca="1" si="93"/>
        <v>97</v>
      </c>
      <c r="AD30" s="49">
        <f t="shared" ca="1" si="93"/>
        <v>62</v>
      </c>
      <c r="AE30" s="49">
        <f t="shared" ca="1" si="93"/>
        <v>48</v>
      </c>
      <c r="AF30" s="49">
        <f t="shared" ca="1" si="93"/>
        <v>110</v>
      </c>
      <c r="AG30" s="49">
        <f t="shared" ca="1" si="93"/>
        <v>190</v>
      </c>
      <c r="AH30" s="49">
        <f t="shared" ca="1" si="93"/>
        <v>95</v>
      </c>
      <c r="AI30" s="49">
        <f t="shared" ca="1" si="93"/>
        <v>166</v>
      </c>
      <c r="AJ30" s="49">
        <f t="shared" ref="AJ30:BO30" ca="1" si="94">RANDBETWEEN(1, 200)</f>
        <v>11</v>
      </c>
      <c r="AK30" s="49">
        <f t="shared" ca="1" si="94"/>
        <v>36</v>
      </c>
      <c r="AL30" s="49">
        <f t="shared" ca="1" si="94"/>
        <v>138</v>
      </c>
      <c r="AM30" s="49">
        <f t="shared" ca="1" si="94"/>
        <v>40</v>
      </c>
      <c r="AN30" s="49">
        <f t="shared" ca="1" si="94"/>
        <v>9</v>
      </c>
      <c r="AO30" s="49">
        <f t="shared" ca="1" si="94"/>
        <v>59</v>
      </c>
      <c r="AP30" s="49">
        <f t="shared" ca="1" si="94"/>
        <v>15</v>
      </c>
      <c r="AQ30" s="49">
        <f t="shared" ca="1" si="94"/>
        <v>81</v>
      </c>
      <c r="AR30" s="49">
        <f t="shared" ca="1" si="94"/>
        <v>92</v>
      </c>
      <c r="AS30" s="49">
        <f t="shared" ca="1" si="94"/>
        <v>130</v>
      </c>
      <c r="AT30" s="49">
        <f t="shared" ca="1" si="94"/>
        <v>186</v>
      </c>
      <c r="AU30" s="49">
        <f t="shared" ca="1" si="94"/>
        <v>98</v>
      </c>
      <c r="AV30" s="49">
        <f t="shared" ca="1" si="94"/>
        <v>47</v>
      </c>
      <c r="AW30" s="49">
        <f t="shared" ca="1" si="94"/>
        <v>197</v>
      </c>
      <c r="AX30" s="49">
        <f t="shared" ca="1" si="94"/>
        <v>96</v>
      </c>
      <c r="AY30" s="49">
        <f t="shared" ca="1" si="94"/>
        <v>194</v>
      </c>
      <c r="AZ30" s="49">
        <f t="shared" ca="1" si="94"/>
        <v>79</v>
      </c>
      <c r="BA30" s="49">
        <f t="shared" ca="1" si="94"/>
        <v>184</v>
      </c>
      <c r="BB30" s="49">
        <f t="shared" ca="1" si="94"/>
        <v>142</v>
      </c>
      <c r="BC30" s="49">
        <f t="shared" ca="1" si="94"/>
        <v>19</v>
      </c>
      <c r="BD30" s="49">
        <f t="shared" ca="1" si="94"/>
        <v>47</v>
      </c>
      <c r="BE30" s="49">
        <f t="shared" ca="1" si="94"/>
        <v>122</v>
      </c>
      <c r="BF30" s="49">
        <f t="shared" ca="1" si="94"/>
        <v>161</v>
      </c>
      <c r="BG30" s="49">
        <f t="shared" ca="1" si="94"/>
        <v>122</v>
      </c>
      <c r="BH30" s="49">
        <f t="shared" ca="1" si="94"/>
        <v>197</v>
      </c>
      <c r="BI30" s="49">
        <f t="shared" ca="1" si="94"/>
        <v>135</v>
      </c>
      <c r="BJ30" s="49">
        <f t="shared" ca="1" si="94"/>
        <v>48</v>
      </c>
      <c r="BK30" s="49">
        <f t="shared" ca="1" si="94"/>
        <v>189</v>
      </c>
      <c r="BL30" s="49">
        <f t="shared" ca="1" si="94"/>
        <v>95</v>
      </c>
      <c r="BM30" s="49">
        <f t="shared" ca="1" si="94"/>
        <v>18</v>
      </c>
      <c r="BN30" s="49">
        <f t="shared" ca="1" si="94"/>
        <v>156</v>
      </c>
      <c r="BO30" s="49">
        <f t="shared" ca="1" si="94"/>
        <v>93</v>
      </c>
      <c r="BP30" s="49">
        <f t="shared" ref="BP30:CU30" ca="1" si="95">RANDBETWEEN(1, 200)</f>
        <v>61</v>
      </c>
      <c r="BQ30" s="49">
        <f t="shared" ca="1" si="95"/>
        <v>178</v>
      </c>
      <c r="BR30" s="49">
        <f t="shared" ca="1" si="95"/>
        <v>7</v>
      </c>
      <c r="BS30" s="49">
        <f t="shared" ca="1" si="95"/>
        <v>98</v>
      </c>
      <c r="BT30" s="49">
        <f t="shared" ca="1" si="95"/>
        <v>144</v>
      </c>
      <c r="BU30" s="49">
        <f t="shared" ca="1" si="95"/>
        <v>13</v>
      </c>
      <c r="BV30" s="49">
        <f t="shared" ca="1" si="95"/>
        <v>121</v>
      </c>
      <c r="BW30" s="49">
        <f t="shared" ca="1" si="95"/>
        <v>147</v>
      </c>
      <c r="BX30" s="49">
        <f t="shared" ca="1" si="95"/>
        <v>100</v>
      </c>
      <c r="BY30" s="49">
        <f t="shared" ca="1" si="95"/>
        <v>86</v>
      </c>
      <c r="BZ30" s="49">
        <f t="shared" ca="1" si="95"/>
        <v>22</v>
      </c>
      <c r="CA30" s="49">
        <f t="shared" ca="1" si="95"/>
        <v>97</v>
      </c>
      <c r="CB30" s="49">
        <f t="shared" ca="1" si="95"/>
        <v>102</v>
      </c>
      <c r="CC30" s="49">
        <f t="shared" ca="1" si="95"/>
        <v>169</v>
      </c>
      <c r="CD30" s="49">
        <f t="shared" ca="1" si="95"/>
        <v>133</v>
      </c>
      <c r="CE30" s="49">
        <f t="shared" ca="1" si="95"/>
        <v>23</v>
      </c>
      <c r="CF30" s="49">
        <f t="shared" ca="1" si="95"/>
        <v>133</v>
      </c>
      <c r="CG30" s="49">
        <f t="shared" ca="1" si="95"/>
        <v>131</v>
      </c>
      <c r="CH30" s="49">
        <f t="shared" ca="1" si="95"/>
        <v>69</v>
      </c>
      <c r="CI30" s="49">
        <f t="shared" ca="1" si="95"/>
        <v>112</v>
      </c>
      <c r="CJ30" s="49">
        <f t="shared" ca="1" si="95"/>
        <v>199</v>
      </c>
      <c r="CK30" s="49">
        <f t="shared" ca="1" si="95"/>
        <v>124</v>
      </c>
      <c r="CL30" s="49">
        <f t="shared" ca="1" si="95"/>
        <v>27</v>
      </c>
      <c r="CM30" s="49">
        <f t="shared" ca="1" si="95"/>
        <v>116</v>
      </c>
      <c r="CN30" s="49">
        <f t="shared" ca="1" si="95"/>
        <v>128</v>
      </c>
      <c r="CO30" s="49">
        <f t="shared" ca="1" si="95"/>
        <v>36</v>
      </c>
      <c r="CP30" s="49">
        <f t="shared" ca="1" si="95"/>
        <v>142</v>
      </c>
      <c r="CQ30" s="49">
        <f t="shared" ca="1" si="95"/>
        <v>172</v>
      </c>
      <c r="CR30" s="49">
        <f t="shared" ca="1" si="95"/>
        <v>148</v>
      </c>
      <c r="CS30" s="49">
        <f t="shared" ca="1" si="95"/>
        <v>199</v>
      </c>
      <c r="CT30" s="49">
        <f t="shared" ca="1" si="95"/>
        <v>105</v>
      </c>
      <c r="CU30" s="49">
        <f t="shared" ca="1" si="95"/>
        <v>68</v>
      </c>
      <c r="CV30" s="49">
        <f t="shared" ref="CV30:EE30" ca="1" si="96">RANDBETWEEN(1, 200)</f>
        <v>113</v>
      </c>
      <c r="CW30" s="49">
        <f t="shared" ca="1" si="96"/>
        <v>142</v>
      </c>
      <c r="CX30" s="49">
        <f t="shared" ca="1" si="96"/>
        <v>133</v>
      </c>
      <c r="CY30" s="49">
        <f t="shared" ca="1" si="96"/>
        <v>200</v>
      </c>
      <c r="CZ30" s="49">
        <f t="shared" ca="1" si="96"/>
        <v>153</v>
      </c>
      <c r="DA30" s="49">
        <f t="shared" ca="1" si="96"/>
        <v>23</v>
      </c>
      <c r="DB30" s="49">
        <f t="shared" ca="1" si="96"/>
        <v>188</v>
      </c>
      <c r="DC30" s="49">
        <f t="shared" ca="1" si="96"/>
        <v>21</v>
      </c>
      <c r="DD30" s="49">
        <f t="shared" ca="1" si="96"/>
        <v>132</v>
      </c>
      <c r="DE30" s="49">
        <f t="shared" ca="1" si="96"/>
        <v>74</v>
      </c>
      <c r="DF30" s="49">
        <f t="shared" ca="1" si="96"/>
        <v>174</v>
      </c>
      <c r="DG30" s="49">
        <f t="shared" ca="1" si="96"/>
        <v>32</v>
      </c>
      <c r="DH30" s="49">
        <f t="shared" ca="1" si="96"/>
        <v>81</v>
      </c>
      <c r="DI30" s="49">
        <f t="shared" ca="1" si="96"/>
        <v>90</v>
      </c>
      <c r="DJ30" s="49">
        <f t="shared" ca="1" si="96"/>
        <v>194</v>
      </c>
      <c r="DK30" s="49">
        <f t="shared" ca="1" si="96"/>
        <v>144</v>
      </c>
      <c r="DL30" s="49">
        <f t="shared" ca="1" si="96"/>
        <v>175</v>
      </c>
      <c r="DM30" s="49">
        <f t="shared" ca="1" si="96"/>
        <v>69</v>
      </c>
      <c r="DN30" s="49">
        <f t="shared" ca="1" si="96"/>
        <v>46</v>
      </c>
      <c r="DO30" s="49">
        <f t="shared" ca="1" si="96"/>
        <v>174</v>
      </c>
      <c r="DP30" s="49">
        <f t="shared" ca="1" si="96"/>
        <v>140</v>
      </c>
      <c r="DQ30" s="49">
        <f t="shared" ca="1" si="96"/>
        <v>145</v>
      </c>
      <c r="DR30" s="49">
        <f t="shared" ca="1" si="96"/>
        <v>63</v>
      </c>
      <c r="DS30" s="49">
        <f t="shared" ca="1" si="96"/>
        <v>8</v>
      </c>
      <c r="DT30" s="49">
        <f t="shared" ca="1" si="96"/>
        <v>139</v>
      </c>
      <c r="DU30" s="49">
        <f t="shared" ca="1" si="96"/>
        <v>1</v>
      </c>
      <c r="DV30" s="49">
        <f t="shared" ca="1" si="96"/>
        <v>97</v>
      </c>
      <c r="DW30" s="49">
        <f t="shared" ca="1" si="96"/>
        <v>147</v>
      </c>
      <c r="DX30" s="49">
        <f t="shared" ca="1" si="96"/>
        <v>14</v>
      </c>
      <c r="DY30" s="49">
        <f t="shared" ca="1" si="96"/>
        <v>16</v>
      </c>
      <c r="DZ30" s="49">
        <f t="shared" ca="1" si="96"/>
        <v>176</v>
      </c>
      <c r="EA30" s="49">
        <f t="shared" ca="1" si="96"/>
        <v>21</v>
      </c>
      <c r="EB30" s="49">
        <f t="shared" ca="1" si="96"/>
        <v>194</v>
      </c>
      <c r="EC30" s="49">
        <f t="shared" ca="1" si="96"/>
        <v>84</v>
      </c>
      <c r="ED30" s="49">
        <f t="shared" ca="1" si="96"/>
        <v>83</v>
      </c>
      <c r="EE30" s="49">
        <f t="shared" ca="1" si="96"/>
        <v>119</v>
      </c>
    </row>
    <row r="31" spans="1:135" x14ac:dyDescent="0.4">
      <c r="A31" s="29" t="str">
        <f t="shared" si="7"/>
        <v>KPI ID 24</v>
      </c>
      <c r="B31" s="47" t="s">
        <v>63</v>
      </c>
      <c r="C31" s="48" t="s">
        <v>39</v>
      </c>
      <c r="D31" s="49">
        <f t="shared" ref="D31:AI31" ca="1" si="97">RANDBETWEEN(20, 45)</f>
        <v>21</v>
      </c>
      <c r="E31" s="49">
        <f t="shared" ca="1" si="97"/>
        <v>21</v>
      </c>
      <c r="F31" s="49">
        <f t="shared" ca="1" si="97"/>
        <v>29</v>
      </c>
      <c r="G31" s="49">
        <f t="shared" ca="1" si="97"/>
        <v>31</v>
      </c>
      <c r="H31" s="49">
        <f t="shared" ca="1" si="97"/>
        <v>34</v>
      </c>
      <c r="I31" s="49">
        <f t="shared" ca="1" si="97"/>
        <v>21</v>
      </c>
      <c r="J31" s="49">
        <f t="shared" ca="1" si="97"/>
        <v>43</v>
      </c>
      <c r="K31" s="49">
        <f t="shared" ca="1" si="97"/>
        <v>35</v>
      </c>
      <c r="L31" s="49">
        <f t="shared" ca="1" si="97"/>
        <v>35</v>
      </c>
      <c r="M31" s="49">
        <f t="shared" ca="1" si="97"/>
        <v>37</v>
      </c>
      <c r="N31" s="49">
        <f t="shared" ca="1" si="97"/>
        <v>44</v>
      </c>
      <c r="O31" s="49">
        <f t="shared" ca="1" si="97"/>
        <v>23</v>
      </c>
      <c r="P31" s="49">
        <f t="shared" ca="1" si="97"/>
        <v>24</v>
      </c>
      <c r="Q31" s="49">
        <f t="shared" ca="1" si="97"/>
        <v>44</v>
      </c>
      <c r="R31" s="49">
        <f t="shared" ca="1" si="97"/>
        <v>40</v>
      </c>
      <c r="S31" s="49">
        <f t="shared" ca="1" si="97"/>
        <v>26</v>
      </c>
      <c r="T31" s="49">
        <f t="shared" ca="1" si="97"/>
        <v>35</v>
      </c>
      <c r="U31" s="49">
        <f t="shared" ca="1" si="97"/>
        <v>41</v>
      </c>
      <c r="V31" s="49">
        <f t="shared" ca="1" si="97"/>
        <v>41</v>
      </c>
      <c r="W31" s="49">
        <f t="shared" ca="1" si="97"/>
        <v>28</v>
      </c>
      <c r="X31" s="49">
        <f t="shared" ca="1" si="97"/>
        <v>21</v>
      </c>
      <c r="Y31" s="49">
        <f t="shared" ca="1" si="97"/>
        <v>30</v>
      </c>
      <c r="Z31" s="49">
        <f t="shared" ca="1" si="97"/>
        <v>28</v>
      </c>
      <c r="AA31" s="49">
        <f t="shared" ca="1" si="97"/>
        <v>34</v>
      </c>
      <c r="AB31" s="49">
        <f t="shared" ca="1" si="97"/>
        <v>38</v>
      </c>
      <c r="AC31" s="49">
        <f t="shared" ca="1" si="97"/>
        <v>41</v>
      </c>
      <c r="AD31" s="49">
        <f t="shared" ca="1" si="97"/>
        <v>30</v>
      </c>
      <c r="AE31" s="49">
        <f t="shared" ca="1" si="97"/>
        <v>38</v>
      </c>
      <c r="AF31" s="49">
        <f t="shared" ca="1" si="97"/>
        <v>27</v>
      </c>
      <c r="AG31" s="49">
        <f t="shared" ca="1" si="97"/>
        <v>43</v>
      </c>
      <c r="AH31" s="49">
        <f t="shared" ca="1" si="97"/>
        <v>39</v>
      </c>
      <c r="AI31" s="49">
        <f t="shared" ca="1" si="97"/>
        <v>32</v>
      </c>
      <c r="AJ31" s="49">
        <f t="shared" ref="AJ31:BO31" ca="1" si="98">RANDBETWEEN(20, 45)</f>
        <v>25</v>
      </c>
      <c r="AK31" s="49">
        <f t="shared" ca="1" si="98"/>
        <v>39</v>
      </c>
      <c r="AL31" s="49">
        <f t="shared" ca="1" si="98"/>
        <v>40</v>
      </c>
      <c r="AM31" s="49">
        <f t="shared" ca="1" si="98"/>
        <v>41</v>
      </c>
      <c r="AN31" s="49">
        <f t="shared" ca="1" si="98"/>
        <v>45</v>
      </c>
      <c r="AO31" s="49">
        <f t="shared" ca="1" si="98"/>
        <v>26</v>
      </c>
      <c r="AP31" s="49">
        <f t="shared" ca="1" si="98"/>
        <v>38</v>
      </c>
      <c r="AQ31" s="49">
        <f t="shared" ca="1" si="98"/>
        <v>20</v>
      </c>
      <c r="AR31" s="49">
        <f t="shared" ca="1" si="98"/>
        <v>23</v>
      </c>
      <c r="AS31" s="49">
        <f t="shared" ca="1" si="98"/>
        <v>31</v>
      </c>
      <c r="AT31" s="49">
        <f t="shared" ca="1" si="98"/>
        <v>36</v>
      </c>
      <c r="AU31" s="49">
        <f t="shared" ca="1" si="98"/>
        <v>39</v>
      </c>
      <c r="AV31" s="49">
        <f t="shared" ca="1" si="98"/>
        <v>27</v>
      </c>
      <c r="AW31" s="49">
        <f t="shared" ca="1" si="98"/>
        <v>21</v>
      </c>
      <c r="AX31" s="49">
        <f t="shared" ca="1" si="98"/>
        <v>24</v>
      </c>
      <c r="AY31" s="49">
        <f t="shared" ca="1" si="98"/>
        <v>33</v>
      </c>
      <c r="AZ31" s="49">
        <f t="shared" ca="1" si="98"/>
        <v>23</v>
      </c>
      <c r="BA31" s="49">
        <f t="shared" ca="1" si="98"/>
        <v>45</v>
      </c>
      <c r="BB31" s="49">
        <f t="shared" ca="1" si="98"/>
        <v>45</v>
      </c>
      <c r="BC31" s="49">
        <f t="shared" ca="1" si="98"/>
        <v>34</v>
      </c>
      <c r="BD31" s="49">
        <f t="shared" ca="1" si="98"/>
        <v>40</v>
      </c>
      <c r="BE31" s="49">
        <f t="shared" ca="1" si="98"/>
        <v>34</v>
      </c>
      <c r="BF31" s="49">
        <f t="shared" ca="1" si="98"/>
        <v>31</v>
      </c>
      <c r="BG31" s="49">
        <f t="shared" ca="1" si="98"/>
        <v>35</v>
      </c>
      <c r="BH31" s="49">
        <f t="shared" ca="1" si="98"/>
        <v>44</v>
      </c>
      <c r="BI31" s="49">
        <f t="shared" ca="1" si="98"/>
        <v>23</v>
      </c>
      <c r="BJ31" s="49">
        <f t="shared" ca="1" si="98"/>
        <v>20</v>
      </c>
      <c r="BK31" s="49">
        <f t="shared" ca="1" si="98"/>
        <v>33</v>
      </c>
      <c r="BL31" s="49">
        <f t="shared" ca="1" si="98"/>
        <v>45</v>
      </c>
      <c r="BM31" s="49">
        <f t="shared" ca="1" si="98"/>
        <v>29</v>
      </c>
      <c r="BN31" s="49">
        <f t="shared" ca="1" si="98"/>
        <v>22</v>
      </c>
      <c r="BO31" s="49">
        <f t="shared" ca="1" si="98"/>
        <v>22</v>
      </c>
      <c r="BP31" s="49">
        <f t="shared" ref="BP31:CU31" ca="1" si="99">RANDBETWEEN(20, 45)</f>
        <v>20</v>
      </c>
      <c r="BQ31" s="49">
        <f t="shared" ca="1" si="99"/>
        <v>29</v>
      </c>
      <c r="BR31" s="49">
        <f t="shared" ca="1" si="99"/>
        <v>21</v>
      </c>
      <c r="BS31" s="49">
        <f t="shared" ca="1" si="99"/>
        <v>21</v>
      </c>
      <c r="BT31" s="49">
        <f t="shared" ca="1" si="99"/>
        <v>41</v>
      </c>
      <c r="BU31" s="49">
        <f t="shared" ca="1" si="99"/>
        <v>43</v>
      </c>
      <c r="BV31" s="49">
        <f t="shared" ca="1" si="99"/>
        <v>26</v>
      </c>
      <c r="BW31" s="49">
        <f t="shared" ca="1" si="99"/>
        <v>41</v>
      </c>
      <c r="BX31" s="49">
        <f t="shared" ca="1" si="99"/>
        <v>31</v>
      </c>
      <c r="BY31" s="49">
        <f t="shared" ca="1" si="99"/>
        <v>23</v>
      </c>
      <c r="BZ31" s="49">
        <f t="shared" ca="1" si="99"/>
        <v>40</v>
      </c>
      <c r="CA31" s="49">
        <f t="shared" ca="1" si="99"/>
        <v>29</v>
      </c>
      <c r="CB31" s="49">
        <f t="shared" ca="1" si="99"/>
        <v>26</v>
      </c>
      <c r="CC31" s="49">
        <f t="shared" ca="1" si="99"/>
        <v>22</v>
      </c>
      <c r="CD31" s="49">
        <f t="shared" ca="1" si="99"/>
        <v>29</v>
      </c>
      <c r="CE31" s="49">
        <f t="shared" ca="1" si="99"/>
        <v>22</v>
      </c>
      <c r="CF31" s="49">
        <f t="shared" ca="1" si="99"/>
        <v>26</v>
      </c>
      <c r="CG31" s="49">
        <f t="shared" ca="1" si="99"/>
        <v>23</v>
      </c>
      <c r="CH31" s="49">
        <f t="shared" ca="1" si="99"/>
        <v>35</v>
      </c>
      <c r="CI31" s="49">
        <f t="shared" ca="1" si="99"/>
        <v>40</v>
      </c>
      <c r="CJ31" s="49">
        <f t="shared" ca="1" si="99"/>
        <v>29</v>
      </c>
      <c r="CK31" s="49">
        <f t="shared" ca="1" si="99"/>
        <v>30</v>
      </c>
      <c r="CL31" s="49">
        <f t="shared" ca="1" si="99"/>
        <v>39</v>
      </c>
      <c r="CM31" s="49">
        <f t="shared" ca="1" si="99"/>
        <v>29</v>
      </c>
      <c r="CN31" s="49">
        <f t="shared" ca="1" si="99"/>
        <v>27</v>
      </c>
      <c r="CO31" s="49">
        <f t="shared" ca="1" si="99"/>
        <v>42</v>
      </c>
      <c r="CP31" s="49">
        <f t="shared" ca="1" si="99"/>
        <v>34</v>
      </c>
      <c r="CQ31" s="49">
        <f t="shared" ca="1" si="99"/>
        <v>20</v>
      </c>
      <c r="CR31" s="49">
        <f t="shared" ca="1" si="99"/>
        <v>21</v>
      </c>
      <c r="CS31" s="49">
        <f t="shared" ca="1" si="99"/>
        <v>25</v>
      </c>
      <c r="CT31" s="49">
        <f t="shared" ca="1" si="99"/>
        <v>27</v>
      </c>
      <c r="CU31" s="49">
        <f t="shared" ca="1" si="99"/>
        <v>22</v>
      </c>
      <c r="CV31" s="49">
        <f t="shared" ref="CV31:DM31" ca="1" si="100">RANDBETWEEN(20, 45)</f>
        <v>30</v>
      </c>
      <c r="CW31" s="49">
        <f t="shared" ca="1" si="100"/>
        <v>27</v>
      </c>
      <c r="CX31" s="49">
        <f t="shared" ca="1" si="100"/>
        <v>35</v>
      </c>
      <c r="CY31" s="49">
        <f t="shared" ca="1" si="100"/>
        <v>42</v>
      </c>
      <c r="CZ31" s="49">
        <f t="shared" ca="1" si="100"/>
        <v>42</v>
      </c>
      <c r="DA31" s="49">
        <f t="shared" ca="1" si="100"/>
        <v>31</v>
      </c>
      <c r="DB31" s="49">
        <f t="shared" ca="1" si="100"/>
        <v>36</v>
      </c>
      <c r="DC31" s="49">
        <f t="shared" ca="1" si="100"/>
        <v>29</v>
      </c>
      <c r="DD31" s="49">
        <f t="shared" ca="1" si="100"/>
        <v>29</v>
      </c>
      <c r="DE31" s="49">
        <f t="shared" ca="1" si="100"/>
        <v>35</v>
      </c>
      <c r="DF31" s="49">
        <f t="shared" ca="1" si="100"/>
        <v>45</v>
      </c>
      <c r="DG31" s="49">
        <f t="shared" ca="1" si="100"/>
        <v>33</v>
      </c>
      <c r="DH31" s="49">
        <f t="shared" ca="1" si="100"/>
        <v>25</v>
      </c>
      <c r="DI31" s="49">
        <f t="shared" ca="1" si="100"/>
        <v>22</v>
      </c>
      <c r="DJ31" s="49">
        <f t="shared" ca="1" si="100"/>
        <v>35</v>
      </c>
      <c r="DK31" s="49">
        <f t="shared" ca="1" si="100"/>
        <v>44</v>
      </c>
      <c r="DL31" s="49">
        <f t="shared" ca="1" si="100"/>
        <v>20</v>
      </c>
      <c r="DM31" s="49">
        <f t="shared" ca="1" si="100"/>
        <v>36</v>
      </c>
      <c r="DN31" s="49">
        <f ca="1">RAND()+1</f>
        <v>1.2558483999301657</v>
      </c>
      <c r="DO31" s="49">
        <f t="shared" ref="DO31:ED31" ca="1" si="101">RANDBETWEEN(20, 45)</f>
        <v>45</v>
      </c>
      <c r="DP31" s="49">
        <f t="shared" ca="1" si="101"/>
        <v>42</v>
      </c>
      <c r="DQ31" s="49">
        <f t="shared" ca="1" si="101"/>
        <v>32</v>
      </c>
      <c r="DR31" s="49">
        <f t="shared" ca="1" si="101"/>
        <v>23</v>
      </c>
      <c r="DS31" s="49">
        <f t="shared" ca="1" si="101"/>
        <v>23</v>
      </c>
      <c r="DT31" s="49">
        <f t="shared" ca="1" si="101"/>
        <v>22</v>
      </c>
      <c r="DU31" s="49">
        <f t="shared" ca="1" si="101"/>
        <v>34</v>
      </c>
      <c r="DV31" s="49">
        <f t="shared" ca="1" si="101"/>
        <v>43</v>
      </c>
      <c r="DW31" s="49">
        <f t="shared" ca="1" si="101"/>
        <v>28</v>
      </c>
      <c r="DX31" s="49">
        <f t="shared" ca="1" si="101"/>
        <v>37</v>
      </c>
      <c r="DY31" s="49">
        <f t="shared" ca="1" si="101"/>
        <v>37</v>
      </c>
      <c r="DZ31" s="49">
        <f t="shared" ca="1" si="101"/>
        <v>27</v>
      </c>
      <c r="EA31" s="49">
        <f t="shared" ca="1" si="101"/>
        <v>21</v>
      </c>
      <c r="EB31" s="49">
        <f t="shared" ca="1" si="101"/>
        <v>35</v>
      </c>
      <c r="EC31" s="49">
        <f t="shared" ca="1" si="101"/>
        <v>31</v>
      </c>
      <c r="ED31" s="49">
        <f t="shared" ca="1" si="101"/>
        <v>44</v>
      </c>
      <c r="EE31" s="49">
        <f ca="1">RAND()</f>
        <v>0.6920233505489064</v>
      </c>
    </row>
    <row r="32" spans="1:135" x14ac:dyDescent="0.4">
      <c r="A32" s="29" t="str">
        <f t="shared" si="7"/>
        <v>KPI ID 25 R</v>
      </c>
      <c r="B32" s="47" t="s">
        <v>63</v>
      </c>
      <c r="C32" s="48" t="s">
        <v>40</v>
      </c>
      <c r="D32" s="49">
        <f t="shared" ref="D32:AI32" ca="1" si="102">RANDBETWEEN(1, 33)</f>
        <v>9</v>
      </c>
      <c r="E32" s="49">
        <f t="shared" ca="1" si="102"/>
        <v>15</v>
      </c>
      <c r="F32" s="49">
        <f t="shared" ca="1" si="102"/>
        <v>3</v>
      </c>
      <c r="G32" s="49">
        <f t="shared" ca="1" si="102"/>
        <v>26</v>
      </c>
      <c r="H32" s="49">
        <f t="shared" ca="1" si="102"/>
        <v>30</v>
      </c>
      <c r="I32" s="49">
        <f t="shared" ca="1" si="102"/>
        <v>17</v>
      </c>
      <c r="J32" s="49">
        <f t="shared" ca="1" si="102"/>
        <v>14</v>
      </c>
      <c r="K32" s="49">
        <f t="shared" ca="1" si="102"/>
        <v>15</v>
      </c>
      <c r="L32" s="49">
        <f t="shared" ca="1" si="102"/>
        <v>16</v>
      </c>
      <c r="M32" s="49">
        <f t="shared" ca="1" si="102"/>
        <v>33</v>
      </c>
      <c r="N32" s="49">
        <f t="shared" ca="1" si="102"/>
        <v>2</v>
      </c>
      <c r="O32" s="49">
        <f t="shared" ca="1" si="102"/>
        <v>27</v>
      </c>
      <c r="P32" s="49">
        <f t="shared" ca="1" si="102"/>
        <v>5</v>
      </c>
      <c r="Q32" s="49">
        <f t="shared" ca="1" si="102"/>
        <v>2</v>
      </c>
      <c r="R32" s="49">
        <f t="shared" ca="1" si="102"/>
        <v>10</v>
      </c>
      <c r="S32" s="49">
        <f t="shared" ca="1" si="102"/>
        <v>12</v>
      </c>
      <c r="T32" s="49">
        <f t="shared" ca="1" si="102"/>
        <v>20</v>
      </c>
      <c r="U32" s="49">
        <f t="shared" ca="1" si="102"/>
        <v>16</v>
      </c>
      <c r="V32" s="49">
        <f t="shared" ca="1" si="102"/>
        <v>20</v>
      </c>
      <c r="W32" s="49">
        <f t="shared" ca="1" si="102"/>
        <v>8</v>
      </c>
      <c r="X32" s="49">
        <f t="shared" ca="1" si="102"/>
        <v>1</v>
      </c>
      <c r="Y32" s="49">
        <f t="shared" ca="1" si="102"/>
        <v>17</v>
      </c>
      <c r="Z32" s="49">
        <f t="shared" ca="1" si="102"/>
        <v>7</v>
      </c>
      <c r="AA32" s="49">
        <f t="shared" ca="1" si="102"/>
        <v>29</v>
      </c>
      <c r="AB32" s="49">
        <f t="shared" ca="1" si="102"/>
        <v>29</v>
      </c>
      <c r="AC32" s="49">
        <f t="shared" ca="1" si="102"/>
        <v>29</v>
      </c>
      <c r="AD32" s="49">
        <f t="shared" ca="1" si="102"/>
        <v>3</v>
      </c>
      <c r="AE32" s="49">
        <f t="shared" ca="1" si="102"/>
        <v>8</v>
      </c>
      <c r="AF32" s="49">
        <f t="shared" ca="1" si="102"/>
        <v>29</v>
      </c>
      <c r="AG32" s="49">
        <f t="shared" ca="1" si="102"/>
        <v>19</v>
      </c>
      <c r="AH32" s="49">
        <f t="shared" ca="1" si="102"/>
        <v>13</v>
      </c>
      <c r="AI32" s="49">
        <f t="shared" ca="1" si="102"/>
        <v>26</v>
      </c>
      <c r="AJ32" s="49">
        <f t="shared" ref="AJ32:BO32" ca="1" si="103">RANDBETWEEN(1, 33)</f>
        <v>23</v>
      </c>
      <c r="AK32" s="49">
        <f t="shared" ca="1" si="103"/>
        <v>12</v>
      </c>
      <c r="AL32" s="49">
        <f t="shared" ca="1" si="103"/>
        <v>25</v>
      </c>
      <c r="AM32" s="49">
        <f t="shared" ca="1" si="103"/>
        <v>28</v>
      </c>
      <c r="AN32" s="49">
        <f t="shared" ca="1" si="103"/>
        <v>30</v>
      </c>
      <c r="AO32" s="49">
        <f t="shared" ca="1" si="103"/>
        <v>1</v>
      </c>
      <c r="AP32" s="49">
        <f t="shared" ca="1" si="103"/>
        <v>10</v>
      </c>
      <c r="AQ32" s="49">
        <f t="shared" ca="1" si="103"/>
        <v>23</v>
      </c>
      <c r="AR32" s="49">
        <f t="shared" ca="1" si="103"/>
        <v>31</v>
      </c>
      <c r="AS32" s="49">
        <f t="shared" ca="1" si="103"/>
        <v>9</v>
      </c>
      <c r="AT32" s="49">
        <f t="shared" ca="1" si="103"/>
        <v>11</v>
      </c>
      <c r="AU32" s="49">
        <f t="shared" ca="1" si="103"/>
        <v>29</v>
      </c>
      <c r="AV32" s="49">
        <f t="shared" ca="1" si="103"/>
        <v>28</v>
      </c>
      <c r="AW32" s="49">
        <f t="shared" ca="1" si="103"/>
        <v>32</v>
      </c>
      <c r="AX32" s="49">
        <f t="shared" ca="1" si="103"/>
        <v>14</v>
      </c>
      <c r="AY32" s="49">
        <f t="shared" ca="1" si="103"/>
        <v>9</v>
      </c>
      <c r="AZ32" s="49">
        <f t="shared" ca="1" si="103"/>
        <v>12</v>
      </c>
      <c r="BA32" s="49">
        <f t="shared" ca="1" si="103"/>
        <v>16</v>
      </c>
      <c r="BB32" s="49">
        <f t="shared" ca="1" si="103"/>
        <v>26</v>
      </c>
      <c r="BC32" s="49">
        <f t="shared" ca="1" si="103"/>
        <v>22</v>
      </c>
      <c r="BD32" s="49">
        <f t="shared" ca="1" si="103"/>
        <v>9</v>
      </c>
      <c r="BE32" s="49">
        <f t="shared" ca="1" si="103"/>
        <v>19</v>
      </c>
      <c r="BF32" s="49">
        <f t="shared" ca="1" si="103"/>
        <v>17</v>
      </c>
      <c r="BG32" s="49">
        <f t="shared" ca="1" si="103"/>
        <v>17</v>
      </c>
      <c r="BH32" s="49">
        <f t="shared" ca="1" si="103"/>
        <v>2</v>
      </c>
      <c r="BI32" s="49">
        <f t="shared" ca="1" si="103"/>
        <v>22</v>
      </c>
      <c r="BJ32" s="49">
        <f t="shared" ca="1" si="103"/>
        <v>17</v>
      </c>
      <c r="BK32" s="49">
        <f t="shared" ca="1" si="103"/>
        <v>29</v>
      </c>
      <c r="BL32" s="49">
        <f t="shared" ca="1" si="103"/>
        <v>31</v>
      </c>
      <c r="BM32" s="49">
        <f t="shared" ca="1" si="103"/>
        <v>31</v>
      </c>
      <c r="BN32" s="49">
        <f t="shared" ca="1" si="103"/>
        <v>26</v>
      </c>
      <c r="BO32" s="49">
        <f t="shared" ca="1" si="103"/>
        <v>25</v>
      </c>
      <c r="BP32" s="49">
        <f t="shared" ref="BP32:CU32" ca="1" si="104">RANDBETWEEN(1, 33)</f>
        <v>23</v>
      </c>
      <c r="BQ32" s="49">
        <f t="shared" ca="1" si="104"/>
        <v>13</v>
      </c>
      <c r="BR32" s="49">
        <f t="shared" ca="1" si="104"/>
        <v>10</v>
      </c>
      <c r="BS32" s="49">
        <f t="shared" ca="1" si="104"/>
        <v>33</v>
      </c>
      <c r="BT32" s="49">
        <f t="shared" ca="1" si="104"/>
        <v>33</v>
      </c>
      <c r="BU32" s="49">
        <f t="shared" ca="1" si="104"/>
        <v>2</v>
      </c>
      <c r="BV32" s="49">
        <f t="shared" ca="1" si="104"/>
        <v>7</v>
      </c>
      <c r="BW32" s="49">
        <f t="shared" ca="1" si="104"/>
        <v>7</v>
      </c>
      <c r="BX32" s="49">
        <f t="shared" ca="1" si="104"/>
        <v>22</v>
      </c>
      <c r="BY32" s="49">
        <f t="shared" ca="1" si="104"/>
        <v>32</v>
      </c>
      <c r="BZ32" s="49">
        <f t="shared" ca="1" si="104"/>
        <v>21</v>
      </c>
      <c r="CA32" s="49">
        <f t="shared" ca="1" si="104"/>
        <v>19</v>
      </c>
      <c r="CB32" s="49">
        <f t="shared" ca="1" si="104"/>
        <v>19</v>
      </c>
      <c r="CC32" s="49">
        <f t="shared" ca="1" si="104"/>
        <v>20</v>
      </c>
      <c r="CD32" s="49">
        <f t="shared" ca="1" si="104"/>
        <v>2</v>
      </c>
      <c r="CE32" s="49">
        <f t="shared" ca="1" si="104"/>
        <v>31</v>
      </c>
      <c r="CF32" s="49">
        <f t="shared" ca="1" si="104"/>
        <v>16</v>
      </c>
      <c r="CG32" s="49">
        <f t="shared" ca="1" si="104"/>
        <v>24</v>
      </c>
      <c r="CH32" s="49">
        <f t="shared" ca="1" si="104"/>
        <v>21</v>
      </c>
      <c r="CI32" s="49">
        <f t="shared" ca="1" si="104"/>
        <v>19</v>
      </c>
      <c r="CJ32" s="49">
        <f t="shared" ca="1" si="104"/>
        <v>24</v>
      </c>
      <c r="CK32" s="49">
        <f t="shared" ca="1" si="104"/>
        <v>5</v>
      </c>
      <c r="CL32" s="49">
        <f t="shared" ca="1" si="104"/>
        <v>26</v>
      </c>
      <c r="CM32" s="49">
        <f t="shared" ca="1" si="104"/>
        <v>27</v>
      </c>
      <c r="CN32" s="49">
        <f t="shared" ca="1" si="104"/>
        <v>21</v>
      </c>
      <c r="CO32" s="49">
        <f t="shared" ca="1" si="104"/>
        <v>3</v>
      </c>
      <c r="CP32" s="49">
        <f t="shared" ca="1" si="104"/>
        <v>4</v>
      </c>
      <c r="CQ32" s="49">
        <f t="shared" ca="1" si="104"/>
        <v>31</v>
      </c>
      <c r="CR32" s="49">
        <f t="shared" ca="1" si="104"/>
        <v>19</v>
      </c>
      <c r="CS32" s="49">
        <f t="shared" ca="1" si="104"/>
        <v>1</v>
      </c>
      <c r="CT32" s="49">
        <f t="shared" ca="1" si="104"/>
        <v>15</v>
      </c>
      <c r="CU32" s="49">
        <f t="shared" ca="1" si="104"/>
        <v>1</v>
      </c>
      <c r="CV32" s="49">
        <f t="shared" ref="CV32:EE32" ca="1" si="105">RANDBETWEEN(1, 33)</f>
        <v>31</v>
      </c>
      <c r="CW32" s="49">
        <f t="shared" ca="1" si="105"/>
        <v>17</v>
      </c>
      <c r="CX32" s="49">
        <f t="shared" ca="1" si="105"/>
        <v>18</v>
      </c>
      <c r="CY32" s="49">
        <f t="shared" ca="1" si="105"/>
        <v>25</v>
      </c>
      <c r="CZ32" s="49">
        <f t="shared" ca="1" si="105"/>
        <v>29</v>
      </c>
      <c r="DA32" s="49">
        <f t="shared" ca="1" si="105"/>
        <v>20</v>
      </c>
      <c r="DB32" s="49">
        <f t="shared" ca="1" si="105"/>
        <v>14</v>
      </c>
      <c r="DC32" s="49">
        <f t="shared" ca="1" si="105"/>
        <v>1</v>
      </c>
      <c r="DD32" s="49">
        <f t="shared" ca="1" si="105"/>
        <v>33</v>
      </c>
      <c r="DE32" s="49">
        <f t="shared" ca="1" si="105"/>
        <v>6</v>
      </c>
      <c r="DF32" s="49">
        <f t="shared" ca="1" si="105"/>
        <v>9</v>
      </c>
      <c r="DG32" s="49">
        <f t="shared" ca="1" si="105"/>
        <v>23</v>
      </c>
      <c r="DH32" s="49">
        <f t="shared" ca="1" si="105"/>
        <v>21</v>
      </c>
      <c r="DI32" s="49">
        <f t="shared" ca="1" si="105"/>
        <v>21</v>
      </c>
      <c r="DJ32" s="49">
        <f t="shared" ca="1" si="105"/>
        <v>1</v>
      </c>
      <c r="DK32" s="49">
        <f t="shared" ca="1" si="105"/>
        <v>19</v>
      </c>
      <c r="DL32" s="49">
        <f t="shared" ca="1" si="105"/>
        <v>25</v>
      </c>
      <c r="DM32" s="49">
        <f t="shared" ca="1" si="105"/>
        <v>5</v>
      </c>
      <c r="DN32" s="49">
        <f t="shared" ca="1" si="105"/>
        <v>10</v>
      </c>
      <c r="DO32" s="49">
        <f t="shared" ca="1" si="105"/>
        <v>18</v>
      </c>
      <c r="DP32" s="49">
        <f t="shared" ca="1" si="105"/>
        <v>26</v>
      </c>
      <c r="DQ32" s="49">
        <f t="shared" ca="1" si="105"/>
        <v>31</v>
      </c>
      <c r="DR32" s="49">
        <f t="shared" ca="1" si="105"/>
        <v>15</v>
      </c>
      <c r="DS32" s="49">
        <f t="shared" ca="1" si="105"/>
        <v>2</v>
      </c>
      <c r="DT32" s="49">
        <f t="shared" ca="1" si="105"/>
        <v>18</v>
      </c>
      <c r="DU32" s="49">
        <f t="shared" ca="1" si="105"/>
        <v>6</v>
      </c>
      <c r="DV32" s="49">
        <f t="shared" ca="1" si="105"/>
        <v>11</v>
      </c>
      <c r="DW32" s="49">
        <f t="shared" ca="1" si="105"/>
        <v>4</v>
      </c>
      <c r="DX32" s="49">
        <f t="shared" ca="1" si="105"/>
        <v>1</v>
      </c>
      <c r="DY32" s="49">
        <f t="shared" ca="1" si="105"/>
        <v>24</v>
      </c>
      <c r="DZ32" s="49">
        <f t="shared" ca="1" si="105"/>
        <v>5</v>
      </c>
      <c r="EA32" s="49">
        <f t="shared" ca="1" si="105"/>
        <v>17</v>
      </c>
      <c r="EB32" s="49">
        <f t="shared" ca="1" si="105"/>
        <v>29</v>
      </c>
      <c r="EC32" s="49">
        <f t="shared" ca="1" si="105"/>
        <v>18</v>
      </c>
      <c r="ED32" s="49">
        <f t="shared" ca="1" si="105"/>
        <v>22</v>
      </c>
      <c r="EE32" s="49">
        <f t="shared" ca="1" si="105"/>
        <v>1</v>
      </c>
    </row>
    <row r="33" spans="1:135" x14ac:dyDescent="0.4">
      <c r="A33" s="29" t="str">
        <f t="shared" si="7"/>
        <v>KPI ID 26</v>
      </c>
      <c r="B33" s="47" t="s">
        <v>63</v>
      </c>
      <c r="C33" s="48" t="s">
        <v>41</v>
      </c>
      <c r="D33" s="49">
        <f t="shared" ref="D33:AI33" ca="1" si="106">RANDBETWEEN(0, 45)</f>
        <v>35</v>
      </c>
      <c r="E33" s="49">
        <f t="shared" ca="1" si="106"/>
        <v>40</v>
      </c>
      <c r="F33" s="49">
        <f t="shared" ca="1" si="106"/>
        <v>4</v>
      </c>
      <c r="G33" s="49">
        <f t="shared" ca="1" si="106"/>
        <v>44</v>
      </c>
      <c r="H33" s="49">
        <f t="shared" ca="1" si="106"/>
        <v>2</v>
      </c>
      <c r="I33" s="49">
        <f t="shared" ca="1" si="106"/>
        <v>2</v>
      </c>
      <c r="J33" s="49">
        <f t="shared" ca="1" si="106"/>
        <v>23</v>
      </c>
      <c r="K33" s="49">
        <f t="shared" ca="1" si="106"/>
        <v>44</v>
      </c>
      <c r="L33" s="49">
        <f t="shared" ca="1" si="106"/>
        <v>2</v>
      </c>
      <c r="M33" s="49">
        <f t="shared" ca="1" si="106"/>
        <v>22</v>
      </c>
      <c r="N33" s="49">
        <f t="shared" ca="1" si="106"/>
        <v>27</v>
      </c>
      <c r="O33" s="49">
        <f t="shared" ca="1" si="106"/>
        <v>35</v>
      </c>
      <c r="P33" s="49">
        <f t="shared" ca="1" si="106"/>
        <v>7</v>
      </c>
      <c r="Q33" s="49">
        <f t="shared" ca="1" si="106"/>
        <v>32</v>
      </c>
      <c r="R33" s="49">
        <f t="shared" ca="1" si="106"/>
        <v>1</v>
      </c>
      <c r="S33" s="49">
        <f t="shared" ca="1" si="106"/>
        <v>25</v>
      </c>
      <c r="T33" s="49">
        <f t="shared" ca="1" si="106"/>
        <v>29</v>
      </c>
      <c r="U33" s="49">
        <f t="shared" ca="1" si="106"/>
        <v>42</v>
      </c>
      <c r="V33" s="49">
        <f t="shared" ca="1" si="106"/>
        <v>38</v>
      </c>
      <c r="W33" s="49">
        <f t="shared" ca="1" si="106"/>
        <v>28</v>
      </c>
      <c r="X33" s="49">
        <f t="shared" ca="1" si="106"/>
        <v>6</v>
      </c>
      <c r="Y33" s="49">
        <f t="shared" ca="1" si="106"/>
        <v>42</v>
      </c>
      <c r="Z33" s="49">
        <f t="shared" ca="1" si="106"/>
        <v>0</v>
      </c>
      <c r="AA33" s="49">
        <f t="shared" ca="1" si="106"/>
        <v>2</v>
      </c>
      <c r="AB33" s="49">
        <f t="shared" ca="1" si="106"/>
        <v>16</v>
      </c>
      <c r="AC33" s="49">
        <f t="shared" ca="1" si="106"/>
        <v>1</v>
      </c>
      <c r="AD33" s="49">
        <f t="shared" ca="1" si="106"/>
        <v>38</v>
      </c>
      <c r="AE33" s="49">
        <f t="shared" ca="1" si="106"/>
        <v>22</v>
      </c>
      <c r="AF33" s="49">
        <f t="shared" ca="1" si="106"/>
        <v>3</v>
      </c>
      <c r="AG33" s="49">
        <f t="shared" ca="1" si="106"/>
        <v>25</v>
      </c>
      <c r="AH33" s="49">
        <f t="shared" ca="1" si="106"/>
        <v>16</v>
      </c>
      <c r="AI33" s="49">
        <f t="shared" ca="1" si="106"/>
        <v>21</v>
      </c>
      <c r="AJ33" s="49">
        <f t="shared" ref="AJ33:BO33" ca="1" si="107">RANDBETWEEN(0, 45)</f>
        <v>23</v>
      </c>
      <c r="AK33" s="49">
        <f t="shared" ca="1" si="107"/>
        <v>4</v>
      </c>
      <c r="AL33" s="49">
        <f t="shared" ca="1" si="107"/>
        <v>39</v>
      </c>
      <c r="AM33" s="49">
        <f t="shared" ca="1" si="107"/>
        <v>29</v>
      </c>
      <c r="AN33" s="49">
        <f t="shared" ca="1" si="107"/>
        <v>30</v>
      </c>
      <c r="AO33" s="49">
        <f t="shared" ca="1" si="107"/>
        <v>42</v>
      </c>
      <c r="AP33" s="49">
        <f t="shared" ca="1" si="107"/>
        <v>42</v>
      </c>
      <c r="AQ33" s="49">
        <f t="shared" ca="1" si="107"/>
        <v>25</v>
      </c>
      <c r="AR33" s="49">
        <f t="shared" ca="1" si="107"/>
        <v>11</v>
      </c>
      <c r="AS33" s="49">
        <f t="shared" ca="1" si="107"/>
        <v>23</v>
      </c>
      <c r="AT33" s="49">
        <f t="shared" ca="1" si="107"/>
        <v>43</v>
      </c>
      <c r="AU33" s="49">
        <f t="shared" ca="1" si="107"/>
        <v>8</v>
      </c>
      <c r="AV33" s="49">
        <f t="shared" ca="1" si="107"/>
        <v>10</v>
      </c>
      <c r="AW33" s="49">
        <f t="shared" ca="1" si="107"/>
        <v>12</v>
      </c>
      <c r="AX33" s="49">
        <f t="shared" ca="1" si="107"/>
        <v>8</v>
      </c>
      <c r="AY33" s="49">
        <f t="shared" ca="1" si="107"/>
        <v>35</v>
      </c>
      <c r="AZ33" s="49">
        <f t="shared" ca="1" si="107"/>
        <v>20</v>
      </c>
      <c r="BA33" s="49">
        <f t="shared" ca="1" si="107"/>
        <v>14</v>
      </c>
      <c r="BB33" s="49">
        <f t="shared" ca="1" si="107"/>
        <v>42</v>
      </c>
      <c r="BC33" s="49">
        <f t="shared" ca="1" si="107"/>
        <v>6</v>
      </c>
      <c r="BD33" s="49">
        <f t="shared" ca="1" si="107"/>
        <v>25</v>
      </c>
      <c r="BE33" s="49">
        <f t="shared" ca="1" si="107"/>
        <v>22</v>
      </c>
      <c r="BF33" s="49">
        <f t="shared" ca="1" si="107"/>
        <v>36</v>
      </c>
      <c r="BG33" s="49">
        <f t="shared" ca="1" si="107"/>
        <v>41</v>
      </c>
      <c r="BH33" s="49">
        <f t="shared" ca="1" si="107"/>
        <v>16</v>
      </c>
      <c r="BI33" s="49">
        <f t="shared" ca="1" si="107"/>
        <v>45</v>
      </c>
      <c r="BJ33" s="49">
        <f t="shared" ca="1" si="107"/>
        <v>6</v>
      </c>
      <c r="BK33" s="49">
        <f t="shared" ca="1" si="107"/>
        <v>42</v>
      </c>
      <c r="BL33" s="49">
        <f t="shared" ca="1" si="107"/>
        <v>22</v>
      </c>
      <c r="BM33" s="49">
        <f t="shared" ca="1" si="107"/>
        <v>45</v>
      </c>
      <c r="BN33" s="49">
        <f t="shared" ca="1" si="107"/>
        <v>0</v>
      </c>
      <c r="BO33" s="49">
        <f t="shared" ca="1" si="107"/>
        <v>4</v>
      </c>
      <c r="BP33" s="49">
        <f t="shared" ref="BP33:CU33" ca="1" si="108">RANDBETWEEN(0, 45)</f>
        <v>12</v>
      </c>
      <c r="BQ33" s="49">
        <f t="shared" ca="1" si="108"/>
        <v>33</v>
      </c>
      <c r="BR33" s="49">
        <f t="shared" ca="1" si="108"/>
        <v>10</v>
      </c>
      <c r="BS33" s="49">
        <f t="shared" ca="1" si="108"/>
        <v>26</v>
      </c>
      <c r="BT33" s="49">
        <f t="shared" ca="1" si="108"/>
        <v>21</v>
      </c>
      <c r="BU33" s="49">
        <f t="shared" ca="1" si="108"/>
        <v>3</v>
      </c>
      <c r="BV33" s="49">
        <f t="shared" ca="1" si="108"/>
        <v>15</v>
      </c>
      <c r="BW33" s="49">
        <f t="shared" ca="1" si="108"/>
        <v>23</v>
      </c>
      <c r="BX33" s="49">
        <f t="shared" ca="1" si="108"/>
        <v>23</v>
      </c>
      <c r="BY33" s="49">
        <f t="shared" ca="1" si="108"/>
        <v>13</v>
      </c>
      <c r="BZ33" s="49">
        <f t="shared" ca="1" si="108"/>
        <v>17</v>
      </c>
      <c r="CA33" s="49">
        <f t="shared" ca="1" si="108"/>
        <v>2</v>
      </c>
      <c r="CB33" s="49">
        <f t="shared" ca="1" si="108"/>
        <v>27</v>
      </c>
      <c r="CC33" s="49">
        <f t="shared" ca="1" si="108"/>
        <v>19</v>
      </c>
      <c r="CD33" s="49">
        <f t="shared" ca="1" si="108"/>
        <v>11</v>
      </c>
      <c r="CE33" s="49">
        <f t="shared" ca="1" si="108"/>
        <v>11</v>
      </c>
      <c r="CF33" s="49">
        <f t="shared" ca="1" si="108"/>
        <v>16</v>
      </c>
      <c r="CG33" s="49">
        <f t="shared" ca="1" si="108"/>
        <v>28</v>
      </c>
      <c r="CH33" s="49">
        <f t="shared" ca="1" si="108"/>
        <v>31</v>
      </c>
      <c r="CI33" s="49">
        <f t="shared" ca="1" si="108"/>
        <v>28</v>
      </c>
      <c r="CJ33" s="49">
        <f t="shared" ca="1" si="108"/>
        <v>43</v>
      </c>
      <c r="CK33" s="49">
        <f t="shared" ca="1" si="108"/>
        <v>8</v>
      </c>
      <c r="CL33" s="49">
        <f t="shared" ca="1" si="108"/>
        <v>10</v>
      </c>
      <c r="CM33" s="49">
        <f t="shared" ca="1" si="108"/>
        <v>6</v>
      </c>
      <c r="CN33" s="49">
        <f t="shared" ca="1" si="108"/>
        <v>15</v>
      </c>
      <c r="CO33" s="49">
        <f t="shared" ca="1" si="108"/>
        <v>21</v>
      </c>
      <c r="CP33" s="49">
        <f t="shared" ca="1" si="108"/>
        <v>34</v>
      </c>
      <c r="CQ33" s="49">
        <f t="shared" ca="1" si="108"/>
        <v>19</v>
      </c>
      <c r="CR33" s="49">
        <f t="shared" ca="1" si="108"/>
        <v>40</v>
      </c>
      <c r="CS33" s="49">
        <f t="shared" ca="1" si="108"/>
        <v>35</v>
      </c>
      <c r="CT33" s="49">
        <f t="shared" ca="1" si="108"/>
        <v>29</v>
      </c>
      <c r="CU33" s="49">
        <f t="shared" ca="1" si="108"/>
        <v>0</v>
      </c>
      <c r="CV33" s="49">
        <f t="shared" ref="CV33:EE33" ca="1" si="109">RANDBETWEEN(0, 45)</f>
        <v>13</v>
      </c>
      <c r="CW33" s="49">
        <f t="shared" ca="1" si="109"/>
        <v>30</v>
      </c>
      <c r="CX33" s="49">
        <f t="shared" ca="1" si="109"/>
        <v>14</v>
      </c>
      <c r="CY33" s="49">
        <f t="shared" ca="1" si="109"/>
        <v>15</v>
      </c>
      <c r="CZ33" s="49">
        <f t="shared" ca="1" si="109"/>
        <v>1</v>
      </c>
      <c r="DA33" s="49">
        <f t="shared" ca="1" si="109"/>
        <v>3</v>
      </c>
      <c r="DB33" s="49">
        <f t="shared" ca="1" si="109"/>
        <v>17</v>
      </c>
      <c r="DC33" s="49">
        <f t="shared" ca="1" si="109"/>
        <v>17</v>
      </c>
      <c r="DD33" s="49">
        <f t="shared" ca="1" si="109"/>
        <v>28</v>
      </c>
      <c r="DE33" s="49">
        <f t="shared" ca="1" si="109"/>
        <v>34</v>
      </c>
      <c r="DF33" s="49">
        <f t="shared" ca="1" si="109"/>
        <v>7</v>
      </c>
      <c r="DG33" s="49">
        <f t="shared" ca="1" si="109"/>
        <v>31</v>
      </c>
      <c r="DH33" s="49">
        <f t="shared" ca="1" si="109"/>
        <v>22</v>
      </c>
      <c r="DI33" s="49">
        <f t="shared" ca="1" si="109"/>
        <v>41</v>
      </c>
      <c r="DJ33" s="49">
        <f t="shared" ca="1" si="109"/>
        <v>17</v>
      </c>
      <c r="DK33" s="49">
        <f t="shared" ca="1" si="109"/>
        <v>18</v>
      </c>
      <c r="DL33" s="49">
        <f t="shared" ca="1" si="109"/>
        <v>43</v>
      </c>
      <c r="DM33" s="49">
        <f t="shared" ca="1" si="109"/>
        <v>41</v>
      </c>
      <c r="DN33" s="49">
        <f t="shared" ca="1" si="109"/>
        <v>11</v>
      </c>
      <c r="DO33" s="49">
        <f t="shared" ca="1" si="109"/>
        <v>25</v>
      </c>
      <c r="DP33" s="49">
        <f t="shared" ca="1" si="109"/>
        <v>41</v>
      </c>
      <c r="DQ33" s="49">
        <f t="shared" ca="1" si="109"/>
        <v>39</v>
      </c>
      <c r="DR33" s="49">
        <f t="shared" ca="1" si="109"/>
        <v>28</v>
      </c>
      <c r="DS33" s="49">
        <f t="shared" ca="1" si="109"/>
        <v>20</v>
      </c>
      <c r="DT33" s="49">
        <f t="shared" ca="1" si="109"/>
        <v>16</v>
      </c>
      <c r="DU33" s="49">
        <f t="shared" ca="1" si="109"/>
        <v>42</v>
      </c>
      <c r="DV33" s="49">
        <f t="shared" ca="1" si="109"/>
        <v>38</v>
      </c>
      <c r="DW33" s="49">
        <f t="shared" ca="1" si="109"/>
        <v>16</v>
      </c>
      <c r="DX33" s="49">
        <f t="shared" ca="1" si="109"/>
        <v>10</v>
      </c>
      <c r="DY33" s="49">
        <f t="shared" ca="1" si="109"/>
        <v>30</v>
      </c>
      <c r="DZ33" s="49">
        <f t="shared" ca="1" si="109"/>
        <v>25</v>
      </c>
      <c r="EA33" s="49">
        <f t="shared" ca="1" si="109"/>
        <v>43</v>
      </c>
      <c r="EB33" s="49">
        <f t="shared" ca="1" si="109"/>
        <v>33</v>
      </c>
      <c r="EC33" s="49">
        <f t="shared" ca="1" si="109"/>
        <v>35</v>
      </c>
      <c r="ED33" s="49">
        <f t="shared" ca="1" si="109"/>
        <v>33</v>
      </c>
      <c r="EE33" s="49">
        <f t="shared" ca="1" si="109"/>
        <v>2</v>
      </c>
    </row>
    <row r="34" spans="1:135" x14ac:dyDescent="0.4">
      <c r="A34" s="29" t="str">
        <f t="shared" si="7"/>
        <v>KPI ID 27</v>
      </c>
      <c r="B34" s="47" t="s">
        <v>63</v>
      </c>
      <c r="C34" s="48" t="s">
        <v>42</v>
      </c>
      <c r="D34" s="49">
        <f t="shared" ref="D34:AI34" ca="1" si="110">RAND()</f>
        <v>7.4173705235163867E-2</v>
      </c>
      <c r="E34" s="49">
        <f t="shared" ca="1" si="110"/>
        <v>0.28065326912142741</v>
      </c>
      <c r="F34" s="49">
        <f t="shared" ca="1" si="110"/>
        <v>7.357714478723909E-3</v>
      </c>
      <c r="G34" s="49">
        <f t="shared" ca="1" si="110"/>
        <v>0.19226426901870619</v>
      </c>
      <c r="H34" s="49">
        <f t="shared" ca="1" si="110"/>
        <v>0.32573705948418585</v>
      </c>
      <c r="I34" s="49">
        <f t="shared" ca="1" si="110"/>
        <v>0.55257997685206406</v>
      </c>
      <c r="J34" s="49">
        <f t="shared" ca="1" si="110"/>
        <v>0.70078545234305245</v>
      </c>
      <c r="K34" s="49">
        <f t="shared" ca="1" si="110"/>
        <v>0.84436735035026711</v>
      </c>
      <c r="L34" s="49">
        <f t="shared" ca="1" si="110"/>
        <v>0.65212068739716766</v>
      </c>
      <c r="M34" s="49">
        <f t="shared" ca="1" si="110"/>
        <v>0.75210049128926493</v>
      </c>
      <c r="N34" s="49">
        <f t="shared" ca="1" si="110"/>
        <v>0.75315988080682494</v>
      </c>
      <c r="O34" s="49">
        <f t="shared" ca="1" si="110"/>
        <v>0.9290141844065527</v>
      </c>
      <c r="P34" s="49">
        <f t="shared" ca="1" si="110"/>
        <v>0.64621909645386522</v>
      </c>
      <c r="Q34" s="49">
        <f t="shared" ca="1" si="110"/>
        <v>0.47747365697574695</v>
      </c>
      <c r="R34" s="49">
        <f t="shared" ca="1" si="110"/>
        <v>0.7773927088600967</v>
      </c>
      <c r="S34" s="49">
        <f t="shared" ca="1" si="110"/>
        <v>0.49872872479989805</v>
      </c>
      <c r="T34" s="49">
        <f t="shared" ca="1" si="110"/>
        <v>0.41686110115285957</v>
      </c>
      <c r="U34" s="49">
        <f t="shared" ca="1" si="110"/>
        <v>0.4936487614748748</v>
      </c>
      <c r="V34" s="49">
        <f t="shared" ca="1" si="110"/>
        <v>0.88369166455801895</v>
      </c>
      <c r="W34" s="49">
        <f t="shared" ca="1" si="110"/>
        <v>0.43448635257393131</v>
      </c>
      <c r="X34" s="49">
        <f t="shared" ca="1" si="110"/>
        <v>0.91172153316039006</v>
      </c>
      <c r="Y34" s="49">
        <f t="shared" ca="1" si="110"/>
        <v>0.92860374243610699</v>
      </c>
      <c r="Z34" s="49">
        <f t="shared" ca="1" si="110"/>
        <v>8.8464930031121103E-2</v>
      </c>
      <c r="AA34" s="49">
        <f t="shared" ca="1" si="110"/>
        <v>0.25565436472947323</v>
      </c>
      <c r="AB34" s="49">
        <f t="shared" ca="1" si="110"/>
        <v>0.13410729287032308</v>
      </c>
      <c r="AC34" s="49">
        <f t="shared" ca="1" si="110"/>
        <v>0.5513139034881912</v>
      </c>
      <c r="AD34" s="49">
        <f t="shared" ca="1" si="110"/>
        <v>0.95919104723888493</v>
      </c>
      <c r="AE34" s="49">
        <f t="shared" ca="1" si="110"/>
        <v>0.81134271026528326</v>
      </c>
      <c r="AF34" s="49">
        <f t="shared" ca="1" si="110"/>
        <v>0.4292355713171303</v>
      </c>
      <c r="AG34" s="49">
        <f t="shared" ca="1" si="110"/>
        <v>0.25199426666856484</v>
      </c>
      <c r="AH34" s="49">
        <f t="shared" ca="1" si="110"/>
        <v>0.26868696239689072</v>
      </c>
      <c r="AI34" s="49">
        <f t="shared" ca="1" si="110"/>
        <v>7.049298436259932E-2</v>
      </c>
      <c r="AJ34" s="49">
        <f t="shared" ref="AJ34:BO34" ca="1" si="111">RAND()</f>
        <v>0.26186594217158488</v>
      </c>
      <c r="AK34" s="49">
        <f t="shared" ca="1" si="111"/>
        <v>0.60914026015533984</v>
      </c>
      <c r="AL34" s="49">
        <f t="shared" ca="1" si="111"/>
        <v>0.33356148425566046</v>
      </c>
      <c r="AM34" s="49">
        <f t="shared" ca="1" si="111"/>
        <v>0.86877917933443738</v>
      </c>
      <c r="AN34" s="49">
        <f t="shared" ca="1" si="111"/>
        <v>0.3319442406782448</v>
      </c>
      <c r="AO34" s="49">
        <f t="shared" ca="1" si="111"/>
        <v>0.2005149015358384</v>
      </c>
      <c r="AP34" s="49">
        <f t="shared" ca="1" si="111"/>
        <v>0.72897762372841102</v>
      </c>
      <c r="AQ34" s="49">
        <f t="shared" ca="1" si="111"/>
        <v>0.66117925464573213</v>
      </c>
      <c r="AR34" s="49">
        <f t="shared" ca="1" si="111"/>
        <v>3.7886941457189183E-3</v>
      </c>
      <c r="AS34" s="49">
        <f t="shared" ca="1" si="111"/>
        <v>0.15191022317267844</v>
      </c>
      <c r="AT34" s="49">
        <f t="shared" ca="1" si="111"/>
        <v>0.13068404142630441</v>
      </c>
      <c r="AU34" s="49">
        <f t="shared" ca="1" si="111"/>
        <v>0.52358873254756322</v>
      </c>
      <c r="AV34" s="49">
        <f t="shared" ca="1" si="111"/>
        <v>0.30125299290931418</v>
      </c>
      <c r="AW34" s="49">
        <f t="shared" ca="1" si="111"/>
        <v>0.44222191867211535</v>
      </c>
      <c r="AX34" s="49">
        <f t="shared" ca="1" si="111"/>
        <v>0.74698917077085125</v>
      </c>
      <c r="AY34" s="49">
        <f t="shared" ca="1" si="111"/>
        <v>0.46203941173451324</v>
      </c>
      <c r="AZ34" s="49">
        <f t="shared" ca="1" si="111"/>
        <v>0.72905300006197293</v>
      </c>
      <c r="BA34" s="49">
        <f t="shared" ca="1" si="111"/>
        <v>0.87925713574845255</v>
      </c>
      <c r="BB34" s="49">
        <f t="shared" ca="1" si="111"/>
        <v>0.96107218815305451</v>
      </c>
      <c r="BC34" s="49">
        <f t="shared" ca="1" si="111"/>
        <v>0.13032838647490186</v>
      </c>
      <c r="BD34" s="49">
        <f t="shared" ca="1" si="111"/>
        <v>0.52439597857923426</v>
      </c>
      <c r="BE34" s="49">
        <f t="shared" ca="1" si="111"/>
        <v>0.95266681036944956</v>
      </c>
      <c r="BF34" s="49">
        <f t="shared" ca="1" si="111"/>
        <v>0.19031944601816175</v>
      </c>
      <c r="BG34" s="49">
        <f t="shared" ca="1" si="111"/>
        <v>0.24031909694692266</v>
      </c>
      <c r="BH34" s="49">
        <f t="shared" ca="1" si="111"/>
        <v>9.5905228748157878E-2</v>
      </c>
      <c r="BI34" s="49">
        <f t="shared" ca="1" si="111"/>
        <v>2.8933502438350578E-2</v>
      </c>
      <c r="BJ34" s="49">
        <f t="shared" ca="1" si="111"/>
        <v>0.66030449923077839</v>
      </c>
      <c r="BK34" s="49">
        <f t="shared" ca="1" si="111"/>
        <v>0.24907903327247105</v>
      </c>
      <c r="BL34" s="49">
        <f t="shared" ca="1" si="111"/>
        <v>0.93396493714235573</v>
      </c>
      <c r="BM34" s="49">
        <f t="shared" ca="1" si="111"/>
        <v>0.32031687693979816</v>
      </c>
      <c r="BN34" s="49">
        <f t="shared" ca="1" si="111"/>
        <v>0.32867342214219719</v>
      </c>
      <c r="BO34" s="49">
        <f t="shared" ca="1" si="111"/>
        <v>0.96924334478305785</v>
      </c>
      <c r="BP34" s="49">
        <f t="shared" ref="BP34:CU34" ca="1" si="112">RAND()</f>
        <v>0.63657828076159761</v>
      </c>
      <c r="BQ34" s="49">
        <f t="shared" ca="1" si="112"/>
        <v>0.69578954688829597</v>
      </c>
      <c r="BR34" s="49">
        <f t="shared" ca="1" si="112"/>
        <v>0.57466114861699735</v>
      </c>
      <c r="BS34" s="49">
        <f t="shared" ca="1" si="112"/>
        <v>0.58092422592114046</v>
      </c>
      <c r="BT34" s="49">
        <f t="shared" ca="1" si="112"/>
        <v>0.56555712400736458</v>
      </c>
      <c r="BU34" s="49">
        <f t="shared" ca="1" si="112"/>
        <v>0.96100510047241205</v>
      </c>
      <c r="BV34" s="49">
        <f t="shared" ca="1" si="112"/>
        <v>0.4043080595006292</v>
      </c>
      <c r="BW34" s="49">
        <f t="shared" ca="1" si="112"/>
        <v>0.5107325166363722</v>
      </c>
      <c r="BX34" s="49">
        <f t="shared" ca="1" si="112"/>
        <v>0.71305832601652641</v>
      </c>
      <c r="BY34" s="49">
        <f t="shared" ca="1" si="112"/>
        <v>0.13870379531828125</v>
      </c>
      <c r="BZ34" s="49">
        <f t="shared" ca="1" si="112"/>
        <v>0.93984529277675444</v>
      </c>
      <c r="CA34" s="49">
        <f t="shared" ca="1" si="112"/>
        <v>0.32956166258596997</v>
      </c>
      <c r="CB34" s="49">
        <f t="shared" ca="1" si="112"/>
        <v>0.91125477780113628</v>
      </c>
      <c r="CC34" s="49">
        <f t="shared" ca="1" si="112"/>
        <v>0.83983610123045505</v>
      </c>
      <c r="CD34" s="49">
        <f t="shared" ca="1" si="112"/>
        <v>0.57846694307109636</v>
      </c>
      <c r="CE34" s="49">
        <f t="shared" ca="1" si="112"/>
        <v>0.65803838205640774</v>
      </c>
      <c r="CF34" s="49">
        <f t="shared" ca="1" si="112"/>
        <v>0.5417764900091222</v>
      </c>
      <c r="CG34" s="49">
        <f t="shared" ca="1" si="112"/>
        <v>0.75982058616856851</v>
      </c>
      <c r="CH34" s="49">
        <f t="shared" ca="1" si="112"/>
        <v>8.2194960570303177E-4</v>
      </c>
      <c r="CI34" s="49">
        <f t="shared" ca="1" si="112"/>
        <v>0.45329572858605749</v>
      </c>
      <c r="CJ34" s="49">
        <f t="shared" ca="1" si="112"/>
        <v>0.39284243998091994</v>
      </c>
      <c r="CK34" s="49">
        <f t="shared" ca="1" si="112"/>
        <v>0.87853615238980509</v>
      </c>
      <c r="CL34" s="49">
        <f t="shared" ca="1" si="112"/>
        <v>0.47039564338535955</v>
      </c>
      <c r="CM34" s="49">
        <f t="shared" ca="1" si="112"/>
        <v>0.69810951919708841</v>
      </c>
      <c r="CN34" s="49">
        <f t="shared" ca="1" si="112"/>
        <v>0.62300983535970866</v>
      </c>
      <c r="CO34" s="49">
        <f t="shared" ca="1" si="112"/>
        <v>0.50581705418001555</v>
      </c>
      <c r="CP34" s="49">
        <f t="shared" ca="1" si="112"/>
        <v>0.62600398431375359</v>
      </c>
      <c r="CQ34" s="49">
        <f t="shared" ca="1" si="112"/>
        <v>0.33133016575177732</v>
      </c>
      <c r="CR34" s="49">
        <f t="shared" ca="1" si="112"/>
        <v>0.1490485178078047</v>
      </c>
      <c r="CS34" s="49">
        <f t="shared" ca="1" si="112"/>
        <v>0.33249858815372202</v>
      </c>
      <c r="CT34" s="49">
        <f t="shared" ca="1" si="112"/>
        <v>0.42617392607553428</v>
      </c>
      <c r="CU34" s="49">
        <f t="shared" ca="1" si="112"/>
        <v>0.32337063753400608</v>
      </c>
      <c r="CV34" s="49">
        <f t="shared" ref="CV34:EE34" ca="1" si="113">RAND()</f>
        <v>4.8374190069610301E-2</v>
      </c>
      <c r="CW34" s="49">
        <f t="shared" ca="1" si="113"/>
        <v>4.9986370056015583E-2</v>
      </c>
      <c r="CX34" s="49">
        <f t="shared" ca="1" si="113"/>
        <v>0.11015999322711068</v>
      </c>
      <c r="CY34" s="49">
        <f t="shared" ca="1" si="113"/>
        <v>0.19271080129658746</v>
      </c>
      <c r="CZ34" s="49">
        <f t="shared" ca="1" si="113"/>
        <v>0.73259498146461433</v>
      </c>
      <c r="DA34" s="49">
        <f t="shared" ca="1" si="113"/>
        <v>0.41856550966706063</v>
      </c>
      <c r="DB34" s="49">
        <f t="shared" ca="1" si="113"/>
        <v>0.78715318216682006</v>
      </c>
      <c r="DC34" s="49">
        <f t="shared" ca="1" si="113"/>
        <v>0.53714281356380089</v>
      </c>
      <c r="DD34" s="49">
        <f t="shared" ca="1" si="113"/>
        <v>0.26695232019625492</v>
      </c>
      <c r="DE34" s="49">
        <f t="shared" ca="1" si="113"/>
        <v>0.61900044987149216</v>
      </c>
      <c r="DF34" s="49">
        <f t="shared" ca="1" si="113"/>
        <v>0.92600609002867829</v>
      </c>
      <c r="DG34" s="49">
        <f t="shared" ca="1" si="113"/>
        <v>0.21232604661803212</v>
      </c>
      <c r="DH34" s="49">
        <f t="shared" ca="1" si="113"/>
        <v>0.32153724399965666</v>
      </c>
      <c r="DI34" s="49">
        <f t="shared" ca="1" si="113"/>
        <v>0.45621166841303251</v>
      </c>
      <c r="DJ34" s="49">
        <f t="shared" ca="1" si="113"/>
        <v>9.9592713185245318E-2</v>
      </c>
      <c r="DK34" s="49">
        <f t="shared" ca="1" si="113"/>
        <v>9.7197289011515808E-2</v>
      </c>
      <c r="DL34" s="49">
        <f t="shared" ca="1" si="113"/>
        <v>0.78618963321340207</v>
      </c>
      <c r="DM34" s="49">
        <f t="shared" ca="1" si="113"/>
        <v>0.63413765735181571</v>
      </c>
      <c r="DN34" s="49">
        <f t="shared" ca="1" si="113"/>
        <v>0.92903288050017985</v>
      </c>
      <c r="DO34" s="49">
        <f t="shared" ca="1" si="113"/>
        <v>0.23026413517502975</v>
      </c>
      <c r="DP34" s="49">
        <f t="shared" ca="1" si="113"/>
        <v>0.7167583755982645</v>
      </c>
      <c r="DQ34" s="49">
        <f t="shared" ca="1" si="113"/>
        <v>0.97063577315905336</v>
      </c>
      <c r="DR34" s="49">
        <f t="shared" ca="1" si="113"/>
        <v>0.36319984549925632</v>
      </c>
      <c r="DS34" s="49">
        <f t="shared" ca="1" si="113"/>
        <v>0.48706901059790675</v>
      </c>
      <c r="DT34" s="49">
        <f t="shared" ca="1" si="113"/>
        <v>0.89772391954726938</v>
      </c>
      <c r="DU34" s="49">
        <f t="shared" ca="1" si="113"/>
        <v>0.60539154583677512</v>
      </c>
      <c r="DV34" s="49">
        <f t="shared" ca="1" si="113"/>
        <v>0.92994174060094692</v>
      </c>
      <c r="DW34" s="49">
        <f t="shared" ca="1" si="113"/>
        <v>0.79563191099707664</v>
      </c>
      <c r="DX34" s="49">
        <f t="shared" ca="1" si="113"/>
        <v>0.86285908757472196</v>
      </c>
      <c r="DY34" s="49">
        <f t="shared" ca="1" si="113"/>
        <v>0.28706337270849602</v>
      </c>
      <c r="DZ34" s="49">
        <f t="shared" ca="1" si="113"/>
        <v>0.55969202039934174</v>
      </c>
      <c r="EA34" s="49">
        <f t="shared" ca="1" si="113"/>
        <v>0.44067071676881564</v>
      </c>
      <c r="EB34" s="49">
        <f t="shared" ca="1" si="113"/>
        <v>0.26377087419857581</v>
      </c>
      <c r="EC34" s="49">
        <f t="shared" ca="1" si="113"/>
        <v>0.18316170454153535</v>
      </c>
      <c r="ED34" s="49">
        <f t="shared" ca="1" si="113"/>
        <v>0.90665046955520123</v>
      </c>
      <c r="EE34" s="49">
        <f t="shared" ca="1" si="113"/>
        <v>0.76913489424994375</v>
      </c>
    </row>
    <row r="35" spans="1:135" x14ac:dyDescent="0.4">
      <c r="A35" s="29" t="str">
        <f t="shared" si="7"/>
        <v>KPI ID 28 %</v>
      </c>
      <c r="B35" s="47" t="s">
        <v>63</v>
      </c>
      <c r="C35" s="48" t="s">
        <v>43</v>
      </c>
      <c r="D35" s="49">
        <f t="shared" ref="D35:AI35" ca="1" si="114">RAND()+1</f>
        <v>1.2519294866789545</v>
      </c>
      <c r="E35" s="49">
        <f t="shared" ca="1" si="114"/>
        <v>1.0372451217514231</v>
      </c>
      <c r="F35" s="49">
        <f t="shared" ca="1" si="114"/>
        <v>1.2146019468376423</v>
      </c>
      <c r="G35" s="49">
        <f t="shared" ca="1" si="114"/>
        <v>1.4148620334803561</v>
      </c>
      <c r="H35" s="49">
        <f t="shared" ca="1" si="114"/>
        <v>1.2200449031260909</v>
      </c>
      <c r="I35" s="49">
        <f t="shared" ca="1" si="114"/>
        <v>1.1149704396020101</v>
      </c>
      <c r="J35" s="49">
        <f t="shared" ca="1" si="114"/>
        <v>1.9897596691160091</v>
      </c>
      <c r="K35" s="49">
        <f t="shared" ca="1" si="114"/>
        <v>1.8367517645762745</v>
      </c>
      <c r="L35" s="49">
        <f t="shared" ca="1" si="114"/>
        <v>1.4670745200210646</v>
      </c>
      <c r="M35" s="49">
        <f t="shared" ca="1" si="114"/>
        <v>1.8520311233904776</v>
      </c>
      <c r="N35" s="49">
        <f t="shared" ca="1" si="114"/>
        <v>1.5571195510423805</v>
      </c>
      <c r="O35" s="49">
        <f t="shared" ca="1" si="114"/>
        <v>1.2009952033335847</v>
      </c>
      <c r="P35" s="49">
        <f t="shared" ca="1" si="114"/>
        <v>1.5766294265487852</v>
      </c>
      <c r="Q35" s="49">
        <f t="shared" ca="1" si="114"/>
        <v>1.009489568625241</v>
      </c>
      <c r="R35" s="49">
        <f t="shared" ca="1" si="114"/>
        <v>1.2529200254390891</v>
      </c>
      <c r="S35" s="49">
        <f t="shared" ca="1" si="114"/>
        <v>1.0178902817368749</v>
      </c>
      <c r="T35" s="49">
        <f t="shared" ca="1" si="114"/>
        <v>1.5717245555110082</v>
      </c>
      <c r="U35" s="49">
        <f t="shared" ca="1" si="114"/>
        <v>1.2588986237845126</v>
      </c>
      <c r="V35" s="49">
        <f t="shared" ca="1" si="114"/>
        <v>1.781014244392221</v>
      </c>
      <c r="W35" s="49">
        <f t="shared" ca="1" si="114"/>
        <v>1.4253108974384618</v>
      </c>
      <c r="X35" s="49">
        <f t="shared" ca="1" si="114"/>
        <v>1.0268215545953567</v>
      </c>
      <c r="Y35" s="49">
        <f t="shared" ca="1" si="114"/>
        <v>1.1937734809629057</v>
      </c>
      <c r="Z35" s="49">
        <f t="shared" ca="1" si="114"/>
        <v>1.6814476819610364</v>
      </c>
      <c r="AA35" s="49">
        <f t="shared" ca="1" si="114"/>
        <v>1.1367858513814753</v>
      </c>
      <c r="AB35" s="49">
        <f t="shared" ca="1" si="114"/>
        <v>1.8751852793950916</v>
      </c>
      <c r="AC35" s="49">
        <f t="shared" ca="1" si="114"/>
        <v>1.5299420945952851</v>
      </c>
      <c r="AD35" s="49">
        <f t="shared" ca="1" si="114"/>
        <v>1.9214098565189992</v>
      </c>
      <c r="AE35" s="49">
        <f t="shared" ca="1" si="114"/>
        <v>1.935471650962082</v>
      </c>
      <c r="AF35" s="49">
        <f t="shared" ca="1" si="114"/>
        <v>1.604535938694621</v>
      </c>
      <c r="AG35" s="49">
        <f t="shared" ca="1" si="114"/>
        <v>1.2674131724285451</v>
      </c>
      <c r="AH35" s="49">
        <f t="shared" ca="1" si="114"/>
        <v>1.9361974920770975</v>
      </c>
      <c r="AI35" s="49">
        <f t="shared" ca="1" si="114"/>
        <v>1.8814062431853917</v>
      </c>
      <c r="AJ35" s="49">
        <f t="shared" ref="AJ35:BO35" ca="1" si="115">RAND()+1</f>
        <v>1.4264777958960611</v>
      </c>
      <c r="AK35" s="49">
        <f t="shared" ca="1" si="115"/>
        <v>1.0350472371403368</v>
      </c>
      <c r="AL35" s="49">
        <f t="shared" ca="1" si="115"/>
        <v>1.8181309679123574</v>
      </c>
      <c r="AM35" s="49">
        <f t="shared" ca="1" si="115"/>
        <v>1.0015599874497689</v>
      </c>
      <c r="AN35" s="49">
        <f t="shared" ca="1" si="115"/>
        <v>1.187639180504628</v>
      </c>
      <c r="AO35" s="49">
        <f t="shared" ca="1" si="115"/>
        <v>1.0589284177974267</v>
      </c>
      <c r="AP35" s="49">
        <f t="shared" ca="1" si="115"/>
        <v>1.2921720055419805</v>
      </c>
      <c r="AQ35" s="49">
        <f t="shared" ca="1" si="115"/>
        <v>1.6858476277681804</v>
      </c>
      <c r="AR35" s="49">
        <f t="shared" ca="1" si="115"/>
        <v>1.8808812618292403</v>
      </c>
      <c r="AS35" s="49">
        <f t="shared" ca="1" si="115"/>
        <v>1.0412904895839068</v>
      </c>
      <c r="AT35" s="49">
        <f t="shared" ca="1" si="115"/>
        <v>1.3541118197571302</v>
      </c>
      <c r="AU35" s="49">
        <f t="shared" ca="1" si="115"/>
        <v>1.4757570165863358</v>
      </c>
      <c r="AV35" s="49">
        <f t="shared" ca="1" si="115"/>
        <v>1.3645369693642415</v>
      </c>
      <c r="AW35" s="49">
        <f t="shared" ca="1" si="115"/>
        <v>1.3563239975196455</v>
      </c>
      <c r="AX35" s="49">
        <f t="shared" ca="1" si="115"/>
        <v>1.9772597174993876</v>
      </c>
      <c r="AY35" s="49">
        <f t="shared" ca="1" si="115"/>
        <v>1.1691912960670658</v>
      </c>
      <c r="AZ35" s="49">
        <f t="shared" ca="1" si="115"/>
        <v>1.6236372220722739</v>
      </c>
      <c r="BA35" s="49">
        <f t="shared" ca="1" si="115"/>
        <v>1.8931304265444242</v>
      </c>
      <c r="BB35" s="49">
        <f t="shared" ca="1" si="115"/>
        <v>1.6115020426191671</v>
      </c>
      <c r="BC35" s="49">
        <f t="shared" ca="1" si="115"/>
        <v>1.8197110623923867</v>
      </c>
      <c r="BD35" s="49">
        <f t="shared" ca="1" si="115"/>
        <v>1.5090847857939402</v>
      </c>
      <c r="BE35" s="49">
        <f t="shared" ca="1" si="115"/>
        <v>1.6153954016283307</v>
      </c>
      <c r="BF35" s="49">
        <f t="shared" ca="1" si="115"/>
        <v>1.1814002278357991</v>
      </c>
      <c r="BG35" s="49">
        <f t="shared" ca="1" si="115"/>
        <v>1.1781306068441117</v>
      </c>
      <c r="BH35" s="49">
        <f t="shared" ca="1" si="115"/>
        <v>1.2490630201637165</v>
      </c>
      <c r="BI35" s="49">
        <f t="shared" ca="1" si="115"/>
        <v>1.2670454560326427</v>
      </c>
      <c r="BJ35" s="49">
        <f t="shared" ca="1" si="115"/>
        <v>1.5396255639129564</v>
      </c>
      <c r="BK35" s="49">
        <f t="shared" ca="1" si="115"/>
        <v>1.0344724126931593</v>
      </c>
      <c r="BL35" s="49">
        <f t="shared" ca="1" si="115"/>
        <v>1.3483619789584076</v>
      </c>
      <c r="BM35" s="49">
        <f t="shared" ca="1" si="115"/>
        <v>1.6872192588469452</v>
      </c>
      <c r="BN35" s="49">
        <f t="shared" ca="1" si="115"/>
        <v>1.7438435097256031</v>
      </c>
      <c r="BO35" s="49">
        <f t="shared" ca="1" si="115"/>
        <v>1.9744006079473073</v>
      </c>
      <c r="BP35" s="49">
        <f t="shared" ref="BP35:CU35" ca="1" si="116">RAND()+1</f>
        <v>1.8775556966739091</v>
      </c>
      <c r="BQ35" s="49">
        <f t="shared" ca="1" si="116"/>
        <v>1.0750411797307748</v>
      </c>
      <c r="BR35" s="49">
        <f t="shared" ca="1" si="116"/>
        <v>1.6403355038162397</v>
      </c>
      <c r="BS35" s="49">
        <f t="shared" ca="1" si="116"/>
        <v>1.2966559895815357</v>
      </c>
      <c r="BT35" s="49">
        <f t="shared" ca="1" si="116"/>
        <v>1.5468283057649099</v>
      </c>
      <c r="BU35" s="49">
        <f t="shared" ca="1" si="116"/>
        <v>1.1485826387706111</v>
      </c>
      <c r="BV35" s="49">
        <f t="shared" ca="1" si="116"/>
        <v>1.7556526802837946</v>
      </c>
      <c r="BW35" s="49">
        <f t="shared" ca="1" si="116"/>
        <v>1.7789027663623682</v>
      </c>
      <c r="BX35" s="49">
        <f t="shared" ca="1" si="116"/>
        <v>1.5012838623128635</v>
      </c>
      <c r="BY35" s="49">
        <f t="shared" ca="1" si="116"/>
        <v>1.1339145854676302</v>
      </c>
      <c r="BZ35" s="49">
        <f t="shared" ca="1" si="116"/>
        <v>1.8679491293633883</v>
      </c>
      <c r="CA35" s="49">
        <f t="shared" ca="1" si="116"/>
        <v>1.6798543710499843</v>
      </c>
      <c r="CB35" s="49">
        <f t="shared" ca="1" si="116"/>
        <v>1.8168064888822721</v>
      </c>
      <c r="CC35" s="49">
        <f t="shared" ca="1" si="116"/>
        <v>1.5806936700483751</v>
      </c>
      <c r="CD35" s="49">
        <f t="shared" ca="1" si="116"/>
        <v>1.958127869106483</v>
      </c>
      <c r="CE35" s="49">
        <f t="shared" ca="1" si="116"/>
        <v>1.0039302828525143</v>
      </c>
      <c r="CF35" s="49">
        <f t="shared" ca="1" si="116"/>
        <v>1.2256143000846638</v>
      </c>
      <c r="CG35" s="49">
        <f t="shared" ca="1" si="116"/>
        <v>1.3057259757941169</v>
      </c>
      <c r="CH35" s="49">
        <f t="shared" ca="1" si="116"/>
        <v>1.7888993035773919</v>
      </c>
      <c r="CI35" s="49">
        <f t="shared" ca="1" si="116"/>
        <v>1.2702203953738185</v>
      </c>
      <c r="CJ35" s="49">
        <f t="shared" ca="1" si="116"/>
        <v>1.9271951561620866</v>
      </c>
      <c r="CK35" s="49">
        <f t="shared" ca="1" si="116"/>
        <v>1.975785453101615</v>
      </c>
      <c r="CL35" s="49">
        <f t="shared" ca="1" si="116"/>
        <v>1.3915347017290134</v>
      </c>
      <c r="CM35" s="49">
        <f t="shared" ca="1" si="116"/>
        <v>1.5015103772417266</v>
      </c>
      <c r="CN35" s="49">
        <f t="shared" ca="1" si="116"/>
        <v>1.8524665911383522</v>
      </c>
      <c r="CO35" s="49">
        <f t="shared" ca="1" si="116"/>
        <v>1.8547651163648964</v>
      </c>
      <c r="CP35" s="49">
        <f t="shared" ca="1" si="116"/>
        <v>1.7949030639982113</v>
      </c>
      <c r="CQ35" s="49">
        <f t="shared" ca="1" si="116"/>
        <v>1.321427557030721</v>
      </c>
      <c r="CR35" s="49">
        <f t="shared" ca="1" si="116"/>
        <v>1.4169957701822367</v>
      </c>
      <c r="CS35" s="49">
        <f t="shared" ca="1" si="116"/>
        <v>1.6485878380623862</v>
      </c>
      <c r="CT35" s="49">
        <f t="shared" ca="1" si="116"/>
        <v>1.3040810878965621</v>
      </c>
      <c r="CU35" s="49">
        <f t="shared" ca="1" si="116"/>
        <v>1.7749971475100064</v>
      </c>
      <c r="CV35" s="49">
        <f t="shared" ref="CV35:EE35" ca="1" si="117">RAND()+1</f>
        <v>1.9365046848873786</v>
      </c>
      <c r="CW35" s="49">
        <f t="shared" ca="1" si="117"/>
        <v>1.1607381242580628</v>
      </c>
      <c r="CX35" s="49">
        <f t="shared" ca="1" si="117"/>
        <v>1.8044207389301974</v>
      </c>
      <c r="CY35" s="49">
        <f t="shared" ca="1" si="117"/>
        <v>1.0895603553394611</v>
      </c>
      <c r="CZ35" s="49">
        <f t="shared" ca="1" si="117"/>
        <v>1.346416947618021</v>
      </c>
      <c r="DA35" s="49">
        <f t="shared" ca="1" si="117"/>
        <v>1.7850448620539865</v>
      </c>
      <c r="DB35" s="49">
        <f t="shared" ca="1" si="117"/>
        <v>1.6071831670136008</v>
      </c>
      <c r="DC35" s="49">
        <f t="shared" ca="1" si="117"/>
        <v>1.1493426763410355</v>
      </c>
      <c r="DD35" s="49">
        <f t="shared" ca="1" si="117"/>
        <v>1.1454819024843228</v>
      </c>
      <c r="DE35" s="49">
        <f t="shared" ca="1" si="117"/>
        <v>1.6204626221418006</v>
      </c>
      <c r="DF35" s="49">
        <f t="shared" ca="1" si="117"/>
        <v>1.3332548069565433</v>
      </c>
      <c r="DG35" s="49">
        <f t="shared" ca="1" si="117"/>
        <v>1.0326936038797514</v>
      </c>
      <c r="DH35" s="49">
        <f t="shared" ca="1" si="117"/>
        <v>1.5171137444017915</v>
      </c>
      <c r="DI35" s="49">
        <f t="shared" ca="1" si="117"/>
        <v>1.3791464973609733</v>
      </c>
      <c r="DJ35" s="49">
        <f t="shared" ca="1" si="117"/>
        <v>1.6407974563559904</v>
      </c>
      <c r="DK35" s="49">
        <f t="shared" ca="1" si="117"/>
        <v>1.0477578808436707</v>
      </c>
      <c r="DL35" s="49">
        <f t="shared" ca="1" si="117"/>
        <v>1.9720521660066939</v>
      </c>
      <c r="DM35" s="49">
        <f t="shared" ca="1" si="117"/>
        <v>1.588507947799803</v>
      </c>
      <c r="DN35" s="49">
        <f t="shared" ca="1" si="117"/>
        <v>1.7823412374134455</v>
      </c>
      <c r="DO35" s="49">
        <f t="shared" ca="1" si="117"/>
        <v>1.6591454500338756</v>
      </c>
      <c r="DP35" s="49">
        <f t="shared" ca="1" si="117"/>
        <v>1.7724605445171828</v>
      </c>
      <c r="DQ35" s="49">
        <f t="shared" ca="1" si="117"/>
        <v>1.1207043675941655</v>
      </c>
      <c r="DR35" s="49">
        <f t="shared" ca="1" si="117"/>
        <v>1.9569125210694411</v>
      </c>
      <c r="DS35" s="49">
        <f t="shared" ca="1" si="117"/>
        <v>1.0518383367657416</v>
      </c>
      <c r="DT35" s="49">
        <f t="shared" ca="1" si="117"/>
        <v>1.6108667929516745</v>
      </c>
      <c r="DU35" s="49">
        <f t="shared" ca="1" si="117"/>
        <v>1.7894484982407586</v>
      </c>
      <c r="DV35" s="49">
        <f t="shared" ca="1" si="117"/>
        <v>1.4803584339914069</v>
      </c>
      <c r="DW35" s="49">
        <f t="shared" ca="1" si="117"/>
        <v>1.3966799726658068</v>
      </c>
      <c r="DX35" s="49">
        <f t="shared" ca="1" si="117"/>
        <v>1.1520643433369251</v>
      </c>
      <c r="DY35" s="49">
        <f t="shared" ca="1" si="117"/>
        <v>1.1672200562389485</v>
      </c>
      <c r="DZ35" s="49">
        <f t="shared" ca="1" si="117"/>
        <v>1.3550574647603297</v>
      </c>
      <c r="EA35" s="49">
        <f t="shared" ca="1" si="117"/>
        <v>1.1473192440431024</v>
      </c>
      <c r="EB35" s="49">
        <f t="shared" ca="1" si="117"/>
        <v>1.7990171919443814</v>
      </c>
      <c r="EC35" s="49">
        <f t="shared" ca="1" si="117"/>
        <v>1.7947817551497036</v>
      </c>
      <c r="ED35" s="49">
        <f t="shared" ca="1" si="117"/>
        <v>1.9479625791067663</v>
      </c>
      <c r="EE35" s="49">
        <f t="shared" ca="1" si="117"/>
        <v>1.5868462485018311</v>
      </c>
    </row>
    <row r="36" spans="1:135" x14ac:dyDescent="0.4">
      <c r="A36" s="29" t="str">
        <f t="shared" si="7"/>
        <v>KPI ID 29 %</v>
      </c>
      <c r="B36" s="47" t="s">
        <v>63</v>
      </c>
      <c r="C36" s="48" t="s">
        <v>44</v>
      </c>
      <c r="D36" s="49">
        <f t="shared" ref="D36:AI36" ca="1" si="118">RANDBETWEEN(20, 45)</f>
        <v>27</v>
      </c>
      <c r="E36" s="49">
        <f t="shared" ca="1" si="118"/>
        <v>44</v>
      </c>
      <c r="F36" s="49">
        <f t="shared" ca="1" si="118"/>
        <v>41</v>
      </c>
      <c r="G36" s="49">
        <f t="shared" ca="1" si="118"/>
        <v>27</v>
      </c>
      <c r="H36" s="49">
        <f t="shared" ca="1" si="118"/>
        <v>28</v>
      </c>
      <c r="I36" s="49">
        <f t="shared" ca="1" si="118"/>
        <v>26</v>
      </c>
      <c r="J36" s="49">
        <f t="shared" ca="1" si="118"/>
        <v>34</v>
      </c>
      <c r="K36" s="49">
        <f t="shared" ca="1" si="118"/>
        <v>27</v>
      </c>
      <c r="L36" s="49">
        <f t="shared" ca="1" si="118"/>
        <v>40</v>
      </c>
      <c r="M36" s="49">
        <f t="shared" ca="1" si="118"/>
        <v>41</v>
      </c>
      <c r="N36" s="49">
        <f t="shared" ca="1" si="118"/>
        <v>39</v>
      </c>
      <c r="O36" s="49">
        <f t="shared" ca="1" si="118"/>
        <v>32</v>
      </c>
      <c r="P36" s="49">
        <f t="shared" ca="1" si="118"/>
        <v>26</v>
      </c>
      <c r="Q36" s="49">
        <f t="shared" ca="1" si="118"/>
        <v>27</v>
      </c>
      <c r="R36" s="49">
        <f t="shared" ca="1" si="118"/>
        <v>25</v>
      </c>
      <c r="S36" s="49">
        <f t="shared" ca="1" si="118"/>
        <v>24</v>
      </c>
      <c r="T36" s="49">
        <f t="shared" ca="1" si="118"/>
        <v>38</v>
      </c>
      <c r="U36" s="49">
        <f t="shared" ca="1" si="118"/>
        <v>37</v>
      </c>
      <c r="V36" s="49">
        <f t="shared" ca="1" si="118"/>
        <v>25</v>
      </c>
      <c r="W36" s="49">
        <f t="shared" ca="1" si="118"/>
        <v>36</v>
      </c>
      <c r="X36" s="49">
        <f t="shared" ca="1" si="118"/>
        <v>38</v>
      </c>
      <c r="Y36" s="49">
        <f t="shared" ca="1" si="118"/>
        <v>25</v>
      </c>
      <c r="Z36" s="49">
        <f t="shared" ca="1" si="118"/>
        <v>39</v>
      </c>
      <c r="AA36" s="49">
        <f t="shared" ca="1" si="118"/>
        <v>28</v>
      </c>
      <c r="AB36" s="49">
        <f t="shared" ca="1" si="118"/>
        <v>36</v>
      </c>
      <c r="AC36" s="49">
        <f t="shared" ca="1" si="118"/>
        <v>21</v>
      </c>
      <c r="AD36" s="49">
        <f t="shared" ca="1" si="118"/>
        <v>32</v>
      </c>
      <c r="AE36" s="49">
        <f t="shared" ca="1" si="118"/>
        <v>32</v>
      </c>
      <c r="AF36" s="49">
        <f t="shared" ca="1" si="118"/>
        <v>25</v>
      </c>
      <c r="AG36" s="49">
        <f t="shared" ca="1" si="118"/>
        <v>44</v>
      </c>
      <c r="AH36" s="49">
        <f t="shared" ca="1" si="118"/>
        <v>22</v>
      </c>
      <c r="AI36" s="49">
        <f t="shared" ca="1" si="118"/>
        <v>43</v>
      </c>
      <c r="AJ36" s="49">
        <f t="shared" ref="AJ36:BO36" ca="1" si="119">RANDBETWEEN(20, 45)</f>
        <v>38</v>
      </c>
      <c r="AK36" s="49">
        <f t="shared" ca="1" si="119"/>
        <v>35</v>
      </c>
      <c r="AL36" s="49">
        <f t="shared" ca="1" si="119"/>
        <v>28</v>
      </c>
      <c r="AM36" s="49">
        <f t="shared" ca="1" si="119"/>
        <v>29</v>
      </c>
      <c r="AN36" s="49">
        <f t="shared" ca="1" si="119"/>
        <v>41</v>
      </c>
      <c r="AO36" s="49">
        <f t="shared" ca="1" si="119"/>
        <v>42</v>
      </c>
      <c r="AP36" s="49">
        <f t="shared" ca="1" si="119"/>
        <v>30</v>
      </c>
      <c r="AQ36" s="49">
        <f t="shared" ca="1" si="119"/>
        <v>38</v>
      </c>
      <c r="AR36" s="49">
        <f t="shared" ca="1" si="119"/>
        <v>43</v>
      </c>
      <c r="AS36" s="49">
        <f t="shared" ca="1" si="119"/>
        <v>44</v>
      </c>
      <c r="AT36" s="49">
        <f t="shared" ca="1" si="119"/>
        <v>30</v>
      </c>
      <c r="AU36" s="49">
        <f t="shared" ca="1" si="119"/>
        <v>41</v>
      </c>
      <c r="AV36" s="49">
        <f t="shared" ca="1" si="119"/>
        <v>38</v>
      </c>
      <c r="AW36" s="49">
        <f t="shared" ca="1" si="119"/>
        <v>36</v>
      </c>
      <c r="AX36" s="49">
        <f t="shared" ca="1" si="119"/>
        <v>32</v>
      </c>
      <c r="AY36" s="49">
        <f t="shared" ca="1" si="119"/>
        <v>29</v>
      </c>
      <c r="AZ36" s="49">
        <f t="shared" ca="1" si="119"/>
        <v>36</v>
      </c>
      <c r="BA36" s="49">
        <f t="shared" ca="1" si="119"/>
        <v>38</v>
      </c>
      <c r="BB36" s="49">
        <f t="shared" ca="1" si="119"/>
        <v>20</v>
      </c>
      <c r="BC36" s="49">
        <f t="shared" ca="1" si="119"/>
        <v>21</v>
      </c>
      <c r="BD36" s="49">
        <f t="shared" ca="1" si="119"/>
        <v>27</v>
      </c>
      <c r="BE36" s="49">
        <f t="shared" ca="1" si="119"/>
        <v>23</v>
      </c>
      <c r="BF36" s="49">
        <f t="shared" ca="1" si="119"/>
        <v>21</v>
      </c>
      <c r="BG36" s="49">
        <f t="shared" ca="1" si="119"/>
        <v>41</v>
      </c>
      <c r="BH36" s="49">
        <f t="shared" ca="1" si="119"/>
        <v>30</v>
      </c>
      <c r="BI36" s="49">
        <f t="shared" ca="1" si="119"/>
        <v>37</v>
      </c>
      <c r="BJ36" s="49">
        <f t="shared" ca="1" si="119"/>
        <v>42</v>
      </c>
      <c r="BK36" s="49">
        <f t="shared" ca="1" si="119"/>
        <v>31</v>
      </c>
      <c r="BL36" s="49">
        <f t="shared" ca="1" si="119"/>
        <v>26</v>
      </c>
      <c r="BM36" s="49">
        <f t="shared" ca="1" si="119"/>
        <v>45</v>
      </c>
      <c r="BN36" s="49">
        <f t="shared" ca="1" si="119"/>
        <v>28</v>
      </c>
      <c r="BO36" s="49">
        <f t="shared" ca="1" si="119"/>
        <v>38</v>
      </c>
      <c r="BP36" s="49">
        <f t="shared" ref="BP36:CU36" ca="1" si="120">RANDBETWEEN(20, 45)</f>
        <v>31</v>
      </c>
      <c r="BQ36" s="49">
        <f t="shared" ca="1" si="120"/>
        <v>29</v>
      </c>
      <c r="BR36" s="49">
        <f t="shared" ca="1" si="120"/>
        <v>34</v>
      </c>
      <c r="BS36" s="49">
        <f t="shared" ca="1" si="120"/>
        <v>24</v>
      </c>
      <c r="BT36" s="49">
        <f t="shared" ca="1" si="120"/>
        <v>29</v>
      </c>
      <c r="BU36" s="49">
        <f t="shared" ca="1" si="120"/>
        <v>33</v>
      </c>
      <c r="BV36" s="49">
        <f t="shared" ca="1" si="120"/>
        <v>40</v>
      </c>
      <c r="BW36" s="49">
        <f t="shared" ca="1" si="120"/>
        <v>45</v>
      </c>
      <c r="BX36" s="49">
        <f t="shared" ca="1" si="120"/>
        <v>38</v>
      </c>
      <c r="BY36" s="49">
        <f t="shared" ca="1" si="120"/>
        <v>43</v>
      </c>
      <c r="BZ36" s="49">
        <f t="shared" ca="1" si="120"/>
        <v>32</v>
      </c>
      <c r="CA36" s="49">
        <f t="shared" ca="1" si="120"/>
        <v>22</v>
      </c>
      <c r="CB36" s="49">
        <f t="shared" ca="1" si="120"/>
        <v>39</v>
      </c>
      <c r="CC36" s="49">
        <f t="shared" ca="1" si="120"/>
        <v>45</v>
      </c>
      <c r="CD36" s="49">
        <f t="shared" ca="1" si="120"/>
        <v>32</v>
      </c>
      <c r="CE36" s="49">
        <f t="shared" ca="1" si="120"/>
        <v>32</v>
      </c>
      <c r="CF36" s="49">
        <f t="shared" ca="1" si="120"/>
        <v>32</v>
      </c>
      <c r="CG36" s="49">
        <f t="shared" ca="1" si="120"/>
        <v>20</v>
      </c>
      <c r="CH36" s="49">
        <f t="shared" ca="1" si="120"/>
        <v>33</v>
      </c>
      <c r="CI36" s="49">
        <f t="shared" ca="1" si="120"/>
        <v>39</v>
      </c>
      <c r="CJ36" s="49">
        <f t="shared" ca="1" si="120"/>
        <v>42</v>
      </c>
      <c r="CK36" s="49">
        <f t="shared" ca="1" si="120"/>
        <v>25</v>
      </c>
      <c r="CL36" s="49">
        <f t="shared" ca="1" si="120"/>
        <v>38</v>
      </c>
      <c r="CM36" s="49">
        <f t="shared" ca="1" si="120"/>
        <v>40</v>
      </c>
      <c r="CN36" s="49">
        <f t="shared" ca="1" si="120"/>
        <v>22</v>
      </c>
      <c r="CO36" s="49">
        <f t="shared" ca="1" si="120"/>
        <v>21</v>
      </c>
      <c r="CP36" s="49">
        <f t="shared" ca="1" si="120"/>
        <v>31</v>
      </c>
      <c r="CQ36" s="49">
        <f t="shared" ca="1" si="120"/>
        <v>32</v>
      </c>
      <c r="CR36" s="49">
        <f t="shared" ca="1" si="120"/>
        <v>38</v>
      </c>
      <c r="CS36" s="49">
        <f t="shared" ca="1" si="120"/>
        <v>44</v>
      </c>
      <c r="CT36" s="49">
        <f t="shared" ca="1" si="120"/>
        <v>44</v>
      </c>
      <c r="CU36" s="49">
        <f t="shared" ca="1" si="120"/>
        <v>20</v>
      </c>
      <c r="CV36" s="49">
        <f t="shared" ref="CV36:EE36" ca="1" si="121">RANDBETWEEN(20, 45)</f>
        <v>29</v>
      </c>
      <c r="CW36" s="49">
        <f t="shared" ca="1" si="121"/>
        <v>40</v>
      </c>
      <c r="CX36" s="49">
        <f t="shared" ca="1" si="121"/>
        <v>35</v>
      </c>
      <c r="CY36" s="49">
        <f t="shared" ca="1" si="121"/>
        <v>21</v>
      </c>
      <c r="CZ36" s="49">
        <f t="shared" ca="1" si="121"/>
        <v>25</v>
      </c>
      <c r="DA36" s="49">
        <f t="shared" ca="1" si="121"/>
        <v>33</v>
      </c>
      <c r="DB36" s="49">
        <f t="shared" ca="1" si="121"/>
        <v>22</v>
      </c>
      <c r="DC36" s="49">
        <f t="shared" ca="1" si="121"/>
        <v>29</v>
      </c>
      <c r="DD36" s="49">
        <f t="shared" ca="1" si="121"/>
        <v>27</v>
      </c>
      <c r="DE36" s="49">
        <f t="shared" ca="1" si="121"/>
        <v>25</v>
      </c>
      <c r="DF36" s="49">
        <f t="shared" ca="1" si="121"/>
        <v>42</v>
      </c>
      <c r="DG36" s="49">
        <f t="shared" ca="1" si="121"/>
        <v>29</v>
      </c>
      <c r="DH36" s="49">
        <f t="shared" ca="1" si="121"/>
        <v>38</v>
      </c>
      <c r="DI36" s="49">
        <f t="shared" ca="1" si="121"/>
        <v>38</v>
      </c>
      <c r="DJ36" s="49">
        <f t="shared" ca="1" si="121"/>
        <v>37</v>
      </c>
      <c r="DK36" s="49">
        <f t="shared" ca="1" si="121"/>
        <v>27</v>
      </c>
      <c r="DL36" s="49">
        <f t="shared" ca="1" si="121"/>
        <v>24</v>
      </c>
      <c r="DM36" s="49">
        <f t="shared" ca="1" si="121"/>
        <v>27</v>
      </c>
      <c r="DN36" s="49">
        <f t="shared" ca="1" si="121"/>
        <v>36</v>
      </c>
      <c r="DO36" s="49">
        <f t="shared" ca="1" si="121"/>
        <v>23</v>
      </c>
      <c r="DP36" s="49">
        <f t="shared" ca="1" si="121"/>
        <v>27</v>
      </c>
      <c r="DQ36" s="49">
        <f t="shared" ca="1" si="121"/>
        <v>22</v>
      </c>
      <c r="DR36" s="49">
        <f t="shared" ca="1" si="121"/>
        <v>45</v>
      </c>
      <c r="DS36" s="49">
        <f t="shared" ca="1" si="121"/>
        <v>40</v>
      </c>
      <c r="DT36" s="49">
        <f t="shared" ca="1" si="121"/>
        <v>43</v>
      </c>
      <c r="DU36" s="49">
        <f t="shared" ca="1" si="121"/>
        <v>45</v>
      </c>
      <c r="DV36" s="49">
        <f t="shared" ca="1" si="121"/>
        <v>40</v>
      </c>
      <c r="DW36" s="49">
        <f t="shared" ca="1" si="121"/>
        <v>35</v>
      </c>
      <c r="DX36" s="49">
        <f t="shared" ca="1" si="121"/>
        <v>35</v>
      </c>
      <c r="DY36" s="49">
        <f t="shared" ca="1" si="121"/>
        <v>44</v>
      </c>
      <c r="DZ36" s="49">
        <f t="shared" ca="1" si="121"/>
        <v>20</v>
      </c>
      <c r="EA36" s="49">
        <f t="shared" ca="1" si="121"/>
        <v>41</v>
      </c>
      <c r="EB36" s="49">
        <f t="shared" ca="1" si="121"/>
        <v>35</v>
      </c>
      <c r="EC36" s="49">
        <f t="shared" ca="1" si="121"/>
        <v>33</v>
      </c>
      <c r="ED36" s="49">
        <f t="shared" ca="1" si="121"/>
        <v>27</v>
      </c>
      <c r="EE36" s="49">
        <f t="shared" ca="1" si="121"/>
        <v>25</v>
      </c>
    </row>
    <row r="37" spans="1:135" x14ac:dyDescent="0.4">
      <c r="A37" s="29" t="str">
        <f t="shared" si="7"/>
        <v>KPI ID 30</v>
      </c>
      <c r="B37" s="47" t="s">
        <v>63</v>
      </c>
      <c r="C37" s="48" t="s">
        <v>45</v>
      </c>
      <c r="D37" s="49">
        <f t="shared" ref="D37:M38" ca="1" si="122">RANDBETWEEN(20, 45)</f>
        <v>33</v>
      </c>
      <c r="E37" s="49">
        <f t="shared" ca="1" si="122"/>
        <v>24</v>
      </c>
      <c r="F37" s="49">
        <f t="shared" ca="1" si="122"/>
        <v>44</v>
      </c>
      <c r="G37" s="49">
        <f t="shared" ca="1" si="122"/>
        <v>44</v>
      </c>
      <c r="H37" s="49">
        <f t="shared" ca="1" si="122"/>
        <v>35</v>
      </c>
      <c r="I37" s="49">
        <f t="shared" ca="1" si="122"/>
        <v>37</v>
      </c>
      <c r="J37" s="49">
        <f t="shared" ca="1" si="122"/>
        <v>35</v>
      </c>
      <c r="K37" s="49">
        <f t="shared" ca="1" si="122"/>
        <v>34</v>
      </c>
      <c r="L37" s="49">
        <f t="shared" ca="1" si="122"/>
        <v>28</v>
      </c>
      <c r="M37" s="49">
        <f t="shared" ca="1" si="122"/>
        <v>40</v>
      </c>
      <c r="N37" s="49">
        <f t="shared" ref="N37:W38" ca="1" si="123">RANDBETWEEN(20, 45)</f>
        <v>31</v>
      </c>
      <c r="O37" s="49">
        <f t="shared" ca="1" si="123"/>
        <v>41</v>
      </c>
      <c r="P37" s="49">
        <f t="shared" ca="1" si="123"/>
        <v>31</v>
      </c>
      <c r="Q37" s="49">
        <f t="shared" ca="1" si="123"/>
        <v>32</v>
      </c>
      <c r="R37" s="49">
        <f t="shared" ca="1" si="123"/>
        <v>30</v>
      </c>
      <c r="S37" s="49">
        <f t="shared" ca="1" si="123"/>
        <v>32</v>
      </c>
      <c r="T37" s="49">
        <f t="shared" ca="1" si="123"/>
        <v>37</v>
      </c>
      <c r="U37" s="49">
        <f t="shared" ca="1" si="123"/>
        <v>24</v>
      </c>
      <c r="V37" s="49">
        <f t="shared" ca="1" si="123"/>
        <v>34</v>
      </c>
      <c r="W37" s="49">
        <f t="shared" ca="1" si="123"/>
        <v>22</v>
      </c>
      <c r="X37" s="49">
        <f t="shared" ref="X37:AG38" ca="1" si="124">RANDBETWEEN(20, 45)</f>
        <v>30</v>
      </c>
      <c r="Y37" s="49">
        <f t="shared" ca="1" si="124"/>
        <v>35</v>
      </c>
      <c r="Z37" s="49">
        <f t="shared" ca="1" si="124"/>
        <v>40</v>
      </c>
      <c r="AA37" s="49">
        <f t="shared" ca="1" si="124"/>
        <v>37</v>
      </c>
      <c r="AB37" s="49">
        <f t="shared" ca="1" si="124"/>
        <v>35</v>
      </c>
      <c r="AC37" s="49">
        <f t="shared" ca="1" si="124"/>
        <v>40</v>
      </c>
      <c r="AD37" s="49">
        <f t="shared" ca="1" si="124"/>
        <v>23</v>
      </c>
      <c r="AE37" s="49">
        <f t="shared" ca="1" si="124"/>
        <v>33</v>
      </c>
      <c r="AF37" s="49">
        <f t="shared" ca="1" si="124"/>
        <v>24</v>
      </c>
      <c r="AG37" s="49">
        <f t="shared" ca="1" si="124"/>
        <v>34</v>
      </c>
      <c r="AH37" s="49">
        <f t="shared" ref="AH37:AQ38" ca="1" si="125">RANDBETWEEN(20, 45)</f>
        <v>26</v>
      </c>
      <c r="AI37" s="49">
        <f t="shared" ca="1" si="125"/>
        <v>35</v>
      </c>
      <c r="AJ37" s="49">
        <f t="shared" ca="1" si="125"/>
        <v>42</v>
      </c>
      <c r="AK37" s="49">
        <f t="shared" ca="1" si="125"/>
        <v>30</v>
      </c>
      <c r="AL37" s="49">
        <f t="shared" ca="1" si="125"/>
        <v>42</v>
      </c>
      <c r="AM37" s="49">
        <f t="shared" ca="1" si="125"/>
        <v>37</v>
      </c>
      <c r="AN37" s="49">
        <f t="shared" ca="1" si="125"/>
        <v>37</v>
      </c>
      <c r="AO37" s="49">
        <f t="shared" ca="1" si="125"/>
        <v>37</v>
      </c>
      <c r="AP37" s="49">
        <f t="shared" ca="1" si="125"/>
        <v>37</v>
      </c>
      <c r="AQ37" s="49">
        <f t="shared" ca="1" si="125"/>
        <v>33</v>
      </c>
      <c r="AR37" s="49">
        <f t="shared" ref="AR37:BA38" ca="1" si="126">RANDBETWEEN(20, 45)</f>
        <v>32</v>
      </c>
      <c r="AS37" s="49">
        <f t="shared" ca="1" si="126"/>
        <v>33</v>
      </c>
      <c r="AT37" s="49">
        <f t="shared" ca="1" si="126"/>
        <v>28</v>
      </c>
      <c r="AU37" s="49">
        <f t="shared" ca="1" si="126"/>
        <v>37</v>
      </c>
      <c r="AV37" s="49">
        <f t="shared" ca="1" si="126"/>
        <v>39</v>
      </c>
      <c r="AW37" s="49">
        <f t="shared" ca="1" si="126"/>
        <v>37</v>
      </c>
      <c r="AX37" s="49">
        <f t="shared" ca="1" si="126"/>
        <v>22</v>
      </c>
      <c r="AY37" s="49">
        <f t="shared" ca="1" si="126"/>
        <v>45</v>
      </c>
      <c r="AZ37" s="49">
        <f t="shared" ca="1" si="126"/>
        <v>22</v>
      </c>
      <c r="BA37" s="49">
        <f t="shared" ca="1" si="126"/>
        <v>34</v>
      </c>
      <c r="BB37" s="49">
        <f t="shared" ref="BB37:BK38" ca="1" si="127">RANDBETWEEN(20, 45)</f>
        <v>33</v>
      </c>
      <c r="BC37" s="49">
        <f t="shared" ca="1" si="127"/>
        <v>38</v>
      </c>
      <c r="BD37" s="49">
        <f t="shared" ca="1" si="127"/>
        <v>45</v>
      </c>
      <c r="BE37" s="49">
        <f t="shared" ca="1" si="127"/>
        <v>45</v>
      </c>
      <c r="BF37" s="49">
        <f t="shared" ca="1" si="127"/>
        <v>30</v>
      </c>
      <c r="BG37" s="49">
        <f t="shared" ca="1" si="127"/>
        <v>32</v>
      </c>
      <c r="BH37" s="49">
        <f t="shared" ca="1" si="127"/>
        <v>39</v>
      </c>
      <c r="BI37" s="49">
        <f t="shared" ca="1" si="127"/>
        <v>35</v>
      </c>
      <c r="BJ37" s="49">
        <f t="shared" ca="1" si="127"/>
        <v>34</v>
      </c>
      <c r="BK37" s="49">
        <f t="shared" ca="1" si="127"/>
        <v>21</v>
      </c>
      <c r="BL37" s="49">
        <f t="shared" ref="BL37:BU38" ca="1" si="128">RANDBETWEEN(20, 45)</f>
        <v>28</v>
      </c>
      <c r="BM37" s="49">
        <f t="shared" ca="1" si="128"/>
        <v>41</v>
      </c>
      <c r="BN37" s="49">
        <f t="shared" ca="1" si="128"/>
        <v>37</v>
      </c>
      <c r="BO37" s="49">
        <f t="shared" ca="1" si="128"/>
        <v>20</v>
      </c>
      <c r="BP37" s="49">
        <f t="shared" ca="1" si="128"/>
        <v>43</v>
      </c>
      <c r="BQ37" s="49">
        <f t="shared" ca="1" si="128"/>
        <v>26</v>
      </c>
      <c r="BR37" s="49">
        <f t="shared" ca="1" si="128"/>
        <v>41</v>
      </c>
      <c r="BS37" s="49">
        <f t="shared" ca="1" si="128"/>
        <v>33</v>
      </c>
      <c r="BT37" s="49">
        <f t="shared" ca="1" si="128"/>
        <v>34</v>
      </c>
      <c r="BU37" s="49">
        <f t="shared" ca="1" si="128"/>
        <v>44</v>
      </c>
      <c r="BV37" s="49">
        <f t="shared" ref="BV37:CE38" ca="1" si="129">RANDBETWEEN(20, 45)</f>
        <v>38</v>
      </c>
      <c r="BW37" s="49">
        <f t="shared" ca="1" si="129"/>
        <v>24</v>
      </c>
      <c r="BX37" s="49">
        <f t="shared" ca="1" si="129"/>
        <v>45</v>
      </c>
      <c r="BY37" s="49">
        <f t="shared" ca="1" si="129"/>
        <v>39</v>
      </c>
      <c r="BZ37" s="49">
        <f t="shared" ca="1" si="129"/>
        <v>22</v>
      </c>
      <c r="CA37" s="49">
        <f t="shared" ca="1" si="129"/>
        <v>28</v>
      </c>
      <c r="CB37" s="49">
        <f t="shared" ca="1" si="129"/>
        <v>29</v>
      </c>
      <c r="CC37" s="49">
        <f t="shared" ca="1" si="129"/>
        <v>39</v>
      </c>
      <c r="CD37" s="49">
        <f t="shared" ca="1" si="129"/>
        <v>44</v>
      </c>
      <c r="CE37" s="49">
        <f t="shared" ca="1" si="129"/>
        <v>23</v>
      </c>
      <c r="CF37" s="49">
        <f t="shared" ref="CF37:CO38" ca="1" si="130">RANDBETWEEN(20, 45)</f>
        <v>22</v>
      </c>
      <c r="CG37" s="49">
        <f t="shared" ca="1" si="130"/>
        <v>33</v>
      </c>
      <c r="CH37" s="49">
        <f t="shared" ca="1" si="130"/>
        <v>37</v>
      </c>
      <c r="CI37" s="49">
        <f t="shared" ca="1" si="130"/>
        <v>26</v>
      </c>
      <c r="CJ37" s="49">
        <f t="shared" ca="1" si="130"/>
        <v>40</v>
      </c>
      <c r="CK37" s="49">
        <f t="shared" ca="1" si="130"/>
        <v>21</v>
      </c>
      <c r="CL37" s="49">
        <f t="shared" ca="1" si="130"/>
        <v>20</v>
      </c>
      <c r="CM37" s="49">
        <f t="shared" ca="1" si="130"/>
        <v>21</v>
      </c>
      <c r="CN37" s="49">
        <f t="shared" ca="1" si="130"/>
        <v>37</v>
      </c>
      <c r="CO37" s="49">
        <f t="shared" ca="1" si="130"/>
        <v>23</v>
      </c>
      <c r="CP37" s="49">
        <f t="shared" ref="CP37:CY38" ca="1" si="131">RANDBETWEEN(20, 45)</f>
        <v>33</v>
      </c>
      <c r="CQ37" s="49">
        <f t="shared" ca="1" si="131"/>
        <v>40</v>
      </c>
      <c r="CR37" s="49">
        <f t="shared" ca="1" si="131"/>
        <v>29</v>
      </c>
      <c r="CS37" s="49">
        <f t="shared" ca="1" si="131"/>
        <v>28</v>
      </c>
      <c r="CT37" s="49">
        <f t="shared" ca="1" si="131"/>
        <v>42</v>
      </c>
      <c r="CU37" s="49">
        <f t="shared" ca="1" si="131"/>
        <v>23</v>
      </c>
      <c r="CV37" s="49">
        <f t="shared" ca="1" si="131"/>
        <v>34</v>
      </c>
      <c r="CW37" s="49">
        <f t="shared" ca="1" si="131"/>
        <v>25</v>
      </c>
      <c r="CX37" s="49">
        <f t="shared" ca="1" si="131"/>
        <v>32</v>
      </c>
      <c r="CY37" s="49">
        <f t="shared" ca="1" si="131"/>
        <v>43</v>
      </c>
      <c r="CZ37" s="49">
        <f t="shared" ref="CZ37:DN38" ca="1" si="132">RANDBETWEEN(20, 45)</f>
        <v>32</v>
      </c>
      <c r="DA37" s="49">
        <f t="shared" ca="1" si="132"/>
        <v>38</v>
      </c>
      <c r="DB37" s="49">
        <f t="shared" ca="1" si="132"/>
        <v>33</v>
      </c>
      <c r="DC37" s="49">
        <f t="shared" ca="1" si="132"/>
        <v>41</v>
      </c>
      <c r="DD37" s="49">
        <f t="shared" ca="1" si="132"/>
        <v>38</v>
      </c>
      <c r="DE37" s="49">
        <f t="shared" ca="1" si="132"/>
        <v>21</v>
      </c>
      <c r="DF37" s="49">
        <f t="shared" ca="1" si="132"/>
        <v>35</v>
      </c>
      <c r="DG37" s="49">
        <f t="shared" ca="1" si="132"/>
        <v>21</v>
      </c>
      <c r="DH37" s="49">
        <f t="shared" ca="1" si="132"/>
        <v>31</v>
      </c>
      <c r="DI37" s="49">
        <f t="shared" ca="1" si="132"/>
        <v>45</v>
      </c>
      <c r="DJ37" s="49">
        <f t="shared" ca="1" si="132"/>
        <v>38</v>
      </c>
      <c r="DK37" s="49">
        <f t="shared" ca="1" si="132"/>
        <v>24</v>
      </c>
      <c r="DL37" s="49">
        <f t="shared" ca="1" si="132"/>
        <v>41</v>
      </c>
      <c r="DM37" s="49">
        <f t="shared" ca="1" si="132"/>
        <v>42</v>
      </c>
      <c r="DN37" s="49">
        <f t="shared" ca="1" si="132"/>
        <v>24</v>
      </c>
      <c r="DO37" s="49">
        <f ca="1">RAND()+1</f>
        <v>1.516836749766622</v>
      </c>
      <c r="DP37" s="49">
        <f t="shared" ref="DP37:ED38" ca="1" si="133">RANDBETWEEN(20, 45)</f>
        <v>24</v>
      </c>
      <c r="DQ37" s="49">
        <f t="shared" ca="1" si="133"/>
        <v>39</v>
      </c>
      <c r="DR37" s="49">
        <f t="shared" ca="1" si="133"/>
        <v>33</v>
      </c>
      <c r="DS37" s="49">
        <f t="shared" ca="1" si="133"/>
        <v>25</v>
      </c>
      <c r="DT37" s="49">
        <f t="shared" ca="1" si="133"/>
        <v>40</v>
      </c>
      <c r="DU37" s="49">
        <f t="shared" ca="1" si="133"/>
        <v>36</v>
      </c>
      <c r="DV37" s="49">
        <f t="shared" ca="1" si="133"/>
        <v>45</v>
      </c>
      <c r="DW37" s="49">
        <f t="shared" ca="1" si="133"/>
        <v>26</v>
      </c>
      <c r="DX37" s="49">
        <f t="shared" ca="1" si="133"/>
        <v>34</v>
      </c>
      <c r="DY37" s="49">
        <f t="shared" ca="1" si="133"/>
        <v>25</v>
      </c>
      <c r="DZ37" s="49">
        <f t="shared" ca="1" si="133"/>
        <v>30</v>
      </c>
      <c r="EA37" s="49">
        <f t="shared" ca="1" si="133"/>
        <v>36</v>
      </c>
      <c r="EB37" s="49">
        <f t="shared" ca="1" si="133"/>
        <v>25</v>
      </c>
      <c r="EC37" s="49">
        <f t="shared" ca="1" si="133"/>
        <v>27</v>
      </c>
      <c r="ED37" s="49">
        <f t="shared" ca="1" si="133"/>
        <v>24</v>
      </c>
      <c r="EE37" s="49">
        <f ca="1">RAND()</f>
        <v>0.53885072076435947</v>
      </c>
    </row>
    <row r="38" spans="1:135" x14ac:dyDescent="0.4">
      <c r="A38" s="29" t="str">
        <f t="shared" si="7"/>
        <v>KPI ID 31 R</v>
      </c>
      <c r="B38" s="47" t="s">
        <v>63</v>
      </c>
      <c r="C38" s="48" t="s">
        <v>46</v>
      </c>
      <c r="D38" s="49">
        <f t="shared" ca="1" si="122"/>
        <v>41</v>
      </c>
      <c r="E38" s="49">
        <f t="shared" ca="1" si="122"/>
        <v>22</v>
      </c>
      <c r="F38" s="49">
        <f t="shared" ca="1" si="122"/>
        <v>29</v>
      </c>
      <c r="G38" s="49">
        <f t="shared" ca="1" si="122"/>
        <v>28</v>
      </c>
      <c r="H38" s="49">
        <f t="shared" ca="1" si="122"/>
        <v>33</v>
      </c>
      <c r="I38" s="49">
        <f t="shared" ca="1" si="122"/>
        <v>43</v>
      </c>
      <c r="J38" s="49">
        <f t="shared" ca="1" si="122"/>
        <v>28</v>
      </c>
      <c r="K38" s="49">
        <f t="shared" ca="1" si="122"/>
        <v>43</v>
      </c>
      <c r="L38" s="49">
        <f t="shared" ca="1" si="122"/>
        <v>31</v>
      </c>
      <c r="M38" s="49">
        <f t="shared" ca="1" si="122"/>
        <v>21</v>
      </c>
      <c r="N38" s="49">
        <f t="shared" ca="1" si="123"/>
        <v>40</v>
      </c>
      <c r="O38" s="49">
        <f t="shared" ca="1" si="123"/>
        <v>29</v>
      </c>
      <c r="P38" s="49">
        <f t="shared" ca="1" si="123"/>
        <v>41</v>
      </c>
      <c r="Q38" s="49">
        <f t="shared" ca="1" si="123"/>
        <v>27</v>
      </c>
      <c r="R38" s="49">
        <f t="shared" ca="1" si="123"/>
        <v>26</v>
      </c>
      <c r="S38" s="49">
        <f t="shared" ca="1" si="123"/>
        <v>28</v>
      </c>
      <c r="T38" s="49">
        <f t="shared" ca="1" si="123"/>
        <v>37</v>
      </c>
      <c r="U38" s="49">
        <f t="shared" ca="1" si="123"/>
        <v>30</v>
      </c>
      <c r="V38" s="49">
        <f t="shared" ca="1" si="123"/>
        <v>39</v>
      </c>
      <c r="W38" s="49">
        <f t="shared" ca="1" si="123"/>
        <v>26</v>
      </c>
      <c r="X38" s="49">
        <f t="shared" ca="1" si="124"/>
        <v>44</v>
      </c>
      <c r="Y38" s="49">
        <f t="shared" ca="1" si="124"/>
        <v>42</v>
      </c>
      <c r="Z38" s="49">
        <f t="shared" ca="1" si="124"/>
        <v>27</v>
      </c>
      <c r="AA38" s="49">
        <f t="shared" ca="1" si="124"/>
        <v>21</v>
      </c>
      <c r="AB38" s="49">
        <f t="shared" ca="1" si="124"/>
        <v>37</v>
      </c>
      <c r="AC38" s="49">
        <f t="shared" ca="1" si="124"/>
        <v>43</v>
      </c>
      <c r="AD38" s="49">
        <f t="shared" ca="1" si="124"/>
        <v>35</v>
      </c>
      <c r="AE38" s="49">
        <f t="shared" ca="1" si="124"/>
        <v>38</v>
      </c>
      <c r="AF38" s="49">
        <f t="shared" ca="1" si="124"/>
        <v>22</v>
      </c>
      <c r="AG38" s="49">
        <f t="shared" ca="1" si="124"/>
        <v>32</v>
      </c>
      <c r="AH38" s="49">
        <f t="shared" ca="1" si="125"/>
        <v>30</v>
      </c>
      <c r="AI38" s="49">
        <f t="shared" ca="1" si="125"/>
        <v>42</v>
      </c>
      <c r="AJ38" s="49">
        <f t="shared" ca="1" si="125"/>
        <v>20</v>
      </c>
      <c r="AK38" s="49">
        <f t="shared" ca="1" si="125"/>
        <v>37</v>
      </c>
      <c r="AL38" s="49">
        <f t="shared" ca="1" si="125"/>
        <v>28</v>
      </c>
      <c r="AM38" s="49">
        <f t="shared" ca="1" si="125"/>
        <v>32</v>
      </c>
      <c r="AN38" s="49">
        <f t="shared" ca="1" si="125"/>
        <v>42</v>
      </c>
      <c r="AO38" s="49">
        <f t="shared" ca="1" si="125"/>
        <v>26</v>
      </c>
      <c r="AP38" s="49">
        <f t="shared" ca="1" si="125"/>
        <v>43</v>
      </c>
      <c r="AQ38" s="49">
        <f t="shared" ca="1" si="125"/>
        <v>26</v>
      </c>
      <c r="AR38" s="49">
        <f t="shared" ca="1" si="126"/>
        <v>30</v>
      </c>
      <c r="AS38" s="49">
        <f t="shared" ca="1" si="126"/>
        <v>41</v>
      </c>
      <c r="AT38" s="49">
        <f t="shared" ca="1" si="126"/>
        <v>33</v>
      </c>
      <c r="AU38" s="49">
        <f t="shared" ca="1" si="126"/>
        <v>34</v>
      </c>
      <c r="AV38" s="49">
        <f t="shared" ca="1" si="126"/>
        <v>34</v>
      </c>
      <c r="AW38" s="49">
        <f t="shared" ca="1" si="126"/>
        <v>38</v>
      </c>
      <c r="AX38" s="49">
        <f t="shared" ca="1" si="126"/>
        <v>44</v>
      </c>
      <c r="AY38" s="49">
        <f t="shared" ca="1" si="126"/>
        <v>20</v>
      </c>
      <c r="AZ38" s="49">
        <f t="shared" ca="1" si="126"/>
        <v>21</v>
      </c>
      <c r="BA38" s="49">
        <f t="shared" ca="1" si="126"/>
        <v>38</v>
      </c>
      <c r="BB38" s="49">
        <f t="shared" ca="1" si="127"/>
        <v>44</v>
      </c>
      <c r="BC38" s="49">
        <f t="shared" ca="1" si="127"/>
        <v>20</v>
      </c>
      <c r="BD38" s="49">
        <f t="shared" ca="1" si="127"/>
        <v>37</v>
      </c>
      <c r="BE38" s="49">
        <f t="shared" ca="1" si="127"/>
        <v>30</v>
      </c>
      <c r="BF38" s="49">
        <f t="shared" ca="1" si="127"/>
        <v>38</v>
      </c>
      <c r="BG38" s="49">
        <f t="shared" ca="1" si="127"/>
        <v>41</v>
      </c>
      <c r="BH38" s="49">
        <f t="shared" ca="1" si="127"/>
        <v>21</v>
      </c>
      <c r="BI38" s="49">
        <f t="shared" ca="1" si="127"/>
        <v>20</v>
      </c>
      <c r="BJ38" s="49">
        <f t="shared" ca="1" si="127"/>
        <v>36</v>
      </c>
      <c r="BK38" s="49">
        <f t="shared" ca="1" si="127"/>
        <v>27</v>
      </c>
      <c r="BL38" s="49">
        <f t="shared" ca="1" si="128"/>
        <v>41</v>
      </c>
      <c r="BM38" s="49">
        <f t="shared" ca="1" si="128"/>
        <v>33</v>
      </c>
      <c r="BN38" s="49">
        <f t="shared" ca="1" si="128"/>
        <v>37</v>
      </c>
      <c r="BO38" s="49">
        <f t="shared" ca="1" si="128"/>
        <v>32</v>
      </c>
      <c r="BP38" s="49">
        <f t="shared" ca="1" si="128"/>
        <v>25</v>
      </c>
      <c r="BQ38" s="49">
        <f t="shared" ca="1" si="128"/>
        <v>24</v>
      </c>
      <c r="BR38" s="49">
        <f t="shared" ca="1" si="128"/>
        <v>24</v>
      </c>
      <c r="BS38" s="49">
        <f t="shared" ca="1" si="128"/>
        <v>23</v>
      </c>
      <c r="BT38" s="49">
        <f t="shared" ca="1" si="128"/>
        <v>24</v>
      </c>
      <c r="BU38" s="49">
        <f t="shared" ca="1" si="128"/>
        <v>44</v>
      </c>
      <c r="BV38" s="49">
        <f t="shared" ca="1" si="129"/>
        <v>36</v>
      </c>
      <c r="BW38" s="49">
        <f t="shared" ca="1" si="129"/>
        <v>41</v>
      </c>
      <c r="BX38" s="49">
        <f t="shared" ca="1" si="129"/>
        <v>41</v>
      </c>
      <c r="BY38" s="49">
        <f t="shared" ca="1" si="129"/>
        <v>33</v>
      </c>
      <c r="BZ38" s="49">
        <f t="shared" ca="1" si="129"/>
        <v>37</v>
      </c>
      <c r="CA38" s="49">
        <f t="shared" ca="1" si="129"/>
        <v>31</v>
      </c>
      <c r="CB38" s="49">
        <f t="shared" ca="1" si="129"/>
        <v>37</v>
      </c>
      <c r="CC38" s="49">
        <f t="shared" ca="1" si="129"/>
        <v>24</v>
      </c>
      <c r="CD38" s="49">
        <f t="shared" ca="1" si="129"/>
        <v>42</v>
      </c>
      <c r="CE38" s="49">
        <f t="shared" ca="1" si="129"/>
        <v>31</v>
      </c>
      <c r="CF38" s="49">
        <f t="shared" ca="1" si="130"/>
        <v>21</v>
      </c>
      <c r="CG38" s="49">
        <f t="shared" ca="1" si="130"/>
        <v>22</v>
      </c>
      <c r="CH38" s="49">
        <f t="shared" ca="1" si="130"/>
        <v>27</v>
      </c>
      <c r="CI38" s="49">
        <f t="shared" ca="1" si="130"/>
        <v>39</v>
      </c>
      <c r="CJ38" s="49">
        <f t="shared" ca="1" si="130"/>
        <v>28</v>
      </c>
      <c r="CK38" s="49">
        <f t="shared" ca="1" si="130"/>
        <v>32</v>
      </c>
      <c r="CL38" s="49">
        <f t="shared" ca="1" si="130"/>
        <v>43</v>
      </c>
      <c r="CM38" s="49">
        <f t="shared" ca="1" si="130"/>
        <v>21</v>
      </c>
      <c r="CN38" s="49">
        <f t="shared" ca="1" si="130"/>
        <v>42</v>
      </c>
      <c r="CO38" s="49">
        <f t="shared" ca="1" si="130"/>
        <v>28</v>
      </c>
      <c r="CP38" s="49">
        <f t="shared" ca="1" si="131"/>
        <v>27</v>
      </c>
      <c r="CQ38" s="49">
        <f t="shared" ca="1" si="131"/>
        <v>23</v>
      </c>
      <c r="CR38" s="49">
        <f t="shared" ca="1" si="131"/>
        <v>32</v>
      </c>
      <c r="CS38" s="49">
        <f t="shared" ca="1" si="131"/>
        <v>35</v>
      </c>
      <c r="CT38" s="49">
        <f t="shared" ca="1" si="131"/>
        <v>33</v>
      </c>
      <c r="CU38" s="49">
        <f t="shared" ca="1" si="131"/>
        <v>27</v>
      </c>
      <c r="CV38" s="49">
        <f t="shared" ca="1" si="131"/>
        <v>30</v>
      </c>
      <c r="CW38" s="49">
        <f t="shared" ca="1" si="131"/>
        <v>41</v>
      </c>
      <c r="CX38" s="49">
        <f t="shared" ca="1" si="131"/>
        <v>42</v>
      </c>
      <c r="CY38" s="49">
        <f t="shared" ca="1" si="131"/>
        <v>27</v>
      </c>
      <c r="CZ38" s="49">
        <f t="shared" ca="1" si="132"/>
        <v>20</v>
      </c>
      <c r="DA38" s="49">
        <f t="shared" ca="1" si="132"/>
        <v>34</v>
      </c>
      <c r="DB38" s="49">
        <f t="shared" ca="1" si="132"/>
        <v>31</v>
      </c>
      <c r="DC38" s="49">
        <f t="shared" ca="1" si="132"/>
        <v>36</v>
      </c>
      <c r="DD38" s="49">
        <f t="shared" ca="1" si="132"/>
        <v>41</v>
      </c>
      <c r="DE38" s="49">
        <f t="shared" ca="1" si="132"/>
        <v>30</v>
      </c>
      <c r="DF38" s="49">
        <f t="shared" ca="1" si="132"/>
        <v>30</v>
      </c>
      <c r="DG38" s="49">
        <f t="shared" ca="1" si="132"/>
        <v>37</v>
      </c>
      <c r="DH38" s="49">
        <f t="shared" ca="1" si="132"/>
        <v>44</v>
      </c>
      <c r="DI38" s="49">
        <f t="shared" ca="1" si="132"/>
        <v>31</v>
      </c>
      <c r="DJ38" s="49">
        <f t="shared" ca="1" si="132"/>
        <v>38</v>
      </c>
      <c r="DK38" s="49">
        <f t="shared" ca="1" si="132"/>
        <v>35</v>
      </c>
      <c r="DL38" s="49">
        <f t="shared" ca="1" si="132"/>
        <v>23</v>
      </c>
      <c r="DM38" s="49">
        <f t="shared" ca="1" si="132"/>
        <v>28</v>
      </c>
      <c r="DN38" s="49">
        <f t="shared" ca="1" si="132"/>
        <v>32</v>
      </c>
      <c r="DO38" s="49">
        <f ca="1">RANDBETWEEN(20, 45)</f>
        <v>20</v>
      </c>
      <c r="DP38" s="49">
        <f t="shared" ca="1" si="133"/>
        <v>33</v>
      </c>
      <c r="DQ38" s="49">
        <f t="shared" ca="1" si="133"/>
        <v>43</v>
      </c>
      <c r="DR38" s="49">
        <f t="shared" ca="1" si="133"/>
        <v>29</v>
      </c>
      <c r="DS38" s="49">
        <f t="shared" ca="1" si="133"/>
        <v>33</v>
      </c>
      <c r="DT38" s="49">
        <f t="shared" ca="1" si="133"/>
        <v>37</v>
      </c>
      <c r="DU38" s="49">
        <f t="shared" ca="1" si="133"/>
        <v>21</v>
      </c>
      <c r="DV38" s="49">
        <f t="shared" ca="1" si="133"/>
        <v>37</v>
      </c>
      <c r="DW38" s="49">
        <f t="shared" ca="1" si="133"/>
        <v>37</v>
      </c>
      <c r="DX38" s="49">
        <f t="shared" ca="1" si="133"/>
        <v>21</v>
      </c>
      <c r="DY38" s="49">
        <f t="shared" ca="1" si="133"/>
        <v>25</v>
      </c>
      <c r="DZ38" s="49">
        <f t="shared" ca="1" si="133"/>
        <v>33</v>
      </c>
      <c r="EA38" s="49">
        <f t="shared" ca="1" si="133"/>
        <v>43</v>
      </c>
      <c r="EB38" s="49">
        <f t="shared" ca="1" si="133"/>
        <v>37</v>
      </c>
      <c r="EC38" s="49">
        <f t="shared" ca="1" si="133"/>
        <v>27</v>
      </c>
      <c r="ED38" s="49">
        <f t="shared" ca="1" si="133"/>
        <v>30</v>
      </c>
      <c r="EE38" s="49">
        <f ca="1">RANDBETWEEN(20, 45)</f>
        <v>33</v>
      </c>
    </row>
    <row r="39" spans="1:135" x14ac:dyDescent="0.4">
      <c r="A39" s="29" t="str">
        <f t="shared" si="7"/>
        <v>KPI ID 32</v>
      </c>
      <c r="B39" s="47" t="s">
        <v>63</v>
      </c>
      <c r="C39" s="48" t="s">
        <v>47</v>
      </c>
      <c r="D39" s="49" cm="1">
        <f t="array" aca="1" ref="D39" ca="1">_xlfn.RANDARRAY()</f>
        <v>0.53834242188638304</v>
      </c>
      <c r="E39" s="49" cm="1">
        <f t="array" aca="1" ref="E39" ca="1">_xlfn.RANDARRAY()</f>
        <v>4.4421032623178425E-2</v>
      </c>
      <c r="F39" s="49" cm="1">
        <f t="array" aca="1" ref="F39" ca="1">_xlfn.RANDARRAY()</f>
        <v>0.4212934391901324</v>
      </c>
      <c r="G39" s="49" cm="1">
        <f t="array" aca="1" ref="G39" ca="1">_xlfn.RANDARRAY()</f>
        <v>2.022223559072156E-2</v>
      </c>
      <c r="H39" s="49" cm="1">
        <f t="array" aca="1" ref="H39" ca="1">_xlfn.RANDARRAY()</f>
        <v>0.92046832330667883</v>
      </c>
      <c r="I39" s="49" cm="1">
        <f t="array" aca="1" ref="I39" ca="1">_xlfn.RANDARRAY()</f>
        <v>0.46732665226277548</v>
      </c>
      <c r="J39" s="49" cm="1">
        <f t="array" aca="1" ref="J39" ca="1">_xlfn.RANDARRAY()</f>
        <v>0.97502007161879378</v>
      </c>
      <c r="K39" s="49" cm="1">
        <f t="array" aca="1" ref="K39" ca="1">_xlfn.RANDARRAY()</f>
        <v>0.17811383984538764</v>
      </c>
      <c r="L39" s="49" cm="1">
        <f t="array" aca="1" ref="L39" ca="1">_xlfn.RANDARRAY()</f>
        <v>0.32245213909369808</v>
      </c>
      <c r="M39" s="49" cm="1">
        <f t="array" aca="1" ref="M39" ca="1">_xlfn.RANDARRAY()</f>
        <v>0.6518566144113922</v>
      </c>
      <c r="N39" s="49" cm="1">
        <f t="array" aca="1" ref="N39" ca="1">_xlfn.RANDARRAY()</f>
        <v>0.36582216886833763</v>
      </c>
      <c r="O39" s="49" cm="1">
        <f t="array" aca="1" ref="O39" ca="1">_xlfn.RANDARRAY()</f>
        <v>0.78868587643254484</v>
      </c>
      <c r="P39" s="49" cm="1">
        <f t="array" aca="1" ref="P39" ca="1">_xlfn.RANDARRAY()</f>
        <v>0.72722115630065987</v>
      </c>
      <c r="Q39" s="49" cm="1">
        <f t="array" aca="1" ref="Q39" ca="1">_xlfn.RANDARRAY()</f>
        <v>0.67891476661176786</v>
      </c>
      <c r="R39" s="49" cm="1">
        <f t="array" aca="1" ref="R39" ca="1">_xlfn.RANDARRAY()</f>
        <v>0.9000505172821045</v>
      </c>
      <c r="S39" s="49" cm="1">
        <f t="array" aca="1" ref="S39" ca="1">_xlfn.RANDARRAY()</f>
        <v>0.54902638184423358</v>
      </c>
      <c r="T39" s="49" cm="1">
        <f t="array" aca="1" ref="T39" ca="1">_xlfn.RANDARRAY()</f>
        <v>0.25264132105949466</v>
      </c>
      <c r="U39" s="49" cm="1">
        <f t="array" aca="1" ref="U39" ca="1">_xlfn.RANDARRAY()</f>
        <v>0.73771217081828366</v>
      </c>
      <c r="V39" s="49" cm="1">
        <f t="array" aca="1" ref="V39" ca="1">_xlfn.RANDARRAY()</f>
        <v>0.88335482486711459</v>
      </c>
      <c r="W39" s="49" cm="1">
        <f t="array" aca="1" ref="W39" ca="1">_xlfn.RANDARRAY()</f>
        <v>0.46543526482902031</v>
      </c>
      <c r="X39" s="49" cm="1">
        <f t="array" aca="1" ref="X39" ca="1">_xlfn.RANDARRAY()</f>
        <v>0.8068708689830304</v>
      </c>
      <c r="Y39" s="49" cm="1">
        <f t="array" aca="1" ref="Y39" ca="1">_xlfn.RANDARRAY()</f>
        <v>0.40181518488025558</v>
      </c>
      <c r="Z39" s="49" cm="1">
        <f t="array" aca="1" ref="Z39" ca="1">_xlfn.RANDARRAY()</f>
        <v>0.20535747431763363</v>
      </c>
      <c r="AA39" s="49" cm="1">
        <f t="array" aca="1" ref="AA39" ca="1">_xlfn.RANDARRAY()</f>
        <v>0.98472703880274381</v>
      </c>
      <c r="AB39" s="49" cm="1">
        <f t="array" aca="1" ref="AB39" ca="1">_xlfn.RANDARRAY()</f>
        <v>0.97074254962572093</v>
      </c>
      <c r="AC39" s="49" cm="1">
        <f t="array" aca="1" ref="AC39" ca="1">_xlfn.RANDARRAY()</f>
        <v>0.14585756153766005</v>
      </c>
      <c r="AD39" s="49" cm="1">
        <f t="array" aca="1" ref="AD39" ca="1">_xlfn.RANDARRAY()</f>
        <v>0.46631118494845469</v>
      </c>
      <c r="AE39" s="49" cm="1">
        <f t="array" aca="1" ref="AE39" ca="1">_xlfn.RANDARRAY()</f>
        <v>0.84880955230174981</v>
      </c>
      <c r="AF39" s="49" cm="1">
        <f t="array" aca="1" ref="AF39" ca="1">_xlfn.RANDARRAY()</f>
        <v>3.7137450312218823E-2</v>
      </c>
      <c r="AG39" s="49" cm="1">
        <f t="array" aca="1" ref="AG39" ca="1">_xlfn.RANDARRAY()</f>
        <v>0.190426438697755</v>
      </c>
      <c r="AH39" s="49" cm="1">
        <f t="array" aca="1" ref="AH39" ca="1">_xlfn.RANDARRAY()</f>
        <v>0.66945126931608701</v>
      </c>
      <c r="AI39" s="49" cm="1">
        <f t="array" aca="1" ref="AI39" ca="1">_xlfn.RANDARRAY()</f>
        <v>0.21695789806443022</v>
      </c>
      <c r="AJ39" s="49" cm="1">
        <f t="array" aca="1" ref="AJ39" ca="1">_xlfn.RANDARRAY()</f>
        <v>9.2918323942790204E-2</v>
      </c>
      <c r="AK39" s="49" cm="1">
        <f t="array" aca="1" ref="AK39" ca="1">_xlfn.RANDARRAY()</f>
        <v>0.69408365628252966</v>
      </c>
      <c r="AL39" s="49" cm="1">
        <f t="array" aca="1" ref="AL39" ca="1">_xlfn.RANDARRAY()</f>
        <v>5.6304643095998141E-2</v>
      </c>
      <c r="AM39" s="49" cm="1">
        <f t="array" aca="1" ref="AM39" ca="1">_xlfn.RANDARRAY()</f>
        <v>5.1050997283081267E-2</v>
      </c>
      <c r="AN39" s="49" cm="1">
        <f t="array" aca="1" ref="AN39" ca="1">_xlfn.RANDARRAY()</f>
        <v>9.2877811517295461E-2</v>
      </c>
      <c r="AO39" s="49" cm="1">
        <f t="array" aca="1" ref="AO39" ca="1">_xlfn.RANDARRAY()</f>
        <v>8.5626586460471943E-2</v>
      </c>
      <c r="AP39" s="49" cm="1">
        <f t="array" aca="1" ref="AP39" ca="1">_xlfn.RANDARRAY()</f>
        <v>7.5196617318711745E-2</v>
      </c>
      <c r="AQ39" s="49" cm="1">
        <f t="array" aca="1" ref="AQ39" ca="1">_xlfn.RANDARRAY()</f>
        <v>0.66308984905473833</v>
      </c>
      <c r="AR39" s="49" cm="1">
        <f t="array" aca="1" ref="AR39" ca="1">_xlfn.RANDARRAY()</f>
        <v>0.1733839156982957</v>
      </c>
      <c r="AS39" s="49" cm="1">
        <f t="array" aca="1" ref="AS39" ca="1">_xlfn.RANDARRAY()</f>
        <v>0.13784729369541426</v>
      </c>
      <c r="AT39" s="49" cm="1">
        <f t="array" aca="1" ref="AT39" ca="1">_xlfn.RANDARRAY()</f>
        <v>0.41164249155714505</v>
      </c>
      <c r="AU39" s="49" cm="1">
        <f t="array" aca="1" ref="AU39" ca="1">_xlfn.RANDARRAY()</f>
        <v>0.32671999130588336</v>
      </c>
      <c r="AV39" s="49" cm="1">
        <f t="array" aca="1" ref="AV39" ca="1">_xlfn.RANDARRAY()</f>
        <v>0.11537765384323118</v>
      </c>
      <c r="AW39" s="49" cm="1">
        <f t="array" aca="1" ref="AW39" ca="1">_xlfn.RANDARRAY()</f>
        <v>0.20958523325027367</v>
      </c>
      <c r="AX39" s="49" cm="1">
        <f t="array" aca="1" ref="AX39" ca="1">_xlfn.RANDARRAY()</f>
        <v>0.75546200403433073</v>
      </c>
      <c r="AY39" s="49" cm="1">
        <f t="array" aca="1" ref="AY39" ca="1">_xlfn.RANDARRAY()</f>
        <v>0.9241892958909379</v>
      </c>
      <c r="AZ39" s="49" cm="1">
        <f t="array" aca="1" ref="AZ39" ca="1">_xlfn.RANDARRAY()</f>
        <v>0.99406859018517935</v>
      </c>
      <c r="BA39" s="49" cm="1">
        <f t="array" aca="1" ref="BA39" ca="1">_xlfn.RANDARRAY()</f>
        <v>0.94688306357638319</v>
      </c>
      <c r="BB39" s="49" cm="1">
        <f t="array" aca="1" ref="BB39" ca="1">_xlfn.RANDARRAY()</f>
        <v>0.28370013424120932</v>
      </c>
      <c r="BC39" s="49" cm="1">
        <f t="array" aca="1" ref="BC39" ca="1">_xlfn.RANDARRAY()</f>
        <v>0.77283466903541376</v>
      </c>
      <c r="BD39" s="49" cm="1">
        <f t="array" aca="1" ref="BD39" ca="1">_xlfn.RANDARRAY()</f>
        <v>0.11878811756543017</v>
      </c>
      <c r="BE39" s="49" cm="1">
        <f t="array" aca="1" ref="BE39" ca="1">_xlfn.RANDARRAY()</f>
        <v>0.71384583033327043</v>
      </c>
      <c r="BF39" s="49" cm="1">
        <f t="array" aca="1" ref="BF39" ca="1">_xlfn.RANDARRAY()</f>
        <v>7.5787098684461762E-2</v>
      </c>
      <c r="BG39" s="49" cm="1">
        <f t="array" aca="1" ref="BG39" ca="1">_xlfn.RANDARRAY()</f>
        <v>0.51142356812092693</v>
      </c>
      <c r="BH39" s="49" cm="1">
        <f t="array" aca="1" ref="BH39" ca="1">_xlfn.RANDARRAY()</f>
        <v>0.83776641693457155</v>
      </c>
      <c r="BI39" s="49" cm="1">
        <f t="array" aca="1" ref="BI39" ca="1">_xlfn.RANDARRAY()</f>
        <v>8.1958101730485788E-2</v>
      </c>
      <c r="BJ39" s="49" cm="1">
        <f t="array" aca="1" ref="BJ39" ca="1">_xlfn.RANDARRAY()</f>
        <v>0.76567760964727616</v>
      </c>
      <c r="BK39" s="49" cm="1">
        <f t="array" aca="1" ref="BK39" ca="1">_xlfn.RANDARRAY()</f>
        <v>0.90399491227344986</v>
      </c>
      <c r="BL39" s="49" cm="1">
        <f t="array" aca="1" ref="BL39" ca="1">_xlfn.RANDARRAY()</f>
        <v>0.2047745341603564</v>
      </c>
      <c r="BM39" s="49" cm="1">
        <f t="array" aca="1" ref="BM39" ca="1">_xlfn.RANDARRAY()</f>
        <v>0.90735172812704357</v>
      </c>
      <c r="BN39" s="49" cm="1">
        <f t="array" aca="1" ref="BN39" ca="1">_xlfn.RANDARRAY()</f>
        <v>0.55089940898970768</v>
      </c>
      <c r="BO39" s="49" cm="1">
        <f t="array" aca="1" ref="BO39" ca="1">_xlfn.RANDARRAY()</f>
        <v>0.66393942314156873</v>
      </c>
      <c r="BP39" s="49" cm="1">
        <f t="array" aca="1" ref="BP39" ca="1">_xlfn.RANDARRAY()</f>
        <v>4.3233924064264961E-2</v>
      </c>
      <c r="BQ39" s="49" cm="1">
        <f t="array" aca="1" ref="BQ39" ca="1">_xlfn.RANDARRAY()</f>
        <v>0.475250903033543</v>
      </c>
      <c r="BR39" s="49" cm="1">
        <f t="array" aca="1" ref="BR39" ca="1">_xlfn.RANDARRAY()</f>
        <v>0.71448844103213771</v>
      </c>
      <c r="BS39" s="49" cm="1">
        <f t="array" aca="1" ref="BS39" ca="1">_xlfn.RANDARRAY()</f>
        <v>0.53384208768827346</v>
      </c>
      <c r="BT39" s="49" cm="1">
        <f t="array" aca="1" ref="BT39" ca="1">_xlfn.RANDARRAY()</f>
        <v>0.90363371312063001</v>
      </c>
      <c r="BU39" s="49" cm="1">
        <f t="array" aca="1" ref="BU39" ca="1">_xlfn.RANDARRAY()</f>
        <v>0.85492411596951134</v>
      </c>
      <c r="BV39" s="49" cm="1">
        <f t="array" aca="1" ref="BV39" ca="1">_xlfn.RANDARRAY()</f>
        <v>0.6110546621681896</v>
      </c>
      <c r="BW39" s="49" cm="1">
        <f t="array" aca="1" ref="BW39" ca="1">_xlfn.RANDARRAY()</f>
        <v>0.77027256006583555</v>
      </c>
      <c r="BX39" s="49" cm="1">
        <f t="array" aca="1" ref="BX39" ca="1">_xlfn.RANDARRAY()</f>
        <v>0.37990427199898091</v>
      </c>
      <c r="BY39" s="49" cm="1">
        <f t="array" aca="1" ref="BY39" ca="1">_xlfn.RANDARRAY()</f>
        <v>0.26556630215611476</v>
      </c>
      <c r="BZ39" s="49" cm="1">
        <f t="array" aca="1" ref="BZ39" ca="1">_xlfn.RANDARRAY()</f>
        <v>0.96818277601187641</v>
      </c>
      <c r="CA39" s="49" cm="1">
        <f t="array" aca="1" ref="CA39" ca="1">_xlfn.RANDARRAY()</f>
        <v>1.486984285719517E-2</v>
      </c>
      <c r="CB39" s="49" cm="1">
        <f t="array" aca="1" ref="CB39" ca="1">_xlfn.RANDARRAY()</f>
        <v>0.74393198967068597</v>
      </c>
      <c r="CC39" s="49" cm="1">
        <f t="array" aca="1" ref="CC39" ca="1">_xlfn.RANDARRAY()</f>
        <v>0.8636361217668711</v>
      </c>
      <c r="CD39" s="49" cm="1">
        <f t="array" aca="1" ref="CD39" ca="1">_xlfn.RANDARRAY()</f>
        <v>0.31006598059668078</v>
      </c>
      <c r="CE39" s="49" cm="1">
        <f t="array" aca="1" ref="CE39" ca="1">_xlfn.RANDARRAY()</f>
        <v>0.76353017427293124</v>
      </c>
      <c r="CF39" s="49" cm="1">
        <f t="array" aca="1" ref="CF39" ca="1">_xlfn.RANDARRAY()</f>
        <v>0.74214579840020845</v>
      </c>
      <c r="CG39" s="49" cm="1">
        <f t="array" aca="1" ref="CG39" ca="1">_xlfn.RANDARRAY()</f>
        <v>0.38460754390034468</v>
      </c>
      <c r="CH39" s="49" cm="1">
        <f t="array" aca="1" ref="CH39" ca="1">_xlfn.RANDARRAY()</f>
        <v>0.86492302310508817</v>
      </c>
      <c r="CI39" s="49" cm="1">
        <f t="array" aca="1" ref="CI39" ca="1">_xlfn.RANDARRAY()</f>
        <v>4.0131658030029493E-2</v>
      </c>
      <c r="CJ39" s="49" cm="1">
        <f t="array" aca="1" ref="CJ39" ca="1">_xlfn.RANDARRAY()</f>
        <v>0.68470455540395414</v>
      </c>
      <c r="CK39" s="49" cm="1">
        <f t="array" aca="1" ref="CK39" ca="1">_xlfn.RANDARRAY()</f>
        <v>0.28490466413904136</v>
      </c>
      <c r="CL39" s="49" cm="1">
        <f t="array" aca="1" ref="CL39" ca="1">_xlfn.RANDARRAY()</f>
        <v>0.79019667675354577</v>
      </c>
      <c r="CM39" s="49" cm="1">
        <f t="array" aca="1" ref="CM39" ca="1">_xlfn.RANDARRAY()</f>
        <v>0.37096340328564237</v>
      </c>
      <c r="CN39" s="49" cm="1">
        <f t="array" aca="1" ref="CN39" ca="1">_xlfn.RANDARRAY()</f>
        <v>0.47981187461967156</v>
      </c>
      <c r="CO39" s="49" cm="1">
        <f t="array" aca="1" ref="CO39" ca="1">_xlfn.RANDARRAY()</f>
        <v>0.27326947380116229</v>
      </c>
      <c r="CP39" s="49" cm="1">
        <f t="array" aca="1" ref="CP39" ca="1">_xlfn.RANDARRAY()</f>
        <v>0.61197653199931512</v>
      </c>
      <c r="CQ39" s="49" cm="1">
        <f t="array" aca="1" ref="CQ39" ca="1">_xlfn.RANDARRAY()</f>
        <v>0.55412386478769204</v>
      </c>
      <c r="CR39" s="49" cm="1">
        <f t="array" aca="1" ref="CR39" ca="1">_xlfn.RANDARRAY()</f>
        <v>0.85207028136004404</v>
      </c>
      <c r="CS39" s="49" cm="1">
        <f t="array" aca="1" ref="CS39" ca="1">_xlfn.RANDARRAY()</f>
        <v>0.89960942217190443</v>
      </c>
      <c r="CT39" s="49" cm="1">
        <f t="array" aca="1" ref="CT39" ca="1">_xlfn.RANDARRAY()</f>
        <v>0.6769816708809071</v>
      </c>
      <c r="CU39" s="49" cm="1">
        <f t="array" aca="1" ref="CU39" ca="1">_xlfn.RANDARRAY()</f>
        <v>0.96740119102898814</v>
      </c>
      <c r="CV39" s="49" cm="1">
        <f t="array" aca="1" ref="CV39" ca="1">_xlfn.RANDARRAY()</f>
        <v>0.19717867644234155</v>
      </c>
      <c r="CW39" s="49" cm="1">
        <f t="array" aca="1" ref="CW39" ca="1">_xlfn.RANDARRAY()</f>
        <v>0.53595201388578984</v>
      </c>
      <c r="CX39" s="49" cm="1">
        <f t="array" aca="1" ref="CX39" ca="1">_xlfn.RANDARRAY()</f>
        <v>0.77366145333534586</v>
      </c>
      <c r="CY39" s="49" cm="1">
        <f t="array" aca="1" ref="CY39" ca="1">_xlfn.RANDARRAY()</f>
        <v>0.59459555797400032</v>
      </c>
      <c r="CZ39" s="49" cm="1">
        <f t="array" aca="1" ref="CZ39" ca="1">_xlfn.RANDARRAY()</f>
        <v>0.23866589545194983</v>
      </c>
      <c r="DA39" s="49" cm="1">
        <f t="array" aca="1" ref="DA39" ca="1">_xlfn.RANDARRAY()</f>
        <v>0.96841972511997731</v>
      </c>
      <c r="DB39" s="49" cm="1">
        <f t="array" aca="1" ref="DB39" ca="1">_xlfn.RANDARRAY()</f>
        <v>0.73652107068899952</v>
      </c>
      <c r="DC39" s="49" cm="1">
        <f t="array" aca="1" ref="DC39" ca="1">_xlfn.RANDARRAY()</f>
        <v>0.42408696503232268</v>
      </c>
      <c r="DD39" s="49" cm="1">
        <f t="array" aca="1" ref="DD39" ca="1">_xlfn.RANDARRAY()</f>
        <v>0.67021424350839198</v>
      </c>
      <c r="DE39" s="49" cm="1">
        <f t="array" aca="1" ref="DE39" ca="1">_xlfn.RANDARRAY()</f>
        <v>0.46763613298185702</v>
      </c>
      <c r="DF39" s="49" cm="1">
        <f t="array" aca="1" ref="DF39" ca="1">_xlfn.RANDARRAY()</f>
        <v>0.24960294189519772</v>
      </c>
      <c r="DG39" s="49" cm="1">
        <f t="array" aca="1" ref="DG39" ca="1">_xlfn.RANDARRAY()</f>
        <v>0.69003140982877853</v>
      </c>
      <c r="DH39" s="49" cm="1">
        <f t="array" aca="1" ref="DH39" ca="1">_xlfn.RANDARRAY()</f>
        <v>0.69275353495899972</v>
      </c>
      <c r="DI39" s="49" cm="1">
        <f t="array" aca="1" ref="DI39" ca="1">_xlfn.RANDARRAY()</f>
        <v>0.39700295699757926</v>
      </c>
      <c r="DJ39" s="49" cm="1">
        <f t="array" aca="1" ref="DJ39" ca="1">_xlfn.RANDARRAY()</f>
        <v>0.27954797688087085</v>
      </c>
      <c r="DK39" s="49" cm="1">
        <f t="array" aca="1" ref="DK39" ca="1">_xlfn.RANDARRAY()</f>
        <v>0.62071205651696859</v>
      </c>
      <c r="DL39" s="49" cm="1">
        <f t="array" aca="1" ref="DL39" ca="1">_xlfn.RANDARRAY()</f>
        <v>0.2681253388735394</v>
      </c>
      <c r="DM39" s="49" cm="1">
        <f t="array" aca="1" ref="DM39" ca="1">_xlfn.RANDARRAY()</f>
        <v>0.45053543452184064</v>
      </c>
      <c r="DN39" s="49" cm="1">
        <f t="array" aca="1" ref="DN39" ca="1">_xlfn.RANDARRAY()</f>
        <v>0.53837679460508658</v>
      </c>
      <c r="DO39" s="49">
        <f ca="1">RANDBETWEEN(20, 45)</f>
        <v>21</v>
      </c>
      <c r="DP39" s="49" cm="1">
        <f t="array" aca="1" ref="DP39" ca="1">_xlfn.RANDARRAY()</f>
        <v>0.74721383817362153</v>
      </c>
      <c r="DQ39" s="49" cm="1">
        <f t="array" aca="1" ref="DQ39" ca="1">_xlfn.RANDARRAY()</f>
        <v>0.65628131562910141</v>
      </c>
      <c r="DR39" s="49" cm="1">
        <f t="array" aca="1" ref="DR39" ca="1">_xlfn.RANDARRAY()</f>
        <v>0.2774922213672224</v>
      </c>
      <c r="DS39" s="49" cm="1">
        <f t="array" aca="1" ref="DS39" ca="1">_xlfn.RANDARRAY()</f>
        <v>0.54492535102182993</v>
      </c>
      <c r="DT39" s="49" cm="1">
        <f t="array" aca="1" ref="DT39" ca="1">_xlfn.RANDARRAY()</f>
        <v>0.37831992419739024</v>
      </c>
      <c r="DU39" s="49" cm="1">
        <f t="array" aca="1" ref="DU39" ca="1">_xlfn.RANDARRAY()</f>
        <v>0.38138020483914192</v>
      </c>
      <c r="DV39" s="49" cm="1">
        <f t="array" aca="1" ref="DV39" ca="1">_xlfn.RANDARRAY()</f>
        <v>0.37478590884835672</v>
      </c>
      <c r="DW39" s="49" cm="1">
        <f t="array" aca="1" ref="DW39" ca="1">_xlfn.RANDARRAY()</f>
        <v>0.53208186399299429</v>
      </c>
      <c r="DX39" s="49" cm="1">
        <f t="array" aca="1" ref="DX39" ca="1">_xlfn.RANDARRAY()</f>
        <v>0.72622900627075593</v>
      </c>
      <c r="DY39" s="49" cm="1">
        <f t="array" aca="1" ref="DY39" ca="1">_xlfn.RANDARRAY()</f>
        <v>0.26686226876583685</v>
      </c>
      <c r="DZ39" s="49" cm="1">
        <f t="array" aca="1" ref="DZ39" ca="1">_xlfn.RANDARRAY()</f>
        <v>0.31645165053075708</v>
      </c>
      <c r="EA39" s="49" cm="1">
        <f t="array" aca="1" ref="EA39" ca="1">_xlfn.RANDARRAY()</f>
        <v>0.26492269560163328</v>
      </c>
      <c r="EB39" s="49" cm="1">
        <f t="array" aca="1" ref="EB39" ca="1">_xlfn.RANDARRAY()</f>
        <v>8.1253435842075117E-2</v>
      </c>
      <c r="EC39" s="49" cm="1">
        <f t="array" aca="1" ref="EC39" ca="1">_xlfn.RANDARRAY()</f>
        <v>0.27883479759011509</v>
      </c>
      <c r="ED39" s="49" cm="1">
        <f t="array" aca="1" ref="ED39" ca="1">_xlfn.RANDARRAY()</f>
        <v>0.58152154935306677</v>
      </c>
      <c r="EE39" s="49" cm="1">
        <f t="array" aca="1" ref="EE39" ca="1">_xlfn.RANDARRAY()</f>
        <v>0.35347531549063671</v>
      </c>
    </row>
    <row r="40" spans="1:135" x14ac:dyDescent="0.4">
      <c r="A40" s="29" t="str">
        <f t="shared" si="7"/>
        <v/>
      </c>
      <c r="B40" s="34"/>
      <c r="C40" s="48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49"/>
      <c r="AN40" s="49"/>
      <c r="AO40" s="49"/>
      <c r="AP40" s="49"/>
      <c r="AQ40" s="49"/>
      <c r="AR40" s="49"/>
      <c r="AS40" s="49"/>
      <c r="AT40" s="49"/>
      <c r="AU40" s="49"/>
      <c r="AV40" s="49"/>
      <c r="AW40" s="49"/>
      <c r="AX40" s="49"/>
      <c r="AY40" s="49"/>
      <c r="AZ40" s="49"/>
      <c r="BA40" s="49"/>
      <c r="BB40" s="49"/>
      <c r="BC40" s="49"/>
      <c r="BD40" s="49"/>
      <c r="BE40" s="49"/>
      <c r="BF40" s="49"/>
      <c r="BG40" s="49"/>
      <c r="BH40" s="49"/>
      <c r="BI40" s="49"/>
      <c r="BJ40" s="49"/>
      <c r="BK40" s="49"/>
      <c r="BL40" s="49"/>
      <c r="BM40" s="49"/>
      <c r="BN40" s="49"/>
      <c r="BO40" s="49"/>
      <c r="BP40" s="49"/>
      <c r="BQ40" s="49"/>
      <c r="BR40" s="49"/>
      <c r="BS40" s="49"/>
      <c r="BT40" s="49"/>
      <c r="BU40" s="49"/>
      <c r="BV40" s="49"/>
      <c r="BW40" s="49"/>
      <c r="BX40" s="49"/>
      <c r="BY40" s="49"/>
      <c r="BZ40" s="49"/>
      <c r="CA40" s="49"/>
      <c r="CB40" s="49"/>
      <c r="CC40" s="49"/>
      <c r="CD40" s="49"/>
      <c r="CE40" s="49"/>
      <c r="CF40" s="49"/>
      <c r="CG40" s="49"/>
      <c r="CH40" s="49"/>
      <c r="CI40" s="49"/>
      <c r="CJ40" s="49"/>
      <c r="CK40" s="49"/>
      <c r="CL40" s="49"/>
      <c r="CM40" s="49"/>
      <c r="CN40" s="49"/>
      <c r="CO40" s="49"/>
      <c r="CP40" s="49"/>
      <c r="CQ40" s="49"/>
      <c r="CR40" s="49"/>
      <c r="CS40" s="49"/>
      <c r="CT40" s="49"/>
      <c r="CU40" s="49"/>
      <c r="CV40" s="49"/>
      <c r="CW40" s="49"/>
      <c r="CX40" s="49"/>
      <c r="CY40" s="49"/>
      <c r="CZ40" s="49"/>
      <c r="DA40" s="49"/>
      <c r="DB40" s="49"/>
      <c r="DC40" s="49"/>
      <c r="DD40" s="49"/>
      <c r="DE40" s="49"/>
      <c r="DF40" s="49"/>
      <c r="DG40" s="49"/>
      <c r="DH40" s="49"/>
      <c r="DI40" s="49"/>
      <c r="DJ40" s="49"/>
      <c r="DK40" s="49"/>
      <c r="DL40" s="49"/>
      <c r="DM40" s="49"/>
      <c r="DN40" s="49"/>
      <c r="DO40" s="49"/>
      <c r="DP40" s="49"/>
      <c r="DQ40" s="49"/>
      <c r="DR40" s="49"/>
      <c r="DS40" s="49"/>
      <c r="DT40" s="49"/>
      <c r="DU40" s="49"/>
      <c r="DV40" s="49"/>
      <c r="DW40" s="49"/>
      <c r="DX40" s="49"/>
      <c r="DY40" s="49"/>
      <c r="DZ40" s="49"/>
      <c r="EA40" s="49"/>
      <c r="EB40" s="49"/>
      <c r="EC40" s="49"/>
      <c r="ED40" s="49"/>
      <c r="EE40" s="49"/>
    </row>
    <row r="41" spans="1:135" x14ac:dyDescent="0.4">
      <c r="A41" s="29" t="str">
        <f t="shared" si="7"/>
        <v/>
      </c>
      <c r="B41" s="34"/>
      <c r="C41" s="48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  <c r="AN41" s="34"/>
      <c r="AO41" s="34"/>
      <c r="AP41" s="34"/>
      <c r="AQ41" s="34"/>
      <c r="AR41" s="34"/>
      <c r="AS41" s="34"/>
      <c r="AT41" s="34"/>
      <c r="AU41" s="34"/>
      <c r="AV41" s="34"/>
      <c r="AW41" s="34"/>
      <c r="AX41" s="34"/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  <c r="CF41" s="34"/>
      <c r="CG41" s="34"/>
      <c r="CH41" s="34"/>
      <c r="CI41" s="34"/>
      <c r="CJ41" s="34"/>
      <c r="CK41" s="34"/>
      <c r="CL41" s="34"/>
      <c r="CM41" s="34"/>
      <c r="CN41" s="34"/>
      <c r="CO41" s="34"/>
      <c r="CP41" s="34"/>
      <c r="CQ41" s="34"/>
      <c r="CR41" s="34"/>
      <c r="CS41" s="34"/>
      <c r="CT41" s="34"/>
      <c r="CU41" s="34"/>
      <c r="CV41" s="34"/>
      <c r="CW41" s="34"/>
      <c r="CX41" s="34"/>
      <c r="CY41" s="34"/>
      <c r="CZ41" s="34"/>
      <c r="DA41" s="34"/>
      <c r="DB41" s="34"/>
      <c r="DC41" s="34"/>
      <c r="DD41" s="34"/>
      <c r="DE41" s="34"/>
      <c r="DF41" s="34"/>
      <c r="DG41" s="34"/>
      <c r="DH41" s="34"/>
      <c r="DI41" s="34"/>
      <c r="DJ41" s="34"/>
      <c r="DK41" s="34"/>
      <c r="DL41" s="34"/>
      <c r="DM41" s="34"/>
      <c r="DN41" s="34"/>
      <c r="DO41" s="34"/>
      <c r="DP41" s="34"/>
      <c r="DQ41" s="34"/>
      <c r="DR41" s="34"/>
      <c r="DS41" s="34"/>
      <c r="DT41" s="34"/>
      <c r="DU41" s="34"/>
      <c r="DV41" s="34"/>
      <c r="DW41" s="34"/>
      <c r="DX41" s="34"/>
      <c r="DY41" s="34"/>
      <c r="DZ41" s="34"/>
      <c r="EA41" s="34"/>
      <c r="EB41" s="34"/>
      <c r="EC41" s="34"/>
      <c r="ED41" s="34"/>
      <c r="EE41" s="34"/>
    </row>
    <row r="42" spans="1:135" x14ac:dyDescent="0.4">
      <c r="A42" s="29" t="str">
        <f t="shared" si="7"/>
        <v/>
      </c>
      <c r="B42" s="34"/>
      <c r="C42" s="48"/>
      <c r="D42" s="34"/>
      <c r="E42" s="34"/>
      <c r="F42" s="34"/>
      <c r="G42" s="34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34"/>
      <c r="AO42" s="34"/>
      <c r="AP42" s="34"/>
      <c r="AQ42" s="34"/>
      <c r="AR42" s="34"/>
      <c r="AS42" s="34"/>
      <c r="AT42" s="34"/>
      <c r="AU42" s="34"/>
      <c r="AV42" s="34"/>
      <c r="AW42" s="34"/>
      <c r="AX42" s="34"/>
      <c r="AY42" s="34"/>
      <c r="AZ42" s="34"/>
      <c r="BA42" s="34"/>
      <c r="BB42" s="34"/>
      <c r="BC42" s="34"/>
      <c r="BD42" s="34"/>
      <c r="BE42" s="34"/>
      <c r="BF42" s="34"/>
      <c r="BG42" s="34"/>
      <c r="BH42" s="34"/>
      <c r="BI42" s="34"/>
      <c r="BJ42" s="34"/>
      <c r="BK42" s="34"/>
      <c r="BL42" s="34"/>
      <c r="BM42" s="34"/>
      <c r="BN42" s="34"/>
      <c r="BO42" s="34"/>
      <c r="BP42" s="34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  <c r="CD42" s="34"/>
      <c r="CE42" s="34"/>
      <c r="CF42" s="34"/>
      <c r="CG42" s="34"/>
      <c r="CH42" s="34"/>
      <c r="CI42" s="34"/>
      <c r="CJ42" s="34"/>
      <c r="CK42" s="34"/>
      <c r="CL42" s="34"/>
      <c r="CM42" s="34"/>
      <c r="CN42" s="34"/>
      <c r="CO42" s="34"/>
      <c r="CP42" s="34"/>
      <c r="CQ42" s="34"/>
      <c r="CR42" s="34"/>
      <c r="CS42" s="34"/>
      <c r="CT42" s="34"/>
      <c r="CU42" s="34"/>
      <c r="CV42" s="34"/>
      <c r="CW42" s="34"/>
      <c r="CX42" s="34"/>
      <c r="CY42" s="34"/>
      <c r="CZ42" s="34"/>
      <c r="DA42" s="34"/>
      <c r="DB42" s="34"/>
      <c r="DC42" s="34"/>
      <c r="DD42" s="34"/>
      <c r="DE42" s="34"/>
      <c r="DF42" s="34"/>
      <c r="DG42" s="34"/>
      <c r="DH42" s="34"/>
      <c r="DI42" s="34"/>
      <c r="DJ42" s="34"/>
      <c r="DK42" s="34"/>
      <c r="DL42" s="34"/>
      <c r="DM42" s="34"/>
      <c r="DN42" s="34"/>
      <c r="DO42" s="34"/>
      <c r="DP42" s="34"/>
      <c r="DQ42" s="34"/>
      <c r="DR42" s="34"/>
      <c r="DS42" s="34"/>
      <c r="DT42" s="34"/>
      <c r="DU42" s="34"/>
      <c r="DV42" s="34"/>
      <c r="DW42" s="34"/>
      <c r="DX42" s="34"/>
      <c r="DY42" s="34"/>
      <c r="DZ42" s="34"/>
      <c r="EA42" s="34"/>
      <c r="EB42" s="34"/>
      <c r="EC42" s="34"/>
      <c r="ED42" s="34"/>
      <c r="EE42" s="34"/>
    </row>
    <row r="43" spans="1:135" x14ac:dyDescent="0.4">
      <c r="A43" s="29" t="str">
        <f t="shared" si="7"/>
        <v/>
      </c>
      <c r="B43" s="34"/>
      <c r="C43" s="48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  <c r="AL43" s="34"/>
      <c r="AM43" s="34"/>
      <c r="AN43" s="34"/>
      <c r="AO43" s="34"/>
      <c r="AP43" s="34"/>
      <c r="AQ43" s="34"/>
      <c r="AR43" s="34"/>
      <c r="AS43" s="34"/>
      <c r="AT43" s="34"/>
      <c r="AU43" s="34"/>
      <c r="AV43" s="34"/>
      <c r="AW43" s="34"/>
      <c r="AX43" s="34"/>
      <c r="AY43" s="34"/>
      <c r="AZ43" s="34"/>
      <c r="BA43" s="34"/>
      <c r="BB43" s="34"/>
      <c r="BC43" s="34"/>
      <c r="BD43" s="34"/>
      <c r="BE43" s="34"/>
      <c r="BF43" s="34"/>
      <c r="BG43" s="34"/>
      <c r="BH43" s="34"/>
      <c r="BI43" s="34"/>
      <c r="BJ43" s="34"/>
      <c r="BK43" s="34"/>
      <c r="BL43" s="34"/>
      <c r="BM43" s="34"/>
      <c r="BN43" s="34"/>
      <c r="BO43" s="34"/>
      <c r="BP43" s="34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  <c r="CD43" s="34"/>
      <c r="CE43" s="34"/>
      <c r="CF43" s="34"/>
      <c r="CG43" s="34"/>
      <c r="CH43" s="34"/>
      <c r="CI43" s="34"/>
      <c r="CJ43" s="34"/>
      <c r="CK43" s="34"/>
      <c r="CL43" s="34"/>
      <c r="CM43" s="34"/>
      <c r="CN43" s="34"/>
      <c r="CO43" s="34"/>
      <c r="CP43" s="34"/>
      <c r="CQ43" s="34"/>
      <c r="CR43" s="34"/>
      <c r="CS43" s="34"/>
      <c r="CT43" s="34"/>
      <c r="CU43" s="34"/>
      <c r="CV43" s="34"/>
      <c r="CW43" s="34"/>
      <c r="CX43" s="34"/>
      <c r="CY43" s="34"/>
      <c r="CZ43" s="34"/>
      <c r="DA43" s="34"/>
      <c r="DB43" s="34"/>
      <c r="DC43" s="34"/>
      <c r="DD43" s="34"/>
      <c r="DE43" s="34"/>
      <c r="DF43" s="34"/>
      <c r="DG43" s="34"/>
      <c r="DH43" s="34"/>
      <c r="DI43" s="34"/>
      <c r="DJ43" s="34"/>
      <c r="DK43" s="34"/>
      <c r="DL43" s="34"/>
      <c r="DM43" s="34"/>
      <c r="DN43" s="34"/>
      <c r="DO43" s="34"/>
      <c r="DP43" s="34"/>
      <c r="DQ43" s="34"/>
      <c r="DR43" s="34"/>
      <c r="DS43" s="34"/>
      <c r="DT43" s="34"/>
      <c r="DU43" s="34"/>
      <c r="DV43" s="34"/>
      <c r="DW43" s="34"/>
      <c r="DX43" s="34"/>
      <c r="DY43" s="34"/>
      <c r="DZ43" s="34"/>
      <c r="EA43" s="34"/>
      <c r="EB43" s="34"/>
      <c r="EC43" s="34"/>
      <c r="ED43" s="34"/>
      <c r="EE43" s="34"/>
    </row>
    <row r="44" spans="1:135" x14ac:dyDescent="0.4">
      <c r="A44" s="29" t="str">
        <f t="shared" si="7"/>
        <v/>
      </c>
      <c r="B44" s="34"/>
      <c r="C44" s="48"/>
      <c r="D44" s="34"/>
      <c r="E44" s="34"/>
      <c r="F44" s="34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  <c r="CE44" s="34"/>
      <c r="CF44" s="34"/>
      <c r="CG44" s="34"/>
      <c r="CH44" s="34"/>
      <c r="CI44" s="34"/>
      <c r="CJ44" s="34"/>
      <c r="CK44" s="34"/>
      <c r="CL44" s="34"/>
      <c r="CM44" s="34"/>
      <c r="CN44" s="34"/>
      <c r="CO44" s="34"/>
      <c r="CP44" s="34"/>
      <c r="CQ44" s="34"/>
      <c r="CR44" s="34"/>
      <c r="CS44" s="34"/>
      <c r="CT44" s="34"/>
      <c r="CU44" s="34"/>
      <c r="CV44" s="34"/>
      <c r="CW44" s="34"/>
      <c r="CX44" s="34"/>
      <c r="CY44" s="34"/>
      <c r="CZ44" s="34"/>
      <c r="DA44" s="34"/>
      <c r="DB44" s="34"/>
      <c r="DC44" s="34"/>
      <c r="DD44" s="34"/>
      <c r="DE44" s="34"/>
      <c r="DF44" s="34"/>
      <c r="DG44" s="34"/>
      <c r="DH44" s="34"/>
      <c r="DI44" s="34"/>
      <c r="DJ44" s="34"/>
      <c r="DK44" s="34"/>
      <c r="DL44" s="34"/>
      <c r="DM44" s="34"/>
      <c r="DN44" s="34"/>
      <c r="DO44" s="34"/>
      <c r="DP44" s="34"/>
      <c r="DQ44" s="34"/>
      <c r="DR44" s="34"/>
      <c r="DS44" s="34"/>
      <c r="DT44" s="34"/>
      <c r="DU44" s="34"/>
      <c r="DV44" s="34"/>
      <c r="DW44" s="34"/>
      <c r="DX44" s="34"/>
      <c r="DY44" s="34"/>
      <c r="DZ44" s="34"/>
      <c r="EA44" s="34"/>
      <c r="EB44" s="34"/>
      <c r="EC44" s="34"/>
      <c r="ED44" s="34"/>
      <c r="EE44" s="34"/>
    </row>
    <row r="45" spans="1:135" x14ac:dyDescent="0.4">
      <c r="A45" s="29" t="str">
        <f t="shared" si="7"/>
        <v/>
      </c>
      <c r="B45" s="34"/>
      <c r="C45" s="48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  <c r="BC45" s="34"/>
      <c r="BD45" s="34"/>
      <c r="BE45" s="34"/>
      <c r="BF45" s="34"/>
      <c r="BG45" s="34"/>
      <c r="BH45" s="34"/>
      <c r="BI45" s="34"/>
      <c r="BJ45" s="34"/>
      <c r="BK45" s="34"/>
      <c r="BL45" s="34"/>
      <c r="BM45" s="34"/>
      <c r="BN45" s="34"/>
      <c r="BO45" s="34"/>
      <c r="BP45" s="34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  <c r="CD45" s="34"/>
      <c r="CE45" s="34"/>
      <c r="CF45" s="34"/>
      <c r="CG45" s="34"/>
      <c r="CH45" s="34"/>
      <c r="CI45" s="34"/>
      <c r="CJ45" s="34"/>
      <c r="CK45" s="34"/>
      <c r="CL45" s="34"/>
      <c r="CM45" s="34"/>
      <c r="CN45" s="34"/>
      <c r="CO45" s="34"/>
      <c r="CP45" s="34"/>
      <c r="CQ45" s="34"/>
      <c r="CR45" s="34"/>
      <c r="CS45" s="34"/>
      <c r="CT45" s="34"/>
      <c r="CU45" s="34"/>
      <c r="CV45" s="34"/>
      <c r="CW45" s="34"/>
      <c r="CX45" s="34"/>
      <c r="CY45" s="34"/>
      <c r="CZ45" s="34"/>
      <c r="DA45" s="34"/>
      <c r="DB45" s="34"/>
      <c r="DC45" s="34"/>
      <c r="DD45" s="34"/>
      <c r="DE45" s="34"/>
      <c r="DF45" s="34"/>
      <c r="DG45" s="34"/>
      <c r="DH45" s="34"/>
      <c r="DI45" s="34"/>
      <c r="DJ45" s="34"/>
      <c r="DK45" s="34"/>
      <c r="DL45" s="34"/>
      <c r="DM45" s="34"/>
      <c r="DN45" s="34"/>
      <c r="DO45" s="34"/>
      <c r="DP45" s="34"/>
      <c r="DQ45" s="34"/>
      <c r="DR45" s="34"/>
      <c r="DS45" s="34"/>
      <c r="DT45" s="34"/>
      <c r="DU45" s="34"/>
      <c r="DV45" s="34"/>
      <c r="DW45" s="34"/>
      <c r="DX45" s="34"/>
      <c r="DY45" s="34"/>
      <c r="DZ45" s="34"/>
      <c r="EA45" s="34"/>
      <c r="EB45" s="34"/>
      <c r="EC45" s="34"/>
      <c r="ED45" s="34"/>
      <c r="EE45" s="34"/>
    </row>
    <row r="46" spans="1:135" x14ac:dyDescent="0.4">
      <c r="A46" s="29" t="str">
        <f t="shared" si="7"/>
        <v/>
      </c>
      <c r="B46" s="34"/>
      <c r="C46" s="48"/>
      <c r="D46" s="34"/>
      <c r="E46" s="34"/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  <c r="AL46" s="34"/>
      <c r="AM46" s="34"/>
      <c r="AN46" s="34"/>
      <c r="AO46" s="34"/>
      <c r="AP46" s="34"/>
      <c r="AQ46" s="34"/>
      <c r="AR46" s="34"/>
      <c r="AS46" s="34"/>
      <c r="AT46" s="34"/>
      <c r="AU46" s="34"/>
      <c r="AV46" s="34"/>
      <c r="AW46" s="34"/>
      <c r="AX46" s="34"/>
      <c r="AY46" s="34"/>
      <c r="AZ46" s="34"/>
      <c r="BA46" s="34"/>
      <c r="BB46" s="34"/>
      <c r="BC46" s="34"/>
      <c r="BD46" s="34"/>
      <c r="BE46" s="34"/>
      <c r="BF46" s="34"/>
      <c r="BG46" s="34"/>
      <c r="BH46" s="34"/>
      <c r="BI46" s="34"/>
      <c r="BJ46" s="34"/>
      <c r="BK46" s="34"/>
      <c r="BL46" s="34"/>
      <c r="BM46" s="34"/>
      <c r="BN46" s="34"/>
      <c r="BO46" s="34"/>
      <c r="BP46" s="34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  <c r="CD46" s="34"/>
      <c r="CE46" s="34"/>
      <c r="CF46" s="34"/>
      <c r="CG46" s="34"/>
      <c r="CH46" s="34"/>
      <c r="CI46" s="34"/>
      <c r="CJ46" s="34"/>
      <c r="CK46" s="34"/>
      <c r="CL46" s="34"/>
      <c r="CM46" s="34"/>
      <c r="CN46" s="34"/>
      <c r="CO46" s="34"/>
      <c r="CP46" s="34"/>
      <c r="CQ46" s="34"/>
      <c r="CR46" s="34"/>
      <c r="CS46" s="34"/>
      <c r="CT46" s="34"/>
      <c r="CU46" s="34"/>
      <c r="CV46" s="34"/>
      <c r="CW46" s="34"/>
      <c r="CX46" s="34"/>
      <c r="CY46" s="34"/>
      <c r="CZ46" s="34"/>
      <c r="DA46" s="34"/>
      <c r="DB46" s="34"/>
      <c r="DC46" s="34"/>
      <c r="DD46" s="34"/>
      <c r="DE46" s="34"/>
      <c r="DF46" s="34"/>
      <c r="DG46" s="34"/>
      <c r="DH46" s="34"/>
      <c r="DI46" s="34"/>
      <c r="DJ46" s="34"/>
      <c r="DK46" s="34"/>
      <c r="DL46" s="34"/>
      <c r="DM46" s="34"/>
      <c r="DN46" s="34"/>
      <c r="DO46" s="34"/>
      <c r="DP46" s="34"/>
      <c r="DQ46" s="34"/>
      <c r="DR46" s="34"/>
      <c r="DS46" s="34"/>
      <c r="DT46" s="34"/>
      <c r="DU46" s="34"/>
      <c r="DV46" s="34"/>
      <c r="DW46" s="34"/>
      <c r="DX46" s="34"/>
      <c r="DY46" s="34"/>
      <c r="DZ46" s="34"/>
      <c r="EA46" s="34"/>
      <c r="EB46" s="34"/>
      <c r="EC46" s="34"/>
      <c r="ED46" s="34"/>
      <c r="EE46" s="34"/>
    </row>
    <row r="47" spans="1:135" x14ac:dyDescent="0.4">
      <c r="A47" s="29" t="str">
        <f t="shared" si="7"/>
        <v/>
      </c>
      <c r="B47" s="34"/>
      <c r="C47" s="48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  <c r="AL47" s="34"/>
      <c r="AM47" s="34"/>
      <c r="AN47" s="34"/>
      <c r="AO47" s="34"/>
      <c r="AP47" s="34"/>
      <c r="AQ47" s="34"/>
      <c r="AR47" s="34"/>
      <c r="AS47" s="34"/>
      <c r="AT47" s="34"/>
      <c r="AU47" s="34"/>
      <c r="AV47" s="34"/>
      <c r="AW47" s="34"/>
      <c r="AX47" s="34"/>
      <c r="AY47" s="34"/>
      <c r="AZ47" s="34"/>
      <c r="BA47" s="34"/>
      <c r="BB47" s="34"/>
      <c r="BC47" s="34"/>
      <c r="BD47" s="34"/>
      <c r="BE47" s="34"/>
      <c r="BF47" s="34"/>
      <c r="BG47" s="34"/>
      <c r="BH47" s="34"/>
      <c r="BI47" s="34"/>
      <c r="BJ47" s="34"/>
      <c r="BK47" s="34"/>
      <c r="BL47" s="34"/>
      <c r="BM47" s="34"/>
      <c r="BN47" s="34"/>
      <c r="BO47" s="34"/>
      <c r="BP47" s="34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  <c r="CD47" s="34"/>
      <c r="CE47" s="34"/>
      <c r="CF47" s="34"/>
      <c r="CG47" s="34"/>
      <c r="CH47" s="34"/>
      <c r="CI47" s="34"/>
      <c r="CJ47" s="34"/>
      <c r="CK47" s="34"/>
      <c r="CL47" s="34"/>
      <c r="CM47" s="34"/>
      <c r="CN47" s="34"/>
      <c r="CO47" s="34"/>
      <c r="CP47" s="34"/>
      <c r="CQ47" s="34"/>
      <c r="CR47" s="34"/>
      <c r="CS47" s="34"/>
      <c r="CT47" s="34"/>
      <c r="CU47" s="34"/>
      <c r="CV47" s="34"/>
      <c r="CW47" s="34"/>
      <c r="CX47" s="34"/>
      <c r="CY47" s="34"/>
      <c r="CZ47" s="34"/>
      <c r="DA47" s="34"/>
      <c r="DB47" s="34"/>
      <c r="DC47" s="34"/>
      <c r="DD47" s="34"/>
      <c r="DE47" s="34"/>
      <c r="DF47" s="34"/>
      <c r="DG47" s="34"/>
      <c r="DH47" s="34"/>
      <c r="DI47" s="34"/>
      <c r="DJ47" s="34"/>
      <c r="DK47" s="34"/>
      <c r="DL47" s="34"/>
      <c r="DM47" s="34"/>
      <c r="DN47" s="34"/>
      <c r="DO47" s="34"/>
      <c r="DP47" s="34"/>
      <c r="DQ47" s="34"/>
      <c r="DR47" s="34"/>
      <c r="DS47" s="34"/>
      <c r="DT47" s="34"/>
      <c r="DU47" s="34"/>
      <c r="DV47" s="34"/>
      <c r="DW47" s="34"/>
      <c r="DX47" s="34"/>
      <c r="DY47" s="34"/>
      <c r="DZ47" s="34"/>
      <c r="EA47" s="34"/>
      <c r="EB47" s="34"/>
      <c r="EC47" s="34"/>
      <c r="ED47" s="34"/>
      <c r="EE47" s="34"/>
    </row>
    <row r="48" spans="1:135" x14ac:dyDescent="0.4">
      <c r="A48" s="29" t="str">
        <f t="shared" si="7"/>
        <v/>
      </c>
      <c r="B48" s="34"/>
      <c r="C48" s="48"/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  <c r="CE48" s="34"/>
      <c r="CF48" s="34"/>
      <c r="CG48" s="34"/>
      <c r="CH48" s="34"/>
      <c r="CI48" s="34"/>
      <c r="CJ48" s="34"/>
      <c r="CK48" s="34"/>
      <c r="CL48" s="34"/>
      <c r="CM48" s="34"/>
      <c r="CN48" s="34"/>
      <c r="CO48" s="34"/>
      <c r="CP48" s="34"/>
      <c r="CQ48" s="34"/>
      <c r="CR48" s="34"/>
      <c r="CS48" s="34"/>
      <c r="CT48" s="34"/>
      <c r="CU48" s="34"/>
      <c r="CV48" s="34"/>
      <c r="CW48" s="34"/>
      <c r="CX48" s="34"/>
      <c r="CY48" s="34"/>
      <c r="CZ48" s="34"/>
      <c r="DA48" s="34"/>
      <c r="DB48" s="34"/>
      <c r="DC48" s="34"/>
      <c r="DD48" s="34"/>
      <c r="DE48" s="34"/>
      <c r="DF48" s="34"/>
      <c r="DG48" s="34"/>
      <c r="DH48" s="34"/>
      <c r="DI48" s="34"/>
      <c r="DJ48" s="34"/>
      <c r="DK48" s="34"/>
      <c r="DL48" s="34"/>
      <c r="DM48" s="34"/>
      <c r="DN48" s="34"/>
      <c r="DO48" s="34"/>
      <c r="DP48" s="34"/>
      <c r="DQ48" s="34"/>
      <c r="DR48" s="34"/>
      <c r="DS48" s="34"/>
      <c r="DT48" s="34"/>
      <c r="DU48" s="34"/>
      <c r="DV48" s="34"/>
      <c r="DW48" s="34"/>
      <c r="DX48" s="34"/>
      <c r="DY48" s="34"/>
      <c r="DZ48" s="34"/>
      <c r="EA48" s="34"/>
      <c r="EB48" s="34"/>
      <c r="EC48" s="34"/>
      <c r="ED48" s="34"/>
      <c r="EE48" s="34"/>
    </row>
    <row r="49" spans="1:135" x14ac:dyDescent="0.4">
      <c r="A49" s="29" t="str">
        <f t="shared" si="7"/>
        <v/>
      </c>
      <c r="B49" s="34"/>
      <c r="C49" s="48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  <c r="CE49" s="34"/>
      <c r="CF49" s="34"/>
      <c r="CG49" s="34"/>
      <c r="CH49" s="34"/>
      <c r="CI49" s="34"/>
      <c r="CJ49" s="34"/>
      <c r="CK49" s="34"/>
      <c r="CL49" s="34"/>
      <c r="CM49" s="34"/>
      <c r="CN49" s="34"/>
      <c r="CO49" s="34"/>
      <c r="CP49" s="34"/>
      <c r="CQ49" s="34"/>
      <c r="CR49" s="34"/>
      <c r="CS49" s="34"/>
      <c r="CT49" s="34"/>
      <c r="CU49" s="34"/>
      <c r="CV49" s="34"/>
      <c r="CW49" s="34"/>
      <c r="CX49" s="34"/>
      <c r="CY49" s="34"/>
      <c r="CZ49" s="34"/>
      <c r="DA49" s="34"/>
      <c r="DB49" s="34"/>
      <c r="DC49" s="34"/>
      <c r="DD49" s="34"/>
      <c r="DE49" s="34"/>
      <c r="DF49" s="34"/>
      <c r="DG49" s="34"/>
      <c r="DH49" s="34"/>
      <c r="DI49" s="34"/>
      <c r="DJ49" s="34"/>
      <c r="DK49" s="34"/>
      <c r="DL49" s="34"/>
      <c r="DM49" s="34"/>
      <c r="DN49" s="34"/>
      <c r="DO49" s="34"/>
      <c r="DP49" s="34"/>
      <c r="DQ49" s="34"/>
      <c r="DR49" s="34"/>
      <c r="DS49" s="34"/>
      <c r="DT49" s="34"/>
      <c r="DU49" s="34"/>
      <c r="DV49" s="34"/>
      <c r="DW49" s="34"/>
      <c r="DX49" s="34"/>
      <c r="DY49" s="34"/>
      <c r="DZ49" s="34"/>
      <c r="EA49" s="34"/>
      <c r="EB49" s="34"/>
      <c r="EC49" s="34"/>
      <c r="ED49" s="34"/>
      <c r="EE49" s="34"/>
    </row>
    <row r="50" spans="1:135" x14ac:dyDescent="0.4">
      <c r="A50" s="29" t="str">
        <f t="shared" si="7"/>
        <v/>
      </c>
      <c r="B50" s="34"/>
      <c r="C50" s="48"/>
      <c r="D50" s="34"/>
      <c r="E50" s="34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  <c r="CE50" s="34"/>
      <c r="CF50" s="34"/>
      <c r="CG50" s="34"/>
      <c r="CH50" s="34"/>
      <c r="CI50" s="34"/>
      <c r="CJ50" s="34"/>
      <c r="CK50" s="34"/>
      <c r="CL50" s="34"/>
      <c r="CM50" s="34"/>
      <c r="CN50" s="34"/>
      <c r="CO50" s="34"/>
      <c r="CP50" s="34"/>
      <c r="CQ50" s="34"/>
      <c r="CR50" s="34"/>
      <c r="CS50" s="34"/>
      <c r="CT50" s="34"/>
      <c r="CU50" s="34"/>
      <c r="CV50" s="34"/>
      <c r="CW50" s="34"/>
      <c r="CX50" s="34"/>
      <c r="CY50" s="34"/>
      <c r="CZ50" s="34"/>
      <c r="DA50" s="34"/>
      <c r="DB50" s="34"/>
      <c r="DC50" s="34"/>
      <c r="DD50" s="34"/>
      <c r="DE50" s="34"/>
      <c r="DF50" s="34"/>
      <c r="DG50" s="34"/>
      <c r="DH50" s="34"/>
      <c r="DI50" s="34"/>
      <c r="DJ50" s="34"/>
      <c r="DK50" s="34"/>
      <c r="DL50" s="34"/>
      <c r="DM50" s="34"/>
      <c r="DN50" s="34"/>
      <c r="DO50" s="34"/>
      <c r="DP50" s="34"/>
      <c r="DQ50" s="34"/>
      <c r="DR50" s="34"/>
      <c r="DS50" s="34"/>
      <c r="DT50" s="34"/>
      <c r="DU50" s="34"/>
      <c r="DV50" s="34"/>
      <c r="DW50" s="34"/>
      <c r="DX50" s="34"/>
      <c r="DY50" s="34"/>
      <c r="DZ50" s="34"/>
      <c r="EA50" s="34"/>
      <c r="EB50" s="34"/>
      <c r="EC50" s="34"/>
      <c r="ED50" s="34"/>
      <c r="EE50" s="34"/>
    </row>
    <row r="51" spans="1:135" x14ac:dyDescent="0.4">
      <c r="A51" s="29" t="str">
        <f t="shared" si="7"/>
        <v/>
      </c>
      <c r="B51" s="34"/>
      <c r="C51" s="48"/>
      <c r="D51" s="34"/>
      <c r="E51" s="34"/>
      <c r="F51" s="34"/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  <c r="CE51" s="34"/>
      <c r="CF51" s="34"/>
      <c r="CG51" s="34"/>
      <c r="CH51" s="34"/>
      <c r="CI51" s="34"/>
      <c r="CJ51" s="34"/>
      <c r="CK51" s="34"/>
      <c r="CL51" s="34"/>
      <c r="CM51" s="34"/>
      <c r="CN51" s="34"/>
      <c r="CO51" s="34"/>
      <c r="CP51" s="34"/>
      <c r="CQ51" s="34"/>
      <c r="CR51" s="34"/>
      <c r="CS51" s="34"/>
      <c r="CT51" s="34"/>
      <c r="CU51" s="34"/>
      <c r="CV51" s="34"/>
      <c r="CW51" s="34"/>
      <c r="CX51" s="34"/>
      <c r="CY51" s="34"/>
      <c r="CZ51" s="34"/>
      <c r="DA51" s="34"/>
      <c r="DB51" s="34"/>
      <c r="DC51" s="34"/>
      <c r="DD51" s="34"/>
      <c r="DE51" s="34"/>
      <c r="DF51" s="34"/>
      <c r="DG51" s="34"/>
      <c r="DH51" s="34"/>
      <c r="DI51" s="34"/>
      <c r="DJ51" s="34"/>
      <c r="DK51" s="34"/>
      <c r="DL51" s="34"/>
      <c r="DM51" s="34"/>
      <c r="DN51" s="34"/>
      <c r="DO51" s="34"/>
      <c r="DP51" s="34"/>
      <c r="DQ51" s="34"/>
      <c r="DR51" s="34"/>
      <c r="DS51" s="34"/>
      <c r="DT51" s="34"/>
      <c r="DU51" s="34"/>
      <c r="DV51" s="34"/>
      <c r="DW51" s="34"/>
      <c r="DX51" s="34"/>
      <c r="DY51" s="34"/>
      <c r="DZ51" s="34"/>
      <c r="EA51" s="34"/>
      <c r="EB51" s="34"/>
      <c r="EC51" s="34"/>
      <c r="ED51" s="34"/>
      <c r="EE51" s="34"/>
    </row>
    <row r="52" spans="1:135" x14ac:dyDescent="0.4">
      <c r="A52" s="29" t="str">
        <f t="shared" si="7"/>
        <v/>
      </c>
      <c r="B52" s="34"/>
      <c r="C52" s="48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  <c r="CF52" s="34"/>
      <c r="CG52" s="34"/>
      <c r="CH52" s="34"/>
      <c r="CI52" s="34"/>
      <c r="CJ52" s="34"/>
      <c r="CK52" s="34"/>
      <c r="CL52" s="34"/>
      <c r="CM52" s="34"/>
      <c r="CN52" s="34"/>
      <c r="CO52" s="34"/>
      <c r="CP52" s="34"/>
      <c r="CQ52" s="34"/>
      <c r="CR52" s="34"/>
      <c r="CS52" s="34"/>
      <c r="CT52" s="34"/>
      <c r="CU52" s="34"/>
      <c r="CV52" s="34"/>
      <c r="CW52" s="34"/>
      <c r="CX52" s="34"/>
      <c r="CY52" s="34"/>
      <c r="CZ52" s="34"/>
      <c r="DA52" s="34"/>
      <c r="DB52" s="34"/>
      <c r="DC52" s="34"/>
      <c r="DD52" s="34"/>
      <c r="DE52" s="34"/>
      <c r="DF52" s="34"/>
      <c r="DG52" s="34"/>
      <c r="DH52" s="34"/>
      <c r="DI52" s="34"/>
      <c r="DJ52" s="34"/>
      <c r="DK52" s="34"/>
      <c r="DL52" s="34"/>
      <c r="DM52" s="34"/>
      <c r="DN52" s="34"/>
      <c r="DO52" s="34"/>
      <c r="DP52" s="34"/>
      <c r="DQ52" s="34"/>
      <c r="DR52" s="34"/>
      <c r="DS52" s="34"/>
      <c r="DT52" s="34"/>
      <c r="DU52" s="34"/>
      <c r="DV52" s="34"/>
      <c r="DW52" s="34"/>
      <c r="DX52" s="34"/>
      <c r="DY52" s="34"/>
      <c r="DZ52" s="34"/>
      <c r="EA52" s="34"/>
      <c r="EB52" s="34"/>
      <c r="EC52" s="34"/>
      <c r="ED52" s="34"/>
      <c r="EE52" s="34"/>
    </row>
    <row r="53" spans="1:135" x14ac:dyDescent="0.4">
      <c r="A53" s="29" t="str">
        <f t="shared" si="7"/>
        <v/>
      </c>
      <c r="B53" s="34"/>
      <c r="C53" s="48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  <c r="CF53" s="34"/>
      <c r="CG53" s="34"/>
      <c r="CH53" s="34"/>
      <c r="CI53" s="34"/>
      <c r="CJ53" s="34"/>
      <c r="CK53" s="34"/>
      <c r="CL53" s="34"/>
      <c r="CM53" s="34"/>
      <c r="CN53" s="34"/>
      <c r="CO53" s="34"/>
      <c r="CP53" s="34"/>
      <c r="CQ53" s="34"/>
      <c r="CR53" s="34"/>
      <c r="CS53" s="34"/>
      <c r="CT53" s="34"/>
      <c r="CU53" s="34"/>
      <c r="CV53" s="34"/>
      <c r="CW53" s="34"/>
      <c r="CX53" s="34"/>
      <c r="CY53" s="34"/>
      <c r="CZ53" s="34"/>
      <c r="DA53" s="34"/>
      <c r="DB53" s="34"/>
      <c r="DC53" s="34"/>
      <c r="DD53" s="34"/>
      <c r="DE53" s="34"/>
      <c r="DF53" s="34"/>
      <c r="DG53" s="34"/>
      <c r="DH53" s="34"/>
      <c r="DI53" s="34"/>
      <c r="DJ53" s="34"/>
      <c r="DK53" s="34"/>
      <c r="DL53" s="34"/>
      <c r="DM53" s="34"/>
      <c r="DN53" s="34"/>
      <c r="DO53" s="34"/>
      <c r="DP53" s="34"/>
      <c r="DQ53" s="34"/>
      <c r="DR53" s="34"/>
      <c r="DS53" s="34"/>
      <c r="DT53" s="34"/>
      <c r="DU53" s="34"/>
      <c r="DV53" s="34"/>
      <c r="DW53" s="34"/>
      <c r="DX53" s="34"/>
      <c r="DY53" s="34"/>
      <c r="DZ53" s="34"/>
      <c r="EA53" s="34"/>
      <c r="EB53" s="34"/>
      <c r="EC53" s="34"/>
      <c r="ED53" s="34"/>
      <c r="EE53" s="34"/>
    </row>
    <row r="54" spans="1:135" x14ac:dyDescent="0.4">
      <c r="A54" s="29" t="str">
        <f t="shared" si="7"/>
        <v/>
      </c>
      <c r="B54" s="34"/>
      <c r="C54" s="48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  <c r="CF54" s="34"/>
      <c r="CG54" s="34"/>
      <c r="CH54" s="34"/>
      <c r="CI54" s="34"/>
      <c r="CJ54" s="34"/>
      <c r="CK54" s="34"/>
      <c r="CL54" s="34"/>
      <c r="CM54" s="34"/>
      <c r="CN54" s="34"/>
      <c r="CO54" s="34"/>
      <c r="CP54" s="34"/>
      <c r="CQ54" s="34"/>
      <c r="CR54" s="34"/>
      <c r="CS54" s="34"/>
      <c r="CT54" s="34"/>
      <c r="CU54" s="34"/>
      <c r="CV54" s="34"/>
      <c r="CW54" s="34"/>
      <c r="CX54" s="34"/>
      <c r="CY54" s="34"/>
      <c r="CZ54" s="34"/>
      <c r="DA54" s="34"/>
      <c r="DB54" s="34"/>
      <c r="DC54" s="34"/>
      <c r="DD54" s="34"/>
      <c r="DE54" s="34"/>
      <c r="DF54" s="34"/>
      <c r="DG54" s="34"/>
      <c r="DH54" s="34"/>
      <c r="DI54" s="34"/>
      <c r="DJ54" s="34"/>
      <c r="DK54" s="34"/>
      <c r="DL54" s="34"/>
      <c r="DM54" s="34"/>
      <c r="DN54" s="34"/>
      <c r="DO54" s="34"/>
      <c r="DP54" s="34"/>
      <c r="DQ54" s="34"/>
      <c r="DR54" s="34"/>
      <c r="DS54" s="34"/>
      <c r="DT54" s="34"/>
      <c r="DU54" s="34"/>
      <c r="DV54" s="34"/>
      <c r="DW54" s="34"/>
      <c r="DX54" s="34"/>
      <c r="DY54" s="34"/>
      <c r="DZ54" s="34"/>
      <c r="EA54" s="34"/>
      <c r="EB54" s="34"/>
      <c r="EC54" s="34"/>
      <c r="ED54" s="34"/>
      <c r="EE54" s="34"/>
    </row>
    <row r="55" spans="1:135" x14ac:dyDescent="0.4">
      <c r="A55" s="29" t="str">
        <f t="shared" si="7"/>
        <v/>
      </c>
      <c r="B55" s="34"/>
      <c r="C55" s="48"/>
      <c r="D55" s="34"/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  <c r="CF55" s="34"/>
      <c r="CG55" s="34"/>
      <c r="CH55" s="34"/>
      <c r="CI55" s="34"/>
      <c r="CJ55" s="34"/>
      <c r="CK55" s="34"/>
      <c r="CL55" s="34"/>
      <c r="CM55" s="34"/>
      <c r="CN55" s="34"/>
      <c r="CO55" s="34"/>
      <c r="CP55" s="34"/>
      <c r="CQ55" s="34"/>
      <c r="CR55" s="34"/>
      <c r="CS55" s="34"/>
      <c r="CT55" s="34"/>
      <c r="CU55" s="34"/>
      <c r="CV55" s="34"/>
      <c r="CW55" s="34"/>
      <c r="CX55" s="34"/>
      <c r="CY55" s="34"/>
      <c r="CZ55" s="34"/>
      <c r="DA55" s="34"/>
      <c r="DB55" s="34"/>
      <c r="DC55" s="34"/>
      <c r="DD55" s="34"/>
      <c r="DE55" s="34"/>
      <c r="DF55" s="34"/>
      <c r="DG55" s="34"/>
      <c r="DH55" s="34"/>
      <c r="DI55" s="34"/>
      <c r="DJ55" s="34"/>
      <c r="DK55" s="34"/>
      <c r="DL55" s="34"/>
      <c r="DM55" s="34"/>
      <c r="DN55" s="34"/>
      <c r="DO55" s="34"/>
      <c r="DP55" s="34"/>
      <c r="DQ55" s="34"/>
      <c r="DR55" s="34"/>
      <c r="DS55" s="34"/>
      <c r="DT55" s="34"/>
      <c r="DU55" s="34"/>
      <c r="DV55" s="34"/>
      <c r="DW55" s="34"/>
      <c r="DX55" s="34"/>
      <c r="DY55" s="34"/>
      <c r="DZ55" s="34"/>
      <c r="EA55" s="34"/>
      <c r="EB55" s="34"/>
      <c r="EC55" s="34"/>
      <c r="ED55" s="34"/>
      <c r="EE55" s="34"/>
    </row>
    <row r="56" spans="1:135" x14ac:dyDescent="0.4">
      <c r="A56" s="29" t="str">
        <f t="shared" si="7"/>
        <v/>
      </c>
      <c r="B56" s="34"/>
      <c r="C56" s="48"/>
      <c r="D56" s="34"/>
      <c r="E56" s="34"/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  <c r="CF56" s="34"/>
      <c r="CG56" s="34"/>
      <c r="CH56" s="34"/>
      <c r="CI56" s="34"/>
      <c r="CJ56" s="34"/>
      <c r="CK56" s="34"/>
      <c r="CL56" s="34"/>
      <c r="CM56" s="34"/>
      <c r="CN56" s="34"/>
      <c r="CO56" s="34"/>
      <c r="CP56" s="34"/>
      <c r="CQ56" s="34"/>
      <c r="CR56" s="34"/>
      <c r="CS56" s="34"/>
      <c r="CT56" s="34"/>
      <c r="CU56" s="34"/>
      <c r="CV56" s="34"/>
      <c r="CW56" s="34"/>
      <c r="CX56" s="34"/>
      <c r="CY56" s="34"/>
      <c r="CZ56" s="34"/>
      <c r="DA56" s="34"/>
      <c r="DB56" s="34"/>
      <c r="DC56" s="34"/>
      <c r="DD56" s="34"/>
      <c r="DE56" s="34"/>
      <c r="DF56" s="34"/>
      <c r="DG56" s="34"/>
      <c r="DH56" s="34"/>
      <c r="DI56" s="34"/>
      <c r="DJ56" s="34"/>
      <c r="DK56" s="34"/>
      <c r="DL56" s="34"/>
      <c r="DM56" s="34"/>
      <c r="DN56" s="34"/>
      <c r="DO56" s="34"/>
      <c r="DP56" s="34"/>
      <c r="DQ56" s="34"/>
      <c r="DR56" s="34"/>
      <c r="DS56" s="34"/>
      <c r="DT56" s="34"/>
      <c r="DU56" s="34"/>
      <c r="DV56" s="34"/>
      <c r="DW56" s="34"/>
      <c r="DX56" s="34"/>
      <c r="DY56" s="34"/>
      <c r="DZ56" s="34"/>
      <c r="EA56" s="34"/>
      <c r="EB56" s="34"/>
      <c r="EC56" s="34"/>
      <c r="ED56" s="34"/>
      <c r="EE56" s="34"/>
    </row>
    <row r="57" spans="1:135" x14ac:dyDescent="0.4">
      <c r="A57" s="29" t="str">
        <f t="shared" si="7"/>
        <v/>
      </c>
      <c r="B57" s="34"/>
      <c r="C57" s="48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  <c r="CF57" s="34"/>
      <c r="CG57" s="34"/>
      <c r="CH57" s="34"/>
      <c r="CI57" s="34"/>
      <c r="CJ57" s="34"/>
      <c r="CK57" s="34"/>
      <c r="CL57" s="34"/>
      <c r="CM57" s="34"/>
      <c r="CN57" s="34"/>
      <c r="CO57" s="34"/>
      <c r="CP57" s="34"/>
      <c r="CQ57" s="34"/>
      <c r="CR57" s="34"/>
      <c r="CS57" s="34"/>
      <c r="CT57" s="34"/>
      <c r="CU57" s="34"/>
      <c r="CV57" s="34"/>
      <c r="CW57" s="34"/>
      <c r="CX57" s="34"/>
      <c r="CY57" s="34"/>
      <c r="CZ57" s="34"/>
      <c r="DA57" s="34"/>
      <c r="DB57" s="34"/>
      <c r="DC57" s="34"/>
      <c r="DD57" s="34"/>
      <c r="DE57" s="34"/>
      <c r="DF57" s="34"/>
      <c r="DG57" s="34"/>
      <c r="DH57" s="34"/>
      <c r="DI57" s="34"/>
      <c r="DJ57" s="34"/>
      <c r="DK57" s="34"/>
      <c r="DL57" s="34"/>
      <c r="DM57" s="34"/>
      <c r="DN57" s="34"/>
      <c r="DO57" s="34"/>
      <c r="DP57" s="34"/>
      <c r="DQ57" s="34"/>
      <c r="DR57" s="34"/>
      <c r="DS57" s="34"/>
      <c r="DT57" s="34"/>
      <c r="DU57" s="34"/>
      <c r="DV57" s="34"/>
      <c r="DW57" s="34"/>
      <c r="DX57" s="34"/>
      <c r="DY57" s="34"/>
      <c r="DZ57" s="34"/>
      <c r="EA57" s="34"/>
      <c r="EB57" s="34"/>
      <c r="EC57" s="34"/>
      <c r="ED57" s="34"/>
      <c r="EE57" s="34"/>
    </row>
    <row r="58" spans="1:135" x14ac:dyDescent="0.4">
      <c r="A58" s="29" t="str">
        <f t="shared" si="7"/>
        <v/>
      </c>
      <c r="B58" s="34"/>
      <c r="C58" s="48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  <c r="CE58" s="34"/>
      <c r="CF58" s="34"/>
      <c r="CG58" s="34"/>
      <c r="CH58" s="34"/>
      <c r="CI58" s="34"/>
      <c r="CJ58" s="34"/>
      <c r="CK58" s="34"/>
      <c r="CL58" s="34"/>
      <c r="CM58" s="34"/>
      <c r="CN58" s="34"/>
      <c r="CO58" s="34"/>
      <c r="CP58" s="34"/>
      <c r="CQ58" s="34"/>
      <c r="CR58" s="34"/>
      <c r="CS58" s="34"/>
      <c r="CT58" s="34"/>
      <c r="CU58" s="34"/>
      <c r="CV58" s="34"/>
      <c r="CW58" s="34"/>
      <c r="CX58" s="34"/>
      <c r="CY58" s="34"/>
      <c r="CZ58" s="34"/>
      <c r="DA58" s="34"/>
      <c r="DB58" s="34"/>
      <c r="DC58" s="34"/>
      <c r="DD58" s="34"/>
      <c r="DE58" s="34"/>
      <c r="DF58" s="34"/>
      <c r="DG58" s="34"/>
      <c r="DH58" s="34"/>
      <c r="DI58" s="34"/>
      <c r="DJ58" s="34"/>
      <c r="DK58" s="34"/>
      <c r="DL58" s="34"/>
      <c r="DM58" s="34"/>
      <c r="DN58" s="34"/>
      <c r="DO58" s="34"/>
      <c r="DP58" s="34"/>
      <c r="DQ58" s="34"/>
      <c r="DR58" s="34"/>
      <c r="DS58" s="34"/>
      <c r="DT58" s="34"/>
      <c r="DU58" s="34"/>
      <c r="DV58" s="34"/>
      <c r="DW58" s="34"/>
      <c r="DX58" s="34"/>
      <c r="DY58" s="34"/>
      <c r="DZ58" s="34"/>
      <c r="EA58" s="34"/>
      <c r="EB58" s="34"/>
      <c r="EC58" s="34"/>
      <c r="ED58" s="34"/>
      <c r="EE58" s="34"/>
    </row>
    <row r="59" spans="1:135" x14ac:dyDescent="0.4">
      <c r="A59" s="29" t="str">
        <f t="shared" si="7"/>
        <v/>
      </c>
      <c r="B59" s="34"/>
      <c r="C59" s="48"/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  <c r="CE59" s="34"/>
      <c r="CF59" s="34"/>
      <c r="CG59" s="34"/>
      <c r="CH59" s="34"/>
      <c r="CI59" s="34"/>
      <c r="CJ59" s="34"/>
      <c r="CK59" s="34"/>
      <c r="CL59" s="34"/>
      <c r="CM59" s="34"/>
      <c r="CN59" s="34"/>
      <c r="CO59" s="34"/>
      <c r="CP59" s="34"/>
      <c r="CQ59" s="34"/>
      <c r="CR59" s="34"/>
      <c r="CS59" s="34"/>
      <c r="CT59" s="34"/>
      <c r="CU59" s="34"/>
      <c r="CV59" s="34"/>
      <c r="CW59" s="34"/>
      <c r="CX59" s="34"/>
      <c r="CY59" s="34"/>
      <c r="CZ59" s="34"/>
      <c r="DA59" s="34"/>
      <c r="DB59" s="34"/>
      <c r="DC59" s="34"/>
      <c r="DD59" s="34"/>
      <c r="DE59" s="34"/>
      <c r="DF59" s="34"/>
      <c r="DG59" s="34"/>
      <c r="DH59" s="34"/>
      <c r="DI59" s="34"/>
      <c r="DJ59" s="34"/>
      <c r="DK59" s="34"/>
      <c r="DL59" s="34"/>
      <c r="DM59" s="34"/>
      <c r="DN59" s="34"/>
      <c r="DO59" s="34"/>
      <c r="DP59" s="34"/>
      <c r="DQ59" s="34"/>
      <c r="DR59" s="34"/>
      <c r="DS59" s="34"/>
      <c r="DT59" s="34"/>
      <c r="DU59" s="34"/>
      <c r="DV59" s="34"/>
      <c r="DW59" s="34"/>
      <c r="DX59" s="34"/>
      <c r="DY59" s="34"/>
      <c r="DZ59" s="34"/>
      <c r="EA59" s="34"/>
      <c r="EB59" s="34"/>
      <c r="EC59" s="34"/>
      <c r="ED59" s="34"/>
      <c r="EE59" s="34"/>
    </row>
    <row r="60" spans="1:135" x14ac:dyDescent="0.4">
      <c r="A60" s="29" t="str">
        <f t="shared" si="7"/>
        <v/>
      </c>
      <c r="B60" s="34"/>
      <c r="C60" s="48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  <c r="CE60" s="34"/>
      <c r="CF60" s="34"/>
      <c r="CG60" s="34"/>
      <c r="CH60" s="34"/>
      <c r="CI60" s="34"/>
      <c r="CJ60" s="34"/>
      <c r="CK60" s="34"/>
      <c r="CL60" s="34"/>
      <c r="CM60" s="34"/>
      <c r="CN60" s="34"/>
      <c r="CO60" s="34"/>
      <c r="CP60" s="34"/>
      <c r="CQ60" s="34"/>
      <c r="CR60" s="34"/>
      <c r="CS60" s="34"/>
      <c r="CT60" s="34"/>
      <c r="CU60" s="34"/>
      <c r="CV60" s="34"/>
      <c r="CW60" s="34"/>
      <c r="CX60" s="34"/>
      <c r="CY60" s="34"/>
      <c r="CZ60" s="34"/>
      <c r="DA60" s="34"/>
      <c r="DB60" s="34"/>
      <c r="DC60" s="34"/>
      <c r="DD60" s="34"/>
      <c r="DE60" s="34"/>
      <c r="DF60" s="34"/>
      <c r="DG60" s="34"/>
      <c r="DH60" s="34"/>
      <c r="DI60" s="34"/>
      <c r="DJ60" s="34"/>
      <c r="DK60" s="34"/>
      <c r="DL60" s="34"/>
      <c r="DM60" s="34"/>
      <c r="DN60" s="34"/>
      <c r="DO60" s="34"/>
      <c r="DP60" s="34"/>
      <c r="DQ60" s="34"/>
      <c r="DR60" s="34"/>
      <c r="DS60" s="34"/>
      <c r="DT60" s="34"/>
      <c r="DU60" s="34"/>
      <c r="DV60" s="34"/>
      <c r="DW60" s="34"/>
      <c r="DX60" s="34"/>
      <c r="DY60" s="34"/>
      <c r="DZ60" s="34"/>
      <c r="EA60" s="34"/>
      <c r="EB60" s="34"/>
      <c r="EC60" s="34"/>
      <c r="ED60" s="34"/>
      <c r="EE60" s="34"/>
    </row>
    <row r="61" spans="1:135" x14ac:dyDescent="0.4">
      <c r="A61" s="29" t="str">
        <f t="shared" si="7"/>
        <v/>
      </c>
      <c r="B61" s="34"/>
      <c r="C61" s="48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  <c r="CE61" s="34"/>
      <c r="CF61" s="34"/>
      <c r="CG61" s="34"/>
      <c r="CH61" s="34"/>
      <c r="CI61" s="34"/>
      <c r="CJ61" s="34"/>
      <c r="CK61" s="34"/>
      <c r="CL61" s="34"/>
      <c r="CM61" s="34"/>
      <c r="CN61" s="34"/>
      <c r="CO61" s="34"/>
      <c r="CP61" s="34"/>
      <c r="CQ61" s="34"/>
      <c r="CR61" s="34"/>
      <c r="CS61" s="34"/>
      <c r="CT61" s="34"/>
      <c r="CU61" s="34"/>
      <c r="CV61" s="34"/>
      <c r="CW61" s="34"/>
      <c r="CX61" s="34"/>
      <c r="CY61" s="34"/>
      <c r="CZ61" s="34"/>
      <c r="DA61" s="34"/>
      <c r="DB61" s="34"/>
      <c r="DC61" s="34"/>
      <c r="DD61" s="34"/>
      <c r="DE61" s="34"/>
      <c r="DF61" s="34"/>
      <c r="DG61" s="34"/>
      <c r="DH61" s="34"/>
      <c r="DI61" s="34"/>
      <c r="DJ61" s="34"/>
      <c r="DK61" s="34"/>
      <c r="DL61" s="34"/>
      <c r="DM61" s="34"/>
      <c r="DN61" s="34"/>
      <c r="DO61" s="34"/>
      <c r="DP61" s="34"/>
      <c r="DQ61" s="34"/>
      <c r="DR61" s="34"/>
      <c r="DS61" s="34"/>
      <c r="DT61" s="34"/>
      <c r="DU61" s="34"/>
      <c r="DV61" s="34"/>
      <c r="DW61" s="34"/>
      <c r="DX61" s="34"/>
      <c r="DY61" s="34"/>
      <c r="DZ61" s="34"/>
      <c r="EA61" s="34"/>
      <c r="EB61" s="34"/>
      <c r="EC61" s="34"/>
      <c r="ED61" s="34"/>
      <c r="EE61" s="34"/>
    </row>
    <row r="62" spans="1:135" x14ac:dyDescent="0.4">
      <c r="A62" s="29" t="str">
        <f t="shared" si="7"/>
        <v/>
      </c>
      <c r="B62" s="34"/>
      <c r="C62" s="48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  <c r="CE62" s="34"/>
      <c r="CF62" s="34"/>
      <c r="CG62" s="34"/>
      <c r="CH62" s="34"/>
      <c r="CI62" s="34"/>
      <c r="CJ62" s="34"/>
      <c r="CK62" s="34"/>
      <c r="CL62" s="34"/>
      <c r="CM62" s="34"/>
      <c r="CN62" s="34"/>
      <c r="CO62" s="34"/>
      <c r="CP62" s="34"/>
      <c r="CQ62" s="34"/>
      <c r="CR62" s="34"/>
      <c r="CS62" s="34"/>
      <c r="CT62" s="34"/>
      <c r="CU62" s="34"/>
      <c r="CV62" s="34"/>
      <c r="CW62" s="34"/>
      <c r="CX62" s="34"/>
      <c r="CY62" s="34"/>
      <c r="CZ62" s="34"/>
      <c r="DA62" s="34"/>
      <c r="DB62" s="34"/>
      <c r="DC62" s="34"/>
      <c r="DD62" s="34"/>
      <c r="DE62" s="34"/>
      <c r="DF62" s="34"/>
      <c r="DG62" s="34"/>
      <c r="DH62" s="34"/>
      <c r="DI62" s="34"/>
      <c r="DJ62" s="34"/>
      <c r="DK62" s="34"/>
      <c r="DL62" s="34"/>
      <c r="DM62" s="34"/>
      <c r="DN62" s="34"/>
      <c r="DO62" s="34"/>
      <c r="DP62" s="34"/>
      <c r="DQ62" s="34"/>
      <c r="DR62" s="34"/>
      <c r="DS62" s="34"/>
      <c r="DT62" s="34"/>
      <c r="DU62" s="34"/>
      <c r="DV62" s="34"/>
      <c r="DW62" s="34"/>
      <c r="DX62" s="34"/>
      <c r="DY62" s="34"/>
      <c r="DZ62" s="34"/>
      <c r="EA62" s="34"/>
      <c r="EB62" s="34"/>
      <c r="EC62" s="34"/>
      <c r="ED62" s="34"/>
      <c r="EE62" s="34"/>
    </row>
    <row r="63" spans="1:135" x14ac:dyDescent="0.4">
      <c r="A63" s="29" t="str">
        <f t="shared" si="7"/>
        <v/>
      </c>
      <c r="B63" s="34"/>
      <c r="C63" s="48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  <c r="CE63" s="34"/>
      <c r="CF63" s="34"/>
      <c r="CG63" s="34"/>
      <c r="CH63" s="34"/>
      <c r="CI63" s="34"/>
      <c r="CJ63" s="34"/>
      <c r="CK63" s="34"/>
      <c r="CL63" s="34"/>
      <c r="CM63" s="34"/>
      <c r="CN63" s="34"/>
      <c r="CO63" s="34"/>
      <c r="CP63" s="34"/>
      <c r="CQ63" s="34"/>
      <c r="CR63" s="34"/>
      <c r="CS63" s="34"/>
      <c r="CT63" s="34"/>
      <c r="CU63" s="34"/>
      <c r="CV63" s="34"/>
      <c r="CW63" s="34"/>
      <c r="CX63" s="34"/>
      <c r="CY63" s="34"/>
      <c r="CZ63" s="34"/>
      <c r="DA63" s="34"/>
      <c r="DB63" s="34"/>
      <c r="DC63" s="34"/>
      <c r="DD63" s="34"/>
      <c r="DE63" s="34"/>
      <c r="DF63" s="34"/>
      <c r="DG63" s="34"/>
      <c r="DH63" s="34"/>
      <c r="DI63" s="34"/>
      <c r="DJ63" s="34"/>
      <c r="DK63" s="34"/>
      <c r="DL63" s="34"/>
      <c r="DM63" s="34"/>
      <c r="DN63" s="34"/>
      <c r="DO63" s="34"/>
      <c r="DP63" s="34"/>
      <c r="DQ63" s="34"/>
      <c r="DR63" s="34"/>
      <c r="DS63" s="34"/>
      <c r="DT63" s="34"/>
      <c r="DU63" s="34"/>
      <c r="DV63" s="34"/>
      <c r="DW63" s="34"/>
      <c r="DX63" s="34"/>
      <c r="DY63" s="34"/>
      <c r="DZ63" s="34"/>
      <c r="EA63" s="34"/>
      <c r="EB63" s="34"/>
      <c r="EC63" s="34"/>
      <c r="ED63" s="34"/>
      <c r="EE63" s="34"/>
    </row>
    <row r="64" spans="1:135" x14ac:dyDescent="0.4">
      <c r="A64" s="29" t="str">
        <f t="shared" si="7"/>
        <v/>
      </c>
      <c r="B64" s="34"/>
      <c r="C64" s="48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  <c r="CE64" s="34"/>
      <c r="CF64" s="34"/>
      <c r="CG64" s="34"/>
      <c r="CH64" s="34"/>
      <c r="CI64" s="34"/>
      <c r="CJ64" s="34"/>
      <c r="CK64" s="34"/>
      <c r="CL64" s="34"/>
      <c r="CM64" s="34"/>
      <c r="CN64" s="34"/>
      <c r="CO64" s="34"/>
      <c r="CP64" s="34"/>
      <c r="CQ64" s="34"/>
      <c r="CR64" s="34"/>
      <c r="CS64" s="34"/>
      <c r="CT64" s="34"/>
      <c r="CU64" s="34"/>
      <c r="CV64" s="34"/>
      <c r="CW64" s="34"/>
      <c r="CX64" s="34"/>
      <c r="CY64" s="34"/>
      <c r="CZ64" s="34"/>
      <c r="DA64" s="34"/>
      <c r="DB64" s="34"/>
      <c r="DC64" s="34"/>
      <c r="DD64" s="34"/>
      <c r="DE64" s="34"/>
      <c r="DF64" s="34"/>
      <c r="DG64" s="34"/>
      <c r="DH64" s="34"/>
      <c r="DI64" s="34"/>
      <c r="DJ64" s="34"/>
      <c r="DK64" s="34"/>
      <c r="DL64" s="34"/>
      <c r="DM64" s="34"/>
      <c r="DN64" s="34"/>
      <c r="DO64" s="34"/>
      <c r="DP64" s="34"/>
      <c r="DQ64" s="34"/>
      <c r="DR64" s="34"/>
      <c r="DS64" s="34"/>
      <c r="DT64" s="34"/>
      <c r="DU64" s="34"/>
      <c r="DV64" s="34"/>
      <c r="DW64" s="34"/>
      <c r="DX64" s="34"/>
      <c r="DY64" s="34"/>
      <c r="DZ64" s="34"/>
      <c r="EA64" s="34"/>
      <c r="EB64" s="34"/>
      <c r="EC64" s="34"/>
      <c r="ED64" s="34"/>
      <c r="EE64" s="34"/>
    </row>
    <row r="65" spans="1:135" x14ac:dyDescent="0.4">
      <c r="A65" s="29" t="str">
        <f t="shared" si="7"/>
        <v/>
      </c>
      <c r="B65" s="34"/>
      <c r="C65" s="48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  <c r="CF65" s="34"/>
      <c r="CG65" s="34"/>
      <c r="CH65" s="34"/>
      <c r="CI65" s="34"/>
      <c r="CJ65" s="34"/>
      <c r="CK65" s="34"/>
      <c r="CL65" s="34"/>
      <c r="CM65" s="34"/>
      <c r="CN65" s="34"/>
      <c r="CO65" s="34"/>
      <c r="CP65" s="34"/>
      <c r="CQ65" s="34"/>
      <c r="CR65" s="34"/>
      <c r="CS65" s="34"/>
      <c r="CT65" s="34"/>
      <c r="CU65" s="34"/>
      <c r="CV65" s="34"/>
      <c r="CW65" s="34"/>
      <c r="CX65" s="34"/>
      <c r="CY65" s="34"/>
      <c r="CZ65" s="34"/>
      <c r="DA65" s="34"/>
      <c r="DB65" s="34"/>
      <c r="DC65" s="34"/>
      <c r="DD65" s="34"/>
      <c r="DE65" s="34"/>
      <c r="DF65" s="34"/>
      <c r="DG65" s="34"/>
      <c r="DH65" s="34"/>
      <c r="DI65" s="34"/>
      <c r="DJ65" s="34"/>
      <c r="DK65" s="34"/>
      <c r="DL65" s="34"/>
      <c r="DM65" s="34"/>
      <c r="DN65" s="34"/>
      <c r="DO65" s="34"/>
      <c r="DP65" s="34"/>
      <c r="DQ65" s="34"/>
      <c r="DR65" s="34"/>
      <c r="DS65" s="34"/>
      <c r="DT65" s="34"/>
      <c r="DU65" s="34"/>
      <c r="DV65" s="34"/>
      <c r="DW65" s="34"/>
      <c r="DX65" s="34"/>
      <c r="DY65" s="34"/>
      <c r="DZ65" s="34"/>
      <c r="EA65" s="34"/>
      <c r="EB65" s="34"/>
      <c r="EC65" s="34"/>
      <c r="ED65" s="34"/>
      <c r="EE65" s="34"/>
    </row>
    <row r="66" spans="1:135" x14ac:dyDescent="0.4">
      <c r="A66" s="29" t="str">
        <f t="shared" si="7"/>
        <v/>
      </c>
      <c r="B66" s="34"/>
      <c r="C66" s="48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  <c r="CF66" s="34"/>
      <c r="CG66" s="34"/>
      <c r="CH66" s="34"/>
      <c r="CI66" s="34"/>
      <c r="CJ66" s="34"/>
      <c r="CK66" s="34"/>
      <c r="CL66" s="34"/>
      <c r="CM66" s="34"/>
      <c r="CN66" s="34"/>
      <c r="CO66" s="34"/>
      <c r="CP66" s="34"/>
      <c r="CQ66" s="34"/>
      <c r="CR66" s="34"/>
      <c r="CS66" s="34"/>
      <c r="CT66" s="34"/>
      <c r="CU66" s="34"/>
      <c r="CV66" s="34"/>
      <c r="CW66" s="34"/>
      <c r="CX66" s="34"/>
      <c r="CY66" s="34"/>
      <c r="CZ66" s="34"/>
      <c r="DA66" s="34"/>
      <c r="DB66" s="34"/>
      <c r="DC66" s="34"/>
      <c r="DD66" s="34"/>
      <c r="DE66" s="34"/>
      <c r="DF66" s="34"/>
      <c r="DG66" s="34"/>
      <c r="DH66" s="34"/>
      <c r="DI66" s="34"/>
      <c r="DJ66" s="34"/>
      <c r="DK66" s="34"/>
      <c r="DL66" s="34"/>
      <c r="DM66" s="34"/>
      <c r="DN66" s="34"/>
      <c r="DO66" s="34"/>
      <c r="DP66" s="34"/>
      <c r="DQ66" s="34"/>
      <c r="DR66" s="34"/>
      <c r="DS66" s="34"/>
      <c r="DT66" s="34"/>
      <c r="DU66" s="34"/>
      <c r="DV66" s="34"/>
      <c r="DW66" s="34"/>
      <c r="DX66" s="34"/>
      <c r="DY66" s="34"/>
      <c r="DZ66" s="34"/>
      <c r="EA66" s="34"/>
      <c r="EB66" s="34"/>
      <c r="EC66" s="34"/>
      <c r="ED66" s="34"/>
      <c r="EE66" s="34"/>
    </row>
    <row r="67" spans="1:135" x14ac:dyDescent="0.4">
      <c r="A67" s="29" t="str">
        <f t="shared" si="7"/>
        <v/>
      </c>
      <c r="B67" s="34"/>
      <c r="C67" s="48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  <c r="CF67" s="34"/>
      <c r="CG67" s="34"/>
      <c r="CH67" s="34"/>
      <c r="CI67" s="34"/>
      <c r="CJ67" s="34"/>
      <c r="CK67" s="34"/>
      <c r="CL67" s="34"/>
      <c r="CM67" s="34"/>
      <c r="CN67" s="34"/>
      <c r="CO67" s="34"/>
      <c r="CP67" s="34"/>
      <c r="CQ67" s="34"/>
      <c r="CR67" s="34"/>
      <c r="CS67" s="34"/>
      <c r="CT67" s="34"/>
      <c r="CU67" s="34"/>
      <c r="CV67" s="34"/>
      <c r="CW67" s="34"/>
      <c r="CX67" s="34"/>
      <c r="CY67" s="34"/>
      <c r="CZ67" s="34"/>
      <c r="DA67" s="34"/>
      <c r="DB67" s="34"/>
      <c r="DC67" s="34"/>
      <c r="DD67" s="34"/>
      <c r="DE67" s="34"/>
      <c r="DF67" s="34"/>
      <c r="DG67" s="34"/>
      <c r="DH67" s="34"/>
      <c r="DI67" s="34"/>
      <c r="DJ67" s="34"/>
      <c r="DK67" s="34"/>
      <c r="DL67" s="34"/>
      <c r="DM67" s="34"/>
      <c r="DN67" s="34"/>
      <c r="DO67" s="34"/>
      <c r="DP67" s="34"/>
      <c r="DQ67" s="34"/>
      <c r="DR67" s="34"/>
      <c r="DS67" s="34"/>
      <c r="DT67" s="34"/>
      <c r="DU67" s="34"/>
      <c r="DV67" s="34"/>
      <c r="DW67" s="34"/>
      <c r="DX67" s="34"/>
      <c r="DY67" s="34"/>
      <c r="DZ67" s="34"/>
      <c r="EA67" s="34"/>
      <c r="EB67" s="34"/>
      <c r="EC67" s="34"/>
      <c r="ED67" s="34"/>
      <c r="EE67" s="34"/>
    </row>
    <row r="68" spans="1:135" x14ac:dyDescent="0.4">
      <c r="A68" s="29" t="str">
        <f t="shared" si="7"/>
        <v/>
      </c>
      <c r="B68" s="34"/>
      <c r="C68" s="48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  <c r="CF68" s="34"/>
      <c r="CG68" s="34"/>
      <c r="CH68" s="34"/>
      <c r="CI68" s="34"/>
      <c r="CJ68" s="34"/>
      <c r="CK68" s="34"/>
      <c r="CL68" s="34"/>
      <c r="CM68" s="34"/>
      <c r="CN68" s="34"/>
      <c r="CO68" s="34"/>
      <c r="CP68" s="34"/>
      <c r="CQ68" s="34"/>
      <c r="CR68" s="34"/>
      <c r="CS68" s="34"/>
      <c r="CT68" s="34"/>
      <c r="CU68" s="34"/>
      <c r="CV68" s="34"/>
      <c r="CW68" s="34"/>
      <c r="CX68" s="34"/>
      <c r="CY68" s="34"/>
      <c r="CZ68" s="34"/>
      <c r="DA68" s="34"/>
      <c r="DB68" s="34"/>
      <c r="DC68" s="34"/>
      <c r="DD68" s="34"/>
      <c r="DE68" s="34"/>
      <c r="DF68" s="34"/>
      <c r="DG68" s="34"/>
      <c r="DH68" s="34"/>
      <c r="DI68" s="34"/>
      <c r="DJ68" s="34"/>
      <c r="DK68" s="34"/>
      <c r="DL68" s="34"/>
      <c r="DM68" s="34"/>
      <c r="DN68" s="34"/>
      <c r="DO68" s="34"/>
      <c r="DP68" s="34"/>
      <c r="DQ68" s="34"/>
      <c r="DR68" s="34"/>
      <c r="DS68" s="34"/>
      <c r="DT68" s="34"/>
      <c r="DU68" s="34"/>
      <c r="DV68" s="34"/>
      <c r="DW68" s="34"/>
      <c r="DX68" s="34"/>
      <c r="DY68" s="34"/>
      <c r="DZ68" s="34"/>
      <c r="EA68" s="34"/>
      <c r="EB68" s="34"/>
      <c r="EC68" s="34"/>
      <c r="ED68" s="34"/>
      <c r="EE68" s="34"/>
    </row>
    <row r="69" spans="1:135" x14ac:dyDescent="0.4">
      <c r="A69" s="29" t="str">
        <f t="shared" si="7"/>
        <v/>
      </c>
      <c r="B69" s="34"/>
      <c r="C69" s="48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  <c r="CF69" s="34"/>
      <c r="CG69" s="34"/>
      <c r="CH69" s="34"/>
      <c r="CI69" s="34"/>
      <c r="CJ69" s="34"/>
      <c r="CK69" s="34"/>
      <c r="CL69" s="34"/>
      <c r="CM69" s="34"/>
      <c r="CN69" s="34"/>
      <c r="CO69" s="34"/>
      <c r="CP69" s="34"/>
      <c r="CQ69" s="34"/>
      <c r="CR69" s="34"/>
      <c r="CS69" s="34"/>
      <c r="CT69" s="34"/>
      <c r="CU69" s="34"/>
      <c r="CV69" s="34"/>
      <c r="CW69" s="34"/>
      <c r="CX69" s="34"/>
      <c r="CY69" s="34"/>
      <c r="CZ69" s="34"/>
      <c r="DA69" s="34"/>
      <c r="DB69" s="34"/>
      <c r="DC69" s="34"/>
      <c r="DD69" s="34"/>
      <c r="DE69" s="34"/>
      <c r="DF69" s="34"/>
      <c r="DG69" s="34"/>
      <c r="DH69" s="34"/>
      <c r="DI69" s="34"/>
      <c r="DJ69" s="34"/>
      <c r="DK69" s="34"/>
      <c r="DL69" s="34"/>
      <c r="DM69" s="34"/>
      <c r="DN69" s="34"/>
      <c r="DO69" s="34"/>
      <c r="DP69" s="34"/>
      <c r="DQ69" s="34"/>
      <c r="DR69" s="34"/>
      <c r="DS69" s="34"/>
      <c r="DT69" s="34"/>
      <c r="DU69" s="34"/>
      <c r="DV69" s="34"/>
      <c r="DW69" s="34"/>
      <c r="DX69" s="34"/>
      <c r="DY69" s="34"/>
      <c r="DZ69" s="34"/>
      <c r="EA69" s="34"/>
      <c r="EB69" s="34"/>
      <c r="EC69" s="34"/>
      <c r="ED69" s="34"/>
      <c r="EE69" s="34"/>
    </row>
    <row r="70" spans="1:135" x14ac:dyDescent="0.4">
      <c r="A70" s="29" t="str">
        <f t="shared" si="7"/>
        <v/>
      </c>
      <c r="B70" s="34"/>
      <c r="C70" s="48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  <c r="CF70" s="34"/>
      <c r="CG70" s="34"/>
      <c r="CH70" s="34"/>
      <c r="CI70" s="34"/>
      <c r="CJ70" s="34"/>
      <c r="CK70" s="34"/>
      <c r="CL70" s="34"/>
      <c r="CM70" s="34"/>
      <c r="CN70" s="34"/>
      <c r="CO70" s="34"/>
      <c r="CP70" s="34"/>
      <c r="CQ70" s="34"/>
      <c r="CR70" s="34"/>
      <c r="CS70" s="34"/>
      <c r="CT70" s="34"/>
      <c r="CU70" s="34"/>
      <c r="CV70" s="34"/>
      <c r="CW70" s="34"/>
      <c r="CX70" s="34"/>
      <c r="CY70" s="34"/>
      <c r="CZ70" s="34"/>
      <c r="DA70" s="34"/>
      <c r="DB70" s="34"/>
      <c r="DC70" s="34"/>
      <c r="DD70" s="34"/>
      <c r="DE70" s="34"/>
      <c r="DF70" s="34"/>
      <c r="DG70" s="34"/>
      <c r="DH70" s="34"/>
      <c r="DI70" s="34"/>
      <c r="DJ70" s="34"/>
      <c r="DK70" s="34"/>
      <c r="DL70" s="34"/>
      <c r="DM70" s="34"/>
      <c r="DN70" s="34"/>
      <c r="DO70" s="34"/>
      <c r="DP70" s="34"/>
      <c r="DQ70" s="34"/>
      <c r="DR70" s="34"/>
      <c r="DS70" s="34"/>
      <c r="DT70" s="34"/>
      <c r="DU70" s="34"/>
      <c r="DV70" s="34"/>
      <c r="DW70" s="34"/>
      <c r="DX70" s="34"/>
      <c r="DY70" s="34"/>
      <c r="DZ70" s="34"/>
      <c r="EA70" s="34"/>
      <c r="EB70" s="34"/>
      <c r="EC70" s="34"/>
      <c r="ED70" s="34"/>
      <c r="EE70" s="34"/>
    </row>
    <row r="71" spans="1:135" x14ac:dyDescent="0.4">
      <c r="A71" s="29" t="str">
        <f t="shared" si="7"/>
        <v/>
      </c>
      <c r="B71" s="34"/>
      <c r="C71" s="48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  <c r="AG71" s="34"/>
      <c r="AH71" s="34"/>
      <c r="AI71" s="34"/>
      <c r="AJ71" s="34"/>
      <c r="AK71" s="34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  <c r="CF71" s="34"/>
      <c r="CG71" s="34"/>
      <c r="CH71" s="34"/>
      <c r="CI71" s="34"/>
      <c r="CJ71" s="34"/>
      <c r="CK71" s="34"/>
      <c r="CL71" s="34"/>
      <c r="CM71" s="34"/>
      <c r="CN71" s="34"/>
      <c r="CO71" s="34"/>
      <c r="CP71" s="34"/>
      <c r="CQ71" s="34"/>
      <c r="CR71" s="34"/>
      <c r="CS71" s="34"/>
      <c r="CT71" s="34"/>
      <c r="CU71" s="34"/>
      <c r="CV71" s="34"/>
      <c r="CW71" s="34"/>
      <c r="CX71" s="34"/>
      <c r="CY71" s="34"/>
      <c r="CZ71" s="34"/>
      <c r="DA71" s="34"/>
      <c r="DB71" s="34"/>
      <c r="DC71" s="34"/>
      <c r="DD71" s="34"/>
      <c r="DE71" s="34"/>
      <c r="DF71" s="34"/>
      <c r="DG71" s="34"/>
      <c r="DH71" s="34"/>
      <c r="DI71" s="34"/>
      <c r="DJ71" s="34"/>
      <c r="DK71" s="34"/>
      <c r="DL71" s="34"/>
      <c r="DM71" s="34"/>
      <c r="DN71" s="34"/>
      <c r="DO71" s="34"/>
      <c r="DP71" s="34"/>
      <c r="DQ71" s="34"/>
      <c r="DR71" s="34"/>
      <c r="DS71" s="34"/>
      <c r="DT71" s="34"/>
      <c r="DU71" s="34"/>
      <c r="DV71" s="34"/>
      <c r="DW71" s="34"/>
      <c r="DX71" s="34"/>
      <c r="DY71" s="34"/>
      <c r="DZ71" s="34"/>
      <c r="EA71" s="34"/>
      <c r="EB71" s="34"/>
      <c r="EC71" s="34"/>
      <c r="ED71" s="34"/>
      <c r="EE71" s="34"/>
    </row>
    <row r="72" spans="1:135" x14ac:dyDescent="0.4">
      <c r="A72" s="29" t="str">
        <f t="shared" si="7"/>
        <v/>
      </c>
      <c r="B72" s="34"/>
      <c r="C72" s="48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34"/>
      <c r="AK72" s="34"/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  <c r="CE72" s="34"/>
      <c r="CF72" s="34"/>
      <c r="CG72" s="34"/>
      <c r="CH72" s="34"/>
      <c r="CI72" s="34"/>
      <c r="CJ72" s="34"/>
      <c r="CK72" s="34"/>
      <c r="CL72" s="34"/>
      <c r="CM72" s="34"/>
      <c r="CN72" s="34"/>
      <c r="CO72" s="34"/>
      <c r="CP72" s="34"/>
      <c r="CQ72" s="34"/>
      <c r="CR72" s="34"/>
      <c r="CS72" s="34"/>
      <c r="CT72" s="34"/>
      <c r="CU72" s="34"/>
      <c r="CV72" s="34"/>
      <c r="CW72" s="34"/>
      <c r="CX72" s="34"/>
      <c r="CY72" s="34"/>
      <c r="CZ72" s="34"/>
      <c r="DA72" s="34"/>
      <c r="DB72" s="34"/>
      <c r="DC72" s="34"/>
      <c r="DD72" s="34"/>
      <c r="DE72" s="34"/>
      <c r="DF72" s="34"/>
      <c r="DG72" s="34"/>
      <c r="DH72" s="34"/>
      <c r="DI72" s="34"/>
      <c r="DJ72" s="34"/>
      <c r="DK72" s="34"/>
      <c r="DL72" s="34"/>
      <c r="DM72" s="34"/>
      <c r="DN72" s="34"/>
      <c r="DO72" s="34"/>
      <c r="DP72" s="34"/>
      <c r="DQ72" s="34"/>
      <c r="DR72" s="34"/>
      <c r="DS72" s="34"/>
      <c r="DT72" s="34"/>
      <c r="DU72" s="34"/>
      <c r="DV72" s="34"/>
      <c r="DW72" s="34"/>
      <c r="DX72" s="34"/>
      <c r="DY72" s="34"/>
      <c r="DZ72" s="34"/>
      <c r="EA72" s="34"/>
      <c r="EB72" s="34"/>
      <c r="EC72" s="34"/>
      <c r="ED72" s="34"/>
      <c r="EE72" s="34"/>
    </row>
    <row r="73" spans="1:135" x14ac:dyDescent="0.4">
      <c r="A73" s="29" t="str">
        <f t="shared" ref="A73:A136" si="134">IF(ISBLANK(C73), "", C73)</f>
        <v/>
      </c>
      <c r="B73" s="34"/>
      <c r="C73" s="48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  <c r="AG73" s="34"/>
      <c r="AH73" s="34"/>
      <c r="AI73" s="34"/>
      <c r="AJ73" s="34"/>
      <c r="AK73" s="34"/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  <c r="CF73" s="34"/>
      <c r="CG73" s="34"/>
      <c r="CH73" s="34"/>
      <c r="CI73" s="34"/>
      <c r="CJ73" s="34"/>
      <c r="CK73" s="34"/>
      <c r="CL73" s="34"/>
      <c r="CM73" s="34"/>
      <c r="CN73" s="34"/>
      <c r="CO73" s="34"/>
      <c r="CP73" s="34"/>
      <c r="CQ73" s="34"/>
      <c r="CR73" s="34"/>
      <c r="CS73" s="34"/>
      <c r="CT73" s="34"/>
      <c r="CU73" s="34"/>
      <c r="CV73" s="34"/>
      <c r="CW73" s="34"/>
      <c r="CX73" s="34"/>
      <c r="CY73" s="34"/>
      <c r="CZ73" s="34"/>
      <c r="DA73" s="34"/>
      <c r="DB73" s="34"/>
      <c r="DC73" s="34"/>
      <c r="DD73" s="34"/>
      <c r="DE73" s="34"/>
      <c r="DF73" s="34"/>
      <c r="DG73" s="34"/>
      <c r="DH73" s="34"/>
      <c r="DI73" s="34"/>
      <c r="DJ73" s="34"/>
      <c r="DK73" s="34"/>
      <c r="DL73" s="34"/>
      <c r="DM73" s="34"/>
      <c r="DN73" s="34"/>
      <c r="DO73" s="34"/>
      <c r="DP73" s="34"/>
      <c r="DQ73" s="34"/>
      <c r="DR73" s="34"/>
      <c r="DS73" s="34"/>
      <c r="DT73" s="34"/>
      <c r="DU73" s="34"/>
      <c r="DV73" s="34"/>
      <c r="DW73" s="34"/>
      <c r="DX73" s="34"/>
      <c r="DY73" s="34"/>
      <c r="DZ73" s="34"/>
      <c r="EA73" s="34"/>
      <c r="EB73" s="34"/>
      <c r="EC73" s="34"/>
      <c r="ED73" s="34"/>
      <c r="EE73" s="34"/>
    </row>
    <row r="74" spans="1:135" x14ac:dyDescent="0.4">
      <c r="A74" s="29" t="str">
        <f t="shared" si="134"/>
        <v/>
      </c>
      <c r="B74" s="34"/>
      <c r="C74" s="48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  <c r="AG74" s="34"/>
      <c r="AH74" s="34"/>
      <c r="AI74" s="34"/>
      <c r="AJ74" s="34"/>
      <c r="AK74" s="34"/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  <c r="CF74" s="34"/>
      <c r="CG74" s="34"/>
      <c r="CH74" s="34"/>
      <c r="CI74" s="34"/>
      <c r="CJ74" s="34"/>
      <c r="CK74" s="34"/>
      <c r="CL74" s="34"/>
      <c r="CM74" s="34"/>
      <c r="CN74" s="34"/>
      <c r="CO74" s="34"/>
      <c r="CP74" s="34"/>
      <c r="CQ74" s="34"/>
      <c r="CR74" s="34"/>
      <c r="CS74" s="34"/>
      <c r="CT74" s="34"/>
      <c r="CU74" s="34"/>
      <c r="CV74" s="34"/>
      <c r="CW74" s="34"/>
      <c r="CX74" s="34"/>
      <c r="CY74" s="34"/>
      <c r="CZ74" s="34"/>
      <c r="DA74" s="34"/>
      <c r="DB74" s="34"/>
      <c r="DC74" s="34"/>
      <c r="DD74" s="34"/>
      <c r="DE74" s="34"/>
      <c r="DF74" s="34"/>
      <c r="DG74" s="34"/>
      <c r="DH74" s="34"/>
      <c r="DI74" s="34"/>
      <c r="DJ74" s="34"/>
      <c r="DK74" s="34"/>
      <c r="DL74" s="34"/>
      <c r="DM74" s="34"/>
      <c r="DN74" s="34"/>
      <c r="DO74" s="34"/>
      <c r="DP74" s="34"/>
      <c r="DQ74" s="34"/>
      <c r="DR74" s="34"/>
      <c r="DS74" s="34"/>
      <c r="DT74" s="34"/>
      <c r="DU74" s="34"/>
      <c r="DV74" s="34"/>
      <c r="DW74" s="34"/>
      <c r="DX74" s="34"/>
      <c r="DY74" s="34"/>
      <c r="DZ74" s="34"/>
      <c r="EA74" s="34"/>
      <c r="EB74" s="34"/>
      <c r="EC74" s="34"/>
      <c r="ED74" s="34"/>
      <c r="EE74" s="34"/>
    </row>
    <row r="75" spans="1:135" x14ac:dyDescent="0.4">
      <c r="A75" s="29" t="str">
        <f t="shared" si="134"/>
        <v/>
      </c>
      <c r="B75" s="34"/>
      <c r="C75" s="48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  <c r="AG75" s="34"/>
      <c r="AH75" s="34"/>
      <c r="AI75" s="34"/>
      <c r="AJ75" s="34"/>
      <c r="AK75" s="34"/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  <c r="CF75" s="34"/>
      <c r="CG75" s="34"/>
      <c r="CH75" s="34"/>
      <c r="CI75" s="34"/>
      <c r="CJ75" s="34"/>
      <c r="CK75" s="34"/>
      <c r="CL75" s="34"/>
      <c r="CM75" s="34"/>
      <c r="CN75" s="34"/>
      <c r="CO75" s="34"/>
      <c r="CP75" s="34"/>
      <c r="CQ75" s="34"/>
      <c r="CR75" s="34"/>
      <c r="CS75" s="34"/>
      <c r="CT75" s="34"/>
      <c r="CU75" s="34"/>
      <c r="CV75" s="34"/>
      <c r="CW75" s="34"/>
      <c r="CX75" s="34"/>
      <c r="CY75" s="34"/>
      <c r="CZ75" s="34"/>
      <c r="DA75" s="34"/>
      <c r="DB75" s="34"/>
      <c r="DC75" s="34"/>
      <c r="DD75" s="34"/>
      <c r="DE75" s="34"/>
      <c r="DF75" s="34"/>
      <c r="DG75" s="34"/>
      <c r="DH75" s="34"/>
      <c r="DI75" s="34"/>
      <c r="DJ75" s="34"/>
      <c r="DK75" s="34"/>
      <c r="DL75" s="34"/>
      <c r="DM75" s="34"/>
      <c r="DN75" s="34"/>
      <c r="DO75" s="34"/>
      <c r="DP75" s="34"/>
      <c r="DQ75" s="34"/>
      <c r="DR75" s="34"/>
      <c r="DS75" s="34"/>
      <c r="DT75" s="34"/>
      <c r="DU75" s="34"/>
      <c r="DV75" s="34"/>
      <c r="DW75" s="34"/>
      <c r="DX75" s="34"/>
      <c r="DY75" s="34"/>
      <c r="DZ75" s="34"/>
      <c r="EA75" s="34"/>
      <c r="EB75" s="34"/>
      <c r="EC75" s="34"/>
      <c r="ED75" s="34"/>
      <c r="EE75" s="34"/>
    </row>
    <row r="76" spans="1:135" x14ac:dyDescent="0.4">
      <c r="A76" s="29" t="str">
        <f t="shared" si="134"/>
        <v/>
      </c>
      <c r="B76" s="34"/>
      <c r="C76" s="48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  <c r="AG76" s="34"/>
      <c r="AH76" s="34"/>
      <c r="AI76" s="34"/>
      <c r="AJ76" s="34"/>
      <c r="AK76" s="34"/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  <c r="CF76" s="34"/>
      <c r="CG76" s="34"/>
      <c r="CH76" s="34"/>
      <c r="CI76" s="34"/>
      <c r="CJ76" s="34"/>
      <c r="CK76" s="34"/>
      <c r="CL76" s="34"/>
      <c r="CM76" s="34"/>
      <c r="CN76" s="34"/>
      <c r="CO76" s="34"/>
      <c r="CP76" s="34"/>
      <c r="CQ76" s="34"/>
      <c r="CR76" s="34"/>
      <c r="CS76" s="34"/>
      <c r="CT76" s="34"/>
      <c r="CU76" s="34"/>
      <c r="CV76" s="34"/>
      <c r="CW76" s="34"/>
      <c r="CX76" s="34"/>
      <c r="CY76" s="34"/>
      <c r="CZ76" s="34"/>
      <c r="DA76" s="34"/>
      <c r="DB76" s="34"/>
      <c r="DC76" s="34"/>
      <c r="DD76" s="34"/>
      <c r="DE76" s="34"/>
      <c r="DF76" s="34"/>
      <c r="DG76" s="34"/>
      <c r="DH76" s="34"/>
      <c r="DI76" s="34"/>
      <c r="DJ76" s="34"/>
      <c r="DK76" s="34"/>
      <c r="DL76" s="34"/>
      <c r="DM76" s="34"/>
      <c r="DN76" s="34"/>
      <c r="DO76" s="34"/>
      <c r="DP76" s="34"/>
      <c r="DQ76" s="34"/>
      <c r="DR76" s="34"/>
      <c r="DS76" s="34"/>
      <c r="DT76" s="34"/>
      <c r="DU76" s="34"/>
      <c r="DV76" s="34"/>
      <c r="DW76" s="34"/>
      <c r="DX76" s="34"/>
      <c r="DY76" s="34"/>
      <c r="DZ76" s="34"/>
      <c r="EA76" s="34"/>
      <c r="EB76" s="34"/>
      <c r="EC76" s="34"/>
      <c r="ED76" s="34"/>
      <c r="EE76" s="34"/>
    </row>
    <row r="77" spans="1:135" x14ac:dyDescent="0.4">
      <c r="A77" s="29" t="str">
        <f t="shared" si="134"/>
        <v/>
      </c>
      <c r="B77" s="34"/>
      <c r="C77" s="48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  <c r="AG77" s="34"/>
      <c r="AH77" s="34"/>
      <c r="AI77" s="34"/>
      <c r="AJ77" s="34"/>
      <c r="AK77" s="34"/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  <c r="CE77" s="34"/>
      <c r="CF77" s="34"/>
      <c r="CG77" s="34"/>
      <c r="CH77" s="34"/>
      <c r="CI77" s="34"/>
      <c r="CJ77" s="34"/>
      <c r="CK77" s="34"/>
      <c r="CL77" s="34"/>
      <c r="CM77" s="34"/>
      <c r="CN77" s="34"/>
      <c r="CO77" s="34"/>
      <c r="CP77" s="34"/>
      <c r="CQ77" s="34"/>
      <c r="CR77" s="34"/>
      <c r="CS77" s="34"/>
      <c r="CT77" s="34"/>
      <c r="CU77" s="34"/>
      <c r="CV77" s="34"/>
      <c r="CW77" s="34"/>
      <c r="CX77" s="34"/>
      <c r="CY77" s="34"/>
      <c r="CZ77" s="34"/>
      <c r="DA77" s="34"/>
      <c r="DB77" s="34"/>
      <c r="DC77" s="34"/>
      <c r="DD77" s="34"/>
      <c r="DE77" s="34"/>
      <c r="DF77" s="34"/>
      <c r="DG77" s="34"/>
      <c r="DH77" s="34"/>
      <c r="DI77" s="34"/>
      <c r="DJ77" s="34"/>
      <c r="DK77" s="34"/>
      <c r="DL77" s="34"/>
      <c r="DM77" s="34"/>
      <c r="DN77" s="34"/>
      <c r="DO77" s="34"/>
      <c r="DP77" s="34"/>
      <c r="DQ77" s="34"/>
      <c r="DR77" s="34"/>
      <c r="DS77" s="34"/>
      <c r="DT77" s="34"/>
      <c r="DU77" s="34"/>
      <c r="DV77" s="34"/>
      <c r="DW77" s="34"/>
      <c r="DX77" s="34"/>
      <c r="DY77" s="34"/>
      <c r="DZ77" s="34"/>
      <c r="EA77" s="34"/>
      <c r="EB77" s="34"/>
      <c r="EC77" s="34"/>
      <c r="ED77" s="34"/>
      <c r="EE77" s="34"/>
    </row>
    <row r="78" spans="1:135" x14ac:dyDescent="0.4">
      <c r="A78" s="29" t="str">
        <f t="shared" si="134"/>
        <v/>
      </c>
      <c r="B78" s="34"/>
      <c r="C78" s="48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  <c r="AG78" s="34"/>
      <c r="AH78" s="34"/>
      <c r="AI78" s="34"/>
      <c r="AJ78" s="34"/>
      <c r="AK78" s="34"/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  <c r="CF78" s="34"/>
      <c r="CG78" s="34"/>
      <c r="CH78" s="34"/>
      <c r="CI78" s="34"/>
      <c r="CJ78" s="34"/>
      <c r="CK78" s="34"/>
      <c r="CL78" s="34"/>
      <c r="CM78" s="34"/>
      <c r="CN78" s="34"/>
      <c r="CO78" s="34"/>
      <c r="CP78" s="34"/>
      <c r="CQ78" s="34"/>
      <c r="CR78" s="34"/>
      <c r="CS78" s="34"/>
      <c r="CT78" s="34"/>
      <c r="CU78" s="34"/>
      <c r="CV78" s="34"/>
      <c r="CW78" s="34"/>
      <c r="CX78" s="34"/>
      <c r="CY78" s="34"/>
      <c r="CZ78" s="34"/>
      <c r="DA78" s="34"/>
      <c r="DB78" s="34"/>
      <c r="DC78" s="34"/>
      <c r="DD78" s="34"/>
      <c r="DE78" s="34"/>
      <c r="DF78" s="34"/>
      <c r="DG78" s="34"/>
      <c r="DH78" s="34"/>
      <c r="DI78" s="34"/>
      <c r="DJ78" s="34"/>
      <c r="DK78" s="34"/>
      <c r="DL78" s="34"/>
      <c r="DM78" s="34"/>
      <c r="DN78" s="34"/>
      <c r="DO78" s="34"/>
      <c r="DP78" s="34"/>
      <c r="DQ78" s="34"/>
      <c r="DR78" s="34"/>
      <c r="DS78" s="34"/>
      <c r="DT78" s="34"/>
      <c r="DU78" s="34"/>
      <c r="DV78" s="34"/>
      <c r="DW78" s="34"/>
      <c r="DX78" s="34"/>
      <c r="DY78" s="34"/>
      <c r="DZ78" s="34"/>
      <c r="EA78" s="34"/>
      <c r="EB78" s="34"/>
      <c r="EC78" s="34"/>
      <c r="ED78" s="34"/>
      <c r="EE78" s="34"/>
    </row>
    <row r="79" spans="1:135" x14ac:dyDescent="0.4">
      <c r="A79" s="29" t="str">
        <f t="shared" si="134"/>
        <v/>
      </c>
      <c r="B79" s="34"/>
      <c r="C79" s="48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  <c r="AG79" s="34"/>
      <c r="AH79" s="34"/>
      <c r="AI79" s="34"/>
      <c r="AJ79" s="34"/>
      <c r="AK79" s="34"/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  <c r="CF79" s="34"/>
      <c r="CG79" s="34"/>
      <c r="CH79" s="34"/>
      <c r="CI79" s="34"/>
      <c r="CJ79" s="34"/>
      <c r="CK79" s="34"/>
      <c r="CL79" s="34"/>
      <c r="CM79" s="34"/>
      <c r="CN79" s="34"/>
      <c r="CO79" s="34"/>
      <c r="CP79" s="34"/>
      <c r="CQ79" s="34"/>
      <c r="CR79" s="34"/>
      <c r="CS79" s="34"/>
      <c r="CT79" s="34"/>
      <c r="CU79" s="34"/>
      <c r="CV79" s="34"/>
      <c r="CW79" s="34"/>
      <c r="CX79" s="34"/>
      <c r="CY79" s="34"/>
      <c r="CZ79" s="34"/>
      <c r="DA79" s="34"/>
      <c r="DB79" s="34"/>
      <c r="DC79" s="34"/>
      <c r="DD79" s="34"/>
      <c r="DE79" s="34"/>
      <c r="DF79" s="34"/>
      <c r="DG79" s="34"/>
      <c r="DH79" s="34"/>
      <c r="DI79" s="34"/>
      <c r="DJ79" s="34"/>
      <c r="DK79" s="34"/>
      <c r="DL79" s="34"/>
      <c r="DM79" s="34"/>
      <c r="DN79" s="34"/>
      <c r="DO79" s="34"/>
      <c r="DP79" s="34"/>
      <c r="DQ79" s="34"/>
      <c r="DR79" s="34"/>
      <c r="DS79" s="34"/>
      <c r="DT79" s="34"/>
      <c r="DU79" s="34"/>
      <c r="DV79" s="34"/>
      <c r="DW79" s="34"/>
      <c r="DX79" s="34"/>
      <c r="DY79" s="34"/>
      <c r="DZ79" s="34"/>
      <c r="EA79" s="34"/>
      <c r="EB79" s="34"/>
      <c r="EC79" s="34"/>
      <c r="ED79" s="34"/>
      <c r="EE79" s="34"/>
    </row>
    <row r="80" spans="1:135" x14ac:dyDescent="0.4">
      <c r="A80" s="29" t="str">
        <f t="shared" si="134"/>
        <v/>
      </c>
      <c r="B80" s="34"/>
      <c r="C80" s="48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  <c r="AG80" s="34"/>
      <c r="AH80" s="34"/>
      <c r="AI80" s="34"/>
      <c r="AJ80" s="34"/>
      <c r="AK80" s="34"/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  <c r="CF80" s="34"/>
      <c r="CG80" s="34"/>
      <c r="CH80" s="34"/>
      <c r="CI80" s="34"/>
      <c r="CJ80" s="34"/>
      <c r="CK80" s="34"/>
      <c r="CL80" s="34"/>
      <c r="CM80" s="34"/>
      <c r="CN80" s="34"/>
      <c r="CO80" s="34"/>
      <c r="CP80" s="34"/>
      <c r="CQ80" s="34"/>
      <c r="CR80" s="34"/>
      <c r="CS80" s="34"/>
      <c r="CT80" s="34"/>
      <c r="CU80" s="34"/>
      <c r="CV80" s="34"/>
      <c r="CW80" s="34"/>
      <c r="CX80" s="34"/>
      <c r="CY80" s="34"/>
      <c r="CZ80" s="34"/>
      <c r="DA80" s="34"/>
      <c r="DB80" s="34"/>
      <c r="DC80" s="34"/>
      <c r="DD80" s="34"/>
      <c r="DE80" s="34"/>
      <c r="DF80" s="34"/>
      <c r="DG80" s="34"/>
      <c r="DH80" s="34"/>
      <c r="DI80" s="34"/>
      <c r="DJ80" s="34"/>
      <c r="DK80" s="34"/>
      <c r="DL80" s="34"/>
      <c r="DM80" s="34"/>
      <c r="DN80" s="34"/>
      <c r="DO80" s="34"/>
      <c r="DP80" s="34"/>
      <c r="DQ80" s="34"/>
      <c r="DR80" s="34"/>
      <c r="DS80" s="34"/>
      <c r="DT80" s="34"/>
      <c r="DU80" s="34"/>
      <c r="DV80" s="34"/>
      <c r="DW80" s="34"/>
      <c r="DX80" s="34"/>
      <c r="DY80" s="34"/>
      <c r="DZ80" s="34"/>
      <c r="EA80" s="34"/>
      <c r="EB80" s="34"/>
      <c r="EC80" s="34"/>
      <c r="ED80" s="34"/>
      <c r="EE80" s="34"/>
    </row>
    <row r="81" spans="1:135" x14ac:dyDescent="0.4">
      <c r="A81" s="29" t="str">
        <f t="shared" si="134"/>
        <v/>
      </c>
      <c r="B81" s="34"/>
      <c r="C81" s="48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  <c r="AG81" s="34"/>
      <c r="AH81" s="34"/>
      <c r="AI81" s="34"/>
      <c r="AJ81" s="34"/>
      <c r="AK81" s="34"/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  <c r="CE81" s="34"/>
      <c r="CF81" s="34"/>
      <c r="CG81" s="34"/>
      <c r="CH81" s="34"/>
      <c r="CI81" s="34"/>
      <c r="CJ81" s="34"/>
      <c r="CK81" s="34"/>
      <c r="CL81" s="34"/>
      <c r="CM81" s="34"/>
      <c r="CN81" s="34"/>
      <c r="CO81" s="34"/>
      <c r="CP81" s="34"/>
      <c r="CQ81" s="34"/>
      <c r="CR81" s="34"/>
      <c r="CS81" s="34"/>
      <c r="CT81" s="34"/>
      <c r="CU81" s="34"/>
      <c r="CV81" s="34"/>
      <c r="CW81" s="34"/>
      <c r="CX81" s="34"/>
      <c r="CY81" s="34"/>
      <c r="CZ81" s="34"/>
      <c r="DA81" s="34"/>
      <c r="DB81" s="34"/>
      <c r="DC81" s="34"/>
      <c r="DD81" s="34"/>
      <c r="DE81" s="34"/>
      <c r="DF81" s="34"/>
      <c r="DG81" s="34"/>
      <c r="DH81" s="34"/>
      <c r="DI81" s="34"/>
      <c r="DJ81" s="34"/>
      <c r="DK81" s="34"/>
      <c r="DL81" s="34"/>
      <c r="DM81" s="34"/>
      <c r="DN81" s="34"/>
      <c r="DO81" s="34"/>
      <c r="DP81" s="34"/>
      <c r="DQ81" s="34"/>
      <c r="DR81" s="34"/>
      <c r="DS81" s="34"/>
      <c r="DT81" s="34"/>
      <c r="DU81" s="34"/>
      <c r="DV81" s="34"/>
      <c r="DW81" s="34"/>
      <c r="DX81" s="34"/>
      <c r="DY81" s="34"/>
      <c r="DZ81" s="34"/>
      <c r="EA81" s="34"/>
      <c r="EB81" s="34"/>
      <c r="EC81" s="34"/>
      <c r="ED81" s="34"/>
      <c r="EE81" s="34"/>
    </row>
    <row r="82" spans="1:135" x14ac:dyDescent="0.4">
      <c r="A82" s="29" t="str">
        <f t="shared" si="134"/>
        <v/>
      </c>
      <c r="B82" s="34"/>
      <c r="C82" s="48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  <c r="AG82" s="34"/>
      <c r="AH82" s="34"/>
      <c r="AI82" s="34"/>
      <c r="AJ82" s="34"/>
      <c r="AK82" s="34"/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  <c r="CE82" s="34"/>
      <c r="CF82" s="34"/>
      <c r="CG82" s="34"/>
      <c r="CH82" s="34"/>
      <c r="CI82" s="34"/>
      <c r="CJ82" s="34"/>
      <c r="CK82" s="34"/>
      <c r="CL82" s="34"/>
      <c r="CM82" s="34"/>
      <c r="CN82" s="34"/>
      <c r="CO82" s="34"/>
      <c r="CP82" s="34"/>
      <c r="CQ82" s="34"/>
      <c r="CR82" s="34"/>
      <c r="CS82" s="34"/>
      <c r="CT82" s="34"/>
      <c r="CU82" s="34"/>
      <c r="CV82" s="34"/>
      <c r="CW82" s="34"/>
      <c r="CX82" s="34"/>
      <c r="CY82" s="34"/>
      <c r="CZ82" s="34"/>
      <c r="DA82" s="34"/>
      <c r="DB82" s="34"/>
      <c r="DC82" s="34"/>
      <c r="DD82" s="34"/>
      <c r="DE82" s="34"/>
      <c r="DF82" s="34"/>
      <c r="DG82" s="34"/>
      <c r="DH82" s="34"/>
      <c r="DI82" s="34"/>
      <c r="DJ82" s="34"/>
      <c r="DK82" s="34"/>
      <c r="DL82" s="34"/>
      <c r="DM82" s="34"/>
      <c r="DN82" s="34"/>
      <c r="DO82" s="34"/>
      <c r="DP82" s="34"/>
      <c r="DQ82" s="34"/>
      <c r="DR82" s="34"/>
      <c r="DS82" s="34"/>
      <c r="DT82" s="34"/>
      <c r="DU82" s="34"/>
      <c r="DV82" s="34"/>
      <c r="DW82" s="34"/>
      <c r="DX82" s="34"/>
      <c r="DY82" s="34"/>
      <c r="DZ82" s="34"/>
      <c r="EA82" s="34"/>
      <c r="EB82" s="34"/>
      <c r="EC82" s="34"/>
      <c r="ED82" s="34"/>
      <c r="EE82" s="34"/>
    </row>
    <row r="83" spans="1:135" x14ac:dyDescent="0.4">
      <c r="A83" s="29" t="str">
        <f t="shared" si="134"/>
        <v/>
      </c>
      <c r="B83" s="34"/>
      <c r="C83" s="48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  <c r="AG83" s="34"/>
      <c r="AH83" s="34"/>
      <c r="AI83" s="34"/>
      <c r="AJ83" s="34"/>
      <c r="AK83" s="34"/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  <c r="CE83" s="34"/>
      <c r="CF83" s="34"/>
      <c r="CG83" s="34"/>
      <c r="CH83" s="34"/>
      <c r="CI83" s="34"/>
      <c r="CJ83" s="34"/>
      <c r="CK83" s="34"/>
      <c r="CL83" s="34"/>
      <c r="CM83" s="34"/>
      <c r="CN83" s="34"/>
      <c r="CO83" s="34"/>
      <c r="CP83" s="34"/>
      <c r="CQ83" s="34"/>
      <c r="CR83" s="34"/>
      <c r="CS83" s="34"/>
      <c r="CT83" s="34"/>
      <c r="CU83" s="34"/>
      <c r="CV83" s="34"/>
      <c r="CW83" s="34"/>
      <c r="CX83" s="34"/>
      <c r="CY83" s="34"/>
      <c r="CZ83" s="34"/>
      <c r="DA83" s="34"/>
      <c r="DB83" s="34"/>
      <c r="DC83" s="34"/>
      <c r="DD83" s="34"/>
      <c r="DE83" s="34"/>
      <c r="DF83" s="34"/>
      <c r="DG83" s="34"/>
      <c r="DH83" s="34"/>
      <c r="DI83" s="34"/>
      <c r="DJ83" s="34"/>
      <c r="DK83" s="34"/>
      <c r="DL83" s="34"/>
      <c r="DM83" s="34"/>
      <c r="DN83" s="34"/>
      <c r="DO83" s="34"/>
      <c r="DP83" s="34"/>
      <c r="DQ83" s="34"/>
      <c r="DR83" s="34"/>
      <c r="DS83" s="34"/>
      <c r="DT83" s="34"/>
      <c r="DU83" s="34"/>
      <c r="DV83" s="34"/>
      <c r="DW83" s="34"/>
      <c r="DX83" s="34"/>
      <c r="DY83" s="34"/>
      <c r="DZ83" s="34"/>
      <c r="EA83" s="34"/>
      <c r="EB83" s="34"/>
      <c r="EC83" s="34"/>
      <c r="ED83" s="34"/>
      <c r="EE83" s="34"/>
    </row>
    <row r="84" spans="1:135" x14ac:dyDescent="0.4">
      <c r="A84" s="29" t="str">
        <f t="shared" si="134"/>
        <v/>
      </c>
      <c r="B84" s="34"/>
      <c r="C84" s="48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  <c r="AG84" s="34"/>
      <c r="AH84" s="34"/>
      <c r="AI84" s="34"/>
      <c r="AJ84" s="34"/>
      <c r="AK84" s="34"/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  <c r="CF84" s="34"/>
      <c r="CG84" s="34"/>
      <c r="CH84" s="34"/>
      <c r="CI84" s="34"/>
      <c r="CJ84" s="34"/>
      <c r="CK84" s="34"/>
      <c r="CL84" s="34"/>
      <c r="CM84" s="34"/>
      <c r="CN84" s="34"/>
      <c r="CO84" s="34"/>
      <c r="CP84" s="34"/>
      <c r="CQ84" s="34"/>
      <c r="CR84" s="34"/>
      <c r="CS84" s="34"/>
      <c r="CT84" s="34"/>
      <c r="CU84" s="34"/>
      <c r="CV84" s="34"/>
      <c r="CW84" s="34"/>
      <c r="CX84" s="34"/>
      <c r="CY84" s="34"/>
      <c r="CZ84" s="34"/>
      <c r="DA84" s="34"/>
      <c r="DB84" s="34"/>
      <c r="DC84" s="34"/>
      <c r="DD84" s="34"/>
      <c r="DE84" s="34"/>
      <c r="DF84" s="34"/>
      <c r="DG84" s="34"/>
      <c r="DH84" s="34"/>
      <c r="DI84" s="34"/>
      <c r="DJ84" s="34"/>
      <c r="DK84" s="34"/>
      <c r="DL84" s="34"/>
      <c r="DM84" s="34"/>
      <c r="DN84" s="34"/>
      <c r="DO84" s="34"/>
      <c r="DP84" s="34"/>
      <c r="DQ84" s="34"/>
      <c r="DR84" s="34"/>
      <c r="DS84" s="34"/>
      <c r="DT84" s="34"/>
      <c r="DU84" s="34"/>
      <c r="DV84" s="34"/>
      <c r="DW84" s="34"/>
      <c r="DX84" s="34"/>
      <c r="DY84" s="34"/>
      <c r="DZ84" s="34"/>
      <c r="EA84" s="34"/>
      <c r="EB84" s="34"/>
      <c r="EC84" s="34"/>
      <c r="ED84" s="34"/>
      <c r="EE84" s="34"/>
    </row>
    <row r="85" spans="1:135" x14ac:dyDescent="0.4">
      <c r="A85" s="29" t="str">
        <f t="shared" si="134"/>
        <v/>
      </c>
      <c r="B85" s="34"/>
      <c r="C85" s="48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  <c r="AG85" s="34"/>
      <c r="AH85" s="34"/>
      <c r="AI85" s="34"/>
      <c r="AJ85" s="34"/>
      <c r="AK85" s="34"/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  <c r="CE85" s="34"/>
      <c r="CF85" s="34"/>
      <c r="CG85" s="34"/>
      <c r="CH85" s="34"/>
      <c r="CI85" s="34"/>
      <c r="CJ85" s="34"/>
      <c r="CK85" s="34"/>
      <c r="CL85" s="34"/>
      <c r="CM85" s="34"/>
      <c r="CN85" s="34"/>
      <c r="CO85" s="34"/>
      <c r="CP85" s="34"/>
      <c r="CQ85" s="34"/>
      <c r="CR85" s="34"/>
      <c r="CS85" s="34"/>
      <c r="CT85" s="34"/>
      <c r="CU85" s="34"/>
      <c r="CV85" s="34"/>
      <c r="CW85" s="34"/>
      <c r="CX85" s="34"/>
      <c r="CY85" s="34"/>
      <c r="CZ85" s="34"/>
      <c r="DA85" s="34"/>
      <c r="DB85" s="34"/>
      <c r="DC85" s="34"/>
      <c r="DD85" s="34"/>
      <c r="DE85" s="34"/>
      <c r="DF85" s="34"/>
      <c r="DG85" s="34"/>
      <c r="DH85" s="34"/>
      <c r="DI85" s="34"/>
      <c r="DJ85" s="34"/>
      <c r="DK85" s="34"/>
      <c r="DL85" s="34"/>
      <c r="DM85" s="34"/>
      <c r="DN85" s="34"/>
      <c r="DO85" s="34"/>
      <c r="DP85" s="34"/>
      <c r="DQ85" s="34"/>
      <c r="DR85" s="34"/>
      <c r="DS85" s="34"/>
      <c r="DT85" s="34"/>
      <c r="DU85" s="34"/>
      <c r="DV85" s="34"/>
      <c r="DW85" s="34"/>
      <c r="DX85" s="34"/>
      <c r="DY85" s="34"/>
      <c r="DZ85" s="34"/>
      <c r="EA85" s="34"/>
      <c r="EB85" s="34"/>
      <c r="EC85" s="34"/>
      <c r="ED85" s="34"/>
      <c r="EE85" s="34"/>
    </row>
    <row r="86" spans="1:135" x14ac:dyDescent="0.4">
      <c r="A86" s="29" t="str">
        <f t="shared" si="134"/>
        <v/>
      </c>
      <c r="B86" s="34"/>
      <c r="C86" s="48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  <c r="AG86" s="34"/>
      <c r="AH86" s="34"/>
      <c r="AI86" s="34"/>
      <c r="AJ86" s="34"/>
      <c r="AK86" s="34"/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  <c r="CE86" s="34"/>
      <c r="CF86" s="34"/>
      <c r="CG86" s="34"/>
      <c r="CH86" s="34"/>
      <c r="CI86" s="34"/>
      <c r="CJ86" s="34"/>
      <c r="CK86" s="34"/>
      <c r="CL86" s="34"/>
      <c r="CM86" s="34"/>
      <c r="CN86" s="34"/>
      <c r="CO86" s="34"/>
      <c r="CP86" s="34"/>
      <c r="CQ86" s="34"/>
      <c r="CR86" s="34"/>
      <c r="CS86" s="34"/>
      <c r="CT86" s="34"/>
      <c r="CU86" s="34"/>
      <c r="CV86" s="34"/>
      <c r="CW86" s="34"/>
      <c r="CX86" s="34"/>
      <c r="CY86" s="34"/>
      <c r="CZ86" s="34"/>
      <c r="DA86" s="34"/>
      <c r="DB86" s="34"/>
      <c r="DC86" s="34"/>
      <c r="DD86" s="34"/>
      <c r="DE86" s="34"/>
      <c r="DF86" s="34"/>
      <c r="DG86" s="34"/>
      <c r="DH86" s="34"/>
      <c r="DI86" s="34"/>
      <c r="DJ86" s="34"/>
      <c r="DK86" s="34"/>
      <c r="DL86" s="34"/>
      <c r="DM86" s="34"/>
      <c r="DN86" s="34"/>
      <c r="DO86" s="34"/>
      <c r="DP86" s="34"/>
      <c r="DQ86" s="34"/>
      <c r="DR86" s="34"/>
      <c r="DS86" s="34"/>
      <c r="DT86" s="34"/>
      <c r="DU86" s="34"/>
      <c r="DV86" s="34"/>
      <c r="DW86" s="34"/>
      <c r="DX86" s="34"/>
      <c r="DY86" s="34"/>
      <c r="DZ86" s="34"/>
      <c r="EA86" s="34"/>
      <c r="EB86" s="34"/>
      <c r="EC86" s="34"/>
      <c r="ED86" s="34"/>
      <c r="EE86" s="34"/>
    </row>
    <row r="87" spans="1:135" x14ac:dyDescent="0.4">
      <c r="A87" s="29" t="str">
        <f t="shared" si="134"/>
        <v/>
      </c>
      <c r="B87" s="34"/>
      <c r="C87" s="48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  <c r="AG87" s="34"/>
      <c r="AH87" s="34"/>
      <c r="AI87" s="34"/>
      <c r="AJ87" s="34"/>
      <c r="AK87" s="34"/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  <c r="CE87" s="34"/>
      <c r="CF87" s="34"/>
      <c r="CG87" s="34"/>
      <c r="CH87" s="34"/>
      <c r="CI87" s="34"/>
      <c r="CJ87" s="34"/>
      <c r="CK87" s="34"/>
      <c r="CL87" s="34"/>
      <c r="CM87" s="34"/>
      <c r="CN87" s="34"/>
      <c r="CO87" s="34"/>
      <c r="CP87" s="34"/>
      <c r="CQ87" s="34"/>
      <c r="CR87" s="34"/>
      <c r="CS87" s="34"/>
      <c r="CT87" s="34"/>
      <c r="CU87" s="34"/>
      <c r="CV87" s="34"/>
      <c r="CW87" s="34"/>
      <c r="CX87" s="34"/>
      <c r="CY87" s="34"/>
      <c r="CZ87" s="34"/>
      <c r="DA87" s="34"/>
      <c r="DB87" s="34"/>
      <c r="DC87" s="34"/>
      <c r="DD87" s="34"/>
      <c r="DE87" s="34"/>
      <c r="DF87" s="34"/>
      <c r="DG87" s="34"/>
      <c r="DH87" s="34"/>
      <c r="DI87" s="34"/>
      <c r="DJ87" s="34"/>
      <c r="DK87" s="34"/>
      <c r="DL87" s="34"/>
      <c r="DM87" s="34"/>
      <c r="DN87" s="34"/>
      <c r="DO87" s="34"/>
      <c r="DP87" s="34"/>
      <c r="DQ87" s="34"/>
      <c r="DR87" s="34"/>
      <c r="DS87" s="34"/>
      <c r="DT87" s="34"/>
      <c r="DU87" s="34"/>
      <c r="DV87" s="34"/>
      <c r="DW87" s="34"/>
      <c r="DX87" s="34"/>
      <c r="DY87" s="34"/>
      <c r="DZ87" s="34"/>
      <c r="EA87" s="34"/>
      <c r="EB87" s="34"/>
      <c r="EC87" s="34"/>
      <c r="ED87" s="34"/>
      <c r="EE87" s="34"/>
    </row>
    <row r="88" spans="1:135" x14ac:dyDescent="0.4">
      <c r="A88" s="29" t="str">
        <f t="shared" si="134"/>
        <v/>
      </c>
      <c r="B88" s="34"/>
      <c r="C88" s="48"/>
      <c r="D88" s="34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  <c r="AG88" s="34"/>
      <c r="AH88" s="34"/>
      <c r="AI88" s="34"/>
      <c r="AJ88" s="34"/>
      <c r="AK88" s="34"/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  <c r="CE88" s="34"/>
      <c r="CF88" s="34"/>
      <c r="CG88" s="34"/>
      <c r="CH88" s="34"/>
      <c r="CI88" s="34"/>
      <c r="CJ88" s="34"/>
      <c r="CK88" s="34"/>
      <c r="CL88" s="34"/>
      <c r="CM88" s="34"/>
      <c r="CN88" s="34"/>
      <c r="CO88" s="34"/>
      <c r="CP88" s="34"/>
      <c r="CQ88" s="34"/>
      <c r="CR88" s="34"/>
      <c r="CS88" s="34"/>
      <c r="CT88" s="34"/>
      <c r="CU88" s="34"/>
      <c r="CV88" s="34"/>
      <c r="CW88" s="34"/>
      <c r="CX88" s="34"/>
      <c r="CY88" s="34"/>
      <c r="CZ88" s="34"/>
      <c r="DA88" s="34"/>
      <c r="DB88" s="34"/>
      <c r="DC88" s="34"/>
      <c r="DD88" s="34"/>
      <c r="DE88" s="34"/>
      <c r="DF88" s="34"/>
      <c r="DG88" s="34"/>
      <c r="DH88" s="34"/>
      <c r="DI88" s="34"/>
      <c r="DJ88" s="34"/>
      <c r="DK88" s="34"/>
      <c r="DL88" s="34"/>
      <c r="DM88" s="34"/>
      <c r="DN88" s="34"/>
      <c r="DO88" s="34"/>
      <c r="DP88" s="34"/>
      <c r="DQ88" s="34"/>
      <c r="DR88" s="34"/>
      <c r="DS88" s="34"/>
      <c r="DT88" s="34"/>
      <c r="DU88" s="34"/>
      <c r="DV88" s="34"/>
      <c r="DW88" s="34"/>
      <c r="DX88" s="34"/>
      <c r="DY88" s="34"/>
      <c r="DZ88" s="34"/>
      <c r="EA88" s="34"/>
      <c r="EB88" s="34"/>
      <c r="EC88" s="34"/>
      <c r="ED88" s="34"/>
      <c r="EE88" s="34"/>
    </row>
    <row r="89" spans="1:135" x14ac:dyDescent="0.4">
      <c r="A89" s="29" t="str">
        <f t="shared" si="134"/>
        <v/>
      </c>
      <c r="B89" s="34"/>
      <c r="C89" s="48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  <c r="AG89" s="34"/>
      <c r="AH89" s="34"/>
      <c r="AI89" s="34"/>
      <c r="AJ89" s="34"/>
      <c r="AK89" s="34"/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  <c r="CF89" s="34"/>
      <c r="CG89" s="34"/>
      <c r="CH89" s="34"/>
      <c r="CI89" s="34"/>
      <c r="CJ89" s="34"/>
      <c r="CK89" s="34"/>
      <c r="CL89" s="34"/>
      <c r="CM89" s="34"/>
      <c r="CN89" s="34"/>
      <c r="CO89" s="34"/>
      <c r="CP89" s="34"/>
      <c r="CQ89" s="34"/>
      <c r="CR89" s="34"/>
      <c r="CS89" s="34"/>
      <c r="CT89" s="34"/>
      <c r="CU89" s="34"/>
      <c r="CV89" s="34"/>
      <c r="CW89" s="34"/>
      <c r="CX89" s="34"/>
      <c r="CY89" s="34"/>
      <c r="CZ89" s="34"/>
      <c r="DA89" s="34"/>
      <c r="DB89" s="34"/>
      <c r="DC89" s="34"/>
      <c r="DD89" s="34"/>
      <c r="DE89" s="34"/>
      <c r="DF89" s="34"/>
      <c r="DG89" s="34"/>
      <c r="DH89" s="34"/>
      <c r="DI89" s="34"/>
      <c r="DJ89" s="34"/>
      <c r="DK89" s="34"/>
      <c r="DL89" s="34"/>
      <c r="DM89" s="34"/>
      <c r="DN89" s="34"/>
      <c r="DO89" s="34"/>
      <c r="DP89" s="34"/>
      <c r="DQ89" s="34"/>
      <c r="DR89" s="34"/>
      <c r="DS89" s="34"/>
      <c r="DT89" s="34"/>
      <c r="DU89" s="34"/>
      <c r="DV89" s="34"/>
      <c r="DW89" s="34"/>
      <c r="DX89" s="34"/>
      <c r="DY89" s="34"/>
      <c r="DZ89" s="34"/>
      <c r="EA89" s="34"/>
      <c r="EB89" s="34"/>
      <c r="EC89" s="34"/>
      <c r="ED89" s="34"/>
      <c r="EE89" s="34"/>
    </row>
    <row r="90" spans="1:135" x14ac:dyDescent="0.4">
      <c r="A90" s="29" t="str">
        <f t="shared" si="134"/>
        <v/>
      </c>
      <c r="B90" s="34"/>
      <c r="C90" s="48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  <c r="AG90" s="34"/>
      <c r="AH90" s="34"/>
      <c r="AI90" s="34"/>
      <c r="AJ90" s="34"/>
      <c r="AK90" s="34"/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  <c r="CE90" s="34"/>
      <c r="CF90" s="34"/>
      <c r="CG90" s="34"/>
      <c r="CH90" s="34"/>
      <c r="CI90" s="34"/>
      <c r="CJ90" s="34"/>
      <c r="CK90" s="34"/>
      <c r="CL90" s="34"/>
      <c r="CM90" s="34"/>
      <c r="CN90" s="34"/>
      <c r="CO90" s="34"/>
      <c r="CP90" s="34"/>
      <c r="CQ90" s="34"/>
      <c r="CR90" s="34"/>
      <c r="CS90" s="34"/>
      <c r="CT90" s="34"/>
      <c r="CU90" s="34"/>
      <c r="CV90" s="34"/>
      <c r="CW90" s="34"/>
      <c r="CX90" s="34"/>
      <c r="CY90" s="34"/>
      <c r="CZ90" s="34"/>
      <c r="DA90" s="34"/>
      <c r="DB90" s="34"/>
      <c r="DC90" s="34"/>
      <c r="DD90" s="34"/>
      <c r="DE90" s="34"/>
      <c r="DF90" s="34"/>
      <c r="DG90" s="34"/>
      <c r="DH90" s="34"/>
      <c r="DI90" s="34"/>
      <c r="DJ90" s="34"/>
      <c r="DK90" s="34"/>
      <c r="DL90" s="34"/>
      <c r="DM90" s="34"/>
      <c r="DN90" s="34"/>
      <c r="DO90" s="34"/>
      <c r="DP90" s="34"/>
      <c r="DQ90" s="34"/>
      <c r="DR90" s="34"/>
      <c r="DS90" s="34"/>
      <c r="DT90" s="34"/>
      <c r="DU90" s="34"/>
      <c r="DV90" s="34"/>
      <c r="DW90" s="34"/>
      <c r="DX90" s="34"/>
      <c r="DY90" s="34"/>
      <c r="DZ90" s="34"/>
      <c r="EA90" s="34"/>
      <c r="EB90" s="34"/>
      <c r="EC90" s="34"/>
      <c r="ED90" s="34"/>
      <c r="EE90" s="34"/>
    </row>
    <row r="91" spans="1:135" x14ac:dyDescent="0.4">
      <c r="A91" s="29" t="str">
        <f t="shared" si="134"/>
        <v/>
      </c>
      <c r="B91" s="34"/>
      <c r="C91" s="48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  <c r="AG91" s="34"/>
      <c r="AH91" s="34"/>
      <c r="AI91" s="34"/>
      <c r="AJ91" s="34"/>
      <c r="AK91" s="34"/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  <c r="CF91" s="34"/>
      <c r="CG91" s="34"/>
      <c r="CH91" s="34"/>
      <c r="CI91" s="34"/>
      <c r="CJ91" s="34"/>
      <c r="CK91" s="34"/>
      <c r="CL91" s="34"/>
      <c r="CM91" s="34"/>
      <c r="CN91" s="34"/>
      <c r="CO91" s="34"/>
      <c r="CP91" s="34"/>
      <c r="CQ91" s="34"/>
      <c r="CR91" s="34"/>
      <c r="CS91" s="34"/>
      <c r="CT91" s="34"/>
      <c r="CU91" s="34"/>
      <c r="CV91" s="34"/>
      <c r="CW91" s="34"/>
      <c r="CX91" s="34"/>
      <c r="CY91" s="34"/>
      <c r="CZ91" s="34"/>
      <c r="DA91" s="34"/>
      <c r="DB91" s="34"/>
      <c r="DC91" s="34"/>
      <c r="DD91" s="34"/>
      <c r="DE91" s="34"/>
      <c r="DF91" s="34"/>
      <c r="DG91" s="34"/>
      <c r="DH91" s="34"/>
      <c r="DI91" s="34"/>
      <c r="DJ91" s="34"/>
      <c r="DK91" s="34"/>
      <c r="DL91" s="34"/>
      <c r="DM91" s="34"/>
      <c r="DN91" s="34"/>
      <c r="DO91" s="34"/>
      <c r="DP91" s="34"/>
      <c r="DQ91" s="34"/>
      <c r="DR91" s="34"/>
      <c r="DS91" s="34"/>
      <c r="DT91" s="34"/>
      <c r="DU91" s="34"/>
      <c r="DV91" s="34"/>
      <c r="DW91" s="34"/>
      <c r="DX91" s="34"/>
      <c r="DY91" s="34"/>
      <c r="DZ91" s="34"/>
      <c r="EA91" s="34"/>
      <c r="EB91" s="34"/>
      <c r="EC91" s="34"/>
      <c r="ED91" s="34"/>
      <c r="EE91" s="34"/>
    </row>
    <row r="92" spans="1:135" x14ac:dyDescent="0.4">
      <c r="A92" s="29" t="str">
        <f t="shared" si="134"/>
        <v/>
      </c>
      <c r="B92" s="34"/>
      <c r="C92" s="48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  <c r="AG92" s="34"/>
      <c r="AH92" s="34"/>
      <c r="AI92" s="34"/>
      <c r="AJ92" s="34"/>
      <c r="AK92" s="34"/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  <c r="CE92" s="34"/>
      <c r="CF92" s="34"/>
      <c r="CG92" s="34"/>
      <c r="CH92" s="34"/>
      <c r="CI92" s="34"/>
      <c r="CJ92" s="34"/>
      <c r="CK92" s="34"/>
      <c r="CL92" s="34"/>
      <c r="CM92" s="34"/>
      <c r="CN92" s="34"/>
      <c r="CO92" s="34"/>
      <c r="CP92" s="34"/>
      <c r="CQ92" s="34"/>
      <c r="CR92" s="34"/>
      <c r="CS92" s="34"/>
      <c r="CT92" s="34"/>
      <c r="CU92" s="34"/>
      <c r="CV92" s="34"/>
      <c r="CW92" s="34"/>
      <c r="CX92" s="34"/>
      <c r="CY92" s="34"/>
      <c r="CZ92" s="34"/>
      <c r="DA92" s="34"/>
      <c r="DB92" s="34"/>
      <c r="DC92" s="34"/>
      <c r="DD92" s="34"/>
      <c r="DE92" s="34"/>
      <c r="DF92" s="34"/>
      <c r="DG92" s="34"/>
      <c r="DH92" s="34"/>
      <c r="DI92" s="34"/>
      <c r="DJ92" s="34"/>
      <c r="DK92" s="34"/>
      <c r="DL92" s="34"/>
      <c r="DM92" s="34"/>
      <c r="DN92" s="34"/>
      <c r="DO92" s="34"/>
      <c r="DP92" s="34"/>
      <c r="DQ92" s="34"/>
      <c r="DR92" s="34"/>
      <c r="DS92" s="34"/>
      <c r="DT92" s="34"/>
      <c r="DU92" s="34"/>
      <c r="DV92" s="34"/>
      <c r="DW92" s="34"/>
      <c r="DX92" s="34"/>
      <c r="DY92" s="34"/>
      <c r="DZ92" s="34"/>
      <c r="EA92" s="34"/>
      <c r="EB92" s="34"/>
      <c r="EC92" s="34"/>
      <c r="ED92" s="34"/>
      <c r="EE92" s="34"/>
    </row>
    <row r="93" spans="1:135" x14ac:dyDescent="0.4">
      <c r="A93" s="29" t="str">
        <f t="shared" si="134"/>
        <v/>
      </c>
      <c r="B93" s="34"/>
      <c r="C93" s="48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  <c r="AG93" s="34"/>
      <c r="AH93" s="34"/>
      <c r="AI93" s="34"/>
      <c r="AJ93" s="34"/>
      <c r="AK93" s="34"/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  <c r="CE93" s="34"/>
      <c r="CF93" s="34"/>
      <c r="CG93" s="34"/>
      <c r="CH93" s="34"/>
      <c r="CI93" s="34"/>
      <c r="CJ93" s="34"/>
      <c r="CK93" s="34"/>
      <c r="CL93" s="34"/>
      <c r="CM93" s="34"/>
      <c r="CN93" s="34"/>
      <c r="CO93" s="34"/>
      <c r="CP93" s="34"/>
      <c r="CQ93" s="34"/>
      <c r="CR93" s="34"/>
      <c r="CS93" s="34"/>
      <c r="CT93" s="34"/>
      <c r="CU93" s="34"/>
      <c r="CV93" s="34"/>
      <c r="CW93" s="34"/>
      <c r="CX93" s="34"/>
      <c r="CY93" s="34"/>
      <c r="CZ93" s="34"/>
      <c r="DA93" s="34"/>
      <c r="DB93" s="34"/>
      <c r="DC93" s="34"/>
      <c r="DD93" s="34"/>
      <c r="DE93" s="34"/>
      <c r="DF93" s="34"/>
      <c r="DG93" s="34"/>
      <c r="DH93" s="34"/>
      <c r="DI93" s="34"/>
      <c r="DJ93" s="34"/>
      <c r="DK93" s="34"/>
      <c r="DL93" s="34"/>
      <c r="DM93" s="34"/>
      <c r="DN93" s="34"/>
      <c r="DO93" s="34"/>
      <c r="DP93" s="34"/>
      <c r="DQ93" s="34"/>
      <c r="DR93" s="34"/>
      <c r="DS93" s="34"/>
      <c r="DT93" s="34"/>
      <c r="DU93" s="34"/>
      <c r="DV93" s="34"/>
      <c r="DW93" s="34"/>
      <c r="DX93" s="34"/>
      <c r="DY93" s="34"/>
      <c r="DZ93" s="34"/>
      <c r="EA93" s="34"/>
      <c r="EB93" s="34"/>
      <c r="EC93" s="34"/>
      <c r="ED93" s="34"/>
      <c r="EE93" s="34"/>
    </row>
    <row r="94" spans="1:135" x14ac:dyDescent="0.4">
      <c r="A94" s="29" t="str">
        <f t="shared" si="134"/>
        <v/>
      </c>
      <c r="B94" s="34"/>
      <c r="C94" s="48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  <c r="AG94" s="34"/>
      <c r="AH94" s="34"/>
      <c r="AI94" s="34"/>
      <c r="AJ94" s="34"/>
      <c r="AK94" s="34"/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  <c r="CE94" s="34"/>
      <c r="CF94" s="34"/>
      <c r="CG94" s="34"/>
      <c r="CH94" s="34"/>
      <c r="CI94" s="34"/>
      <c r="CJ94" s="34"/>
      <c r="CK94" s="34"/>
      <c r="CL94" s="34"/>
      <c r="CM94" s="34"/>
      <c r="CN94" s="34"/>
      <c r="CO94" s="34"/>
      <c r="CP94" s="34"/>
      <c r="CQ94" s="34"/>
      <c r="CR94" s="34"/>
      <c r="CS94" s="34"/>
      <c r="CT94" s="34"/>
      <c r="CU94" s="34"/>
      <c r="CV94" s="34"/>
      <c r="CW94" s="34"/>
      <c r="CX94" s="34"/>
      <c r="CY94" s="34"/>
      <c r="CZ94" s="34"/>
      <c r="DA94" s="34"/>
      <c r="DB94" s="34"/>
      <c r="DC94" s="34"/>
      <c r="DD94" s="34"/>
      <c r="DE94" s="34"/>
      <c r="DF94" s="34"/>
      <c r="DG94" s="34"/>
      <c r="DH94" s="34"/>
      <c r="DI94" s="34"/>
      <c r="DJ94" s="34"/>
      <c r="DK94" s="34"/>
      <c r="DL94" s="34"/>
      <c r="DM94" s="34"/>
      <c r="DN94" s="34"/>
      <c r="DO94" s="34"/>
      <c r="DP94" s="34"/>
      <c r="DQ94" s="34"/>
      <c r="DR94" s="34"/>
      <c r="DS94" s="34"/>
      <c r="DT94" s="34"/>
      <c r="DU94" s="34"/>
      <c r="DV94" s="34"/>
      <c r="DW94" s="34"/>
      <c r="DX94" s="34"/>
      <c r="DY94" s="34"/>
      <c r="DZ94" s="34"/>
      <c r="EA94" s="34"/>
      <c r="EB94" s="34"/>
      <c r="EC94" s="34"/>
      <c r="ED94" s="34"/>
      <c r="EE94" s="34"/>
    </row>
    <row r="95" spans="1:135" x14ac:dyDescent="0.4">
      <c r="A95" s="29" t="str">
        <f t="shared" si="134"/>
        <v/>
      </c>
      <c r="B95" s="34"/>
      <c r="C95" s="48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  <c r="AG95" s="34"/>
      <c r="AH95" s="34"/>
      <c r="AI95" s="34"/>
      <c r="AJ95" s="34"/>
      <c r="AK95" s="34"/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  <c r="CE95" s="34"/>
      <c r="CF95" s="34"/>
      <c r="CG95" s="34"/>
      <c r="CH95" s="34"/>
      <c r="CI95" s="34"/>
      <c r="CJ95" s="34"/>
      <c r="CK95" s="34"/>
      <c r="CL95" s="34"/>
      <c r="CM95" s="34"/>
      <c r="CN95" s="34"/>
      <c r="CO95" s="34"/>
      <c r="CP95" s="34"/>
      <c r="CQ95" s="34"/>
      <c r="CR95" s="34"/>
      <c r="CS95" s="34"/>
      <c r="CT95" s="34"/>
      <c r="CU95" s="34"/>
      <c r="CV95" s="34"/>
      <c r="CW95" s="34"/>
      <c r="CX95" s="34"/>
      <c r="CY95" s="34"/>
      <c r="CZ95" s="34"/>
      <c r="DA95" s="34"/>
      <c r="DB95" s="34"/>
      <c r="DC95" s="34"/>
      <c r="DD95" s="34"/>
      <c r="DE95" s="34"/>
      <c r="DF95" s="34"/>
      <c r="DG95" s="34"/>
      <c r="DH95" s="34"/>
      <c r="DI95" s="34"/>
      <c r="DJ95" s="34"/>
      <c r="DK95" s="34"/>
      <c r="DL95" s="34"/>
      <c r="DM95" s="34"/>
      <c r="DN95" s="34"/>
      <c r="DO95" s="34"/>
      <c r="DP95" s="34"/>
      <c r="DQ95" s="34"/>
      <c r="DR95" s="34"/>
      <c r="DS95" s="34"/>
      <c r="DT95" s="34"/>
      <c r="DU95" s="34"/>
      <c r="DV95" s="34"/>
      <c r="DW95" s="34"/>
      <c r="DX95" s="34"/>
      <c r="DY95" s="34"/>
      <c r="DZ95" s="34"/>
      <c r="EA95" s="34"/>
      <c r="EB95" s="34"/>
      <c r="EC95" s="34"/>
      <c r="ED95" s="34"/>
      <c r="EE95" s="34"/>
    </row>
    <row r="96" spans="1:135" x14ac:dyDescent="0.4">
      <c r="A96" s="29" t="str">
        <f t="shared" si="134"/>
        <v/>
      </c>
      <c r="B96" s="34"/>
      <c r="C96" s="48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  <c r="AG96" s="34"/>
      <c r="AH96" s="34"/>
      <c r="AI96" s="34"/>
      <c r="AJ96" s="34"/>
      <c r="AK96" s="34"/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  <c r="CE96" s="34"/>
      <c r="CF96" s="34"/>
      <c r="CG96" s="34"/>
      <c r="CH96" s="34"/>
      <c r="CI96" s="34"/>
      <c r="CJ96" s="34"/>
      <c r="CK96" s="34"/>
      <c r="CL96" s="34"/>
      <c r="CM96" s="34"/>
      <c r="CN96" s="34"/>
      <c r="CO96" s="34"/>
      <c r="CP96" s="34"/>
      <c r="CQ96" s="34"/>
      <c r="CR96" s="34"/>
      <c r="CS96" s="34"/>
      <c r="CT96" s="34"/>
      <c r="CU96" s="34"/>
      <c r="CV96" s="34"/>
      <c r="CW96" s="34"/>
      <c r="CX96" s="34"/>
      <c r="CY96" s="34"/>
      <c r="CZ96" s="34"/>
      <c r="DA96" s="34"/>
      <c r="DB96" s="34"/>
      <c r="DC96" s="34"/>
      <c r="DD96" s="34"/>
      <c r="DE96" s="34"/>
      <c r="DF96" s="34"/>
      <c r="DG96" s="34"/>
      <c r="DH96" s="34"/>
      <c r="DI96" s="34"/>
      <c r="DJ96" s="34"/>
      <c r="DK96" s="34"/>
      <c r="DL96" s="34"/>
      <c r="DM96" s="34"/>
      <c r="DN96" s="34"/>
      <c r="DO96" s="34"/>
      <c r="DP96" s="34"/>
      <c r="DQ96" s="34"/>
      <c r="DR96" s="34"/>
      <c r="DS96" s="34"/>
      <c r="DT96" s="34"/>
      <c r="DU96" s="34"/>
      <c r="DV96" s="34"/>
      <c r="DW96" s="34"/>
      <c r="DX96" s="34"/>
      <c r="DY96" s="34"/>
      <c r="DZ96" s="34"/>
      <c r="EA96" s="34"/>
      <c r="EB96" s="34"/>
      <c r="EC96" s="34"/>
      <c r="ED96" s="34"/>
      <c r="EE96" s="34"/>
    </row>
    <row r="97" spans="1:135" x14ac:dyDescent="0.4">
      <c r="A97" s="29" t="str">
        <f t="shared" si="134"/>
        <v/>
      </c>
      <c r="B97" s="34"/>
      <c r="C97" s="48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  <c r="AG97" s="34"/>
      <c r="AH97" s="34"/>
      <c r="AI97" s="34"/>
      <c r="AJ97" s="34"/>
      <c r="AK97" s="34"/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  <c r="CE97" s="34"/>
      <c r="CF97" s="34"/>
      <c r="CG97" s="34"/>
      <c r="CH97" s="34"/>
      <c r="CI97" s="34"/>
      <c r="CJ97" s="34"/>
      <c r="CK97" s="34"/>
      <c r="CL97" s="34"/>
      <c r="CM97" s="34"/>
      <c r="CN97" s="34"/>
      <c r="CO97" s="34"/>
      <c r="CP97" s="34"/>
      <c r="CQ97" s="34"/>
      <c r="CR97" s="34"/>
      <c r="CS97" s="34"/>
      <c r="CT97" s="34"/>
      <c r="CU97" s="34"/>
      <c r="CV97" s="34"/>
      <c r="CW97" s="34"/>
      <c r="CX97" s="34"/>
      <c r="CY97" s="34"/>
      <c r="CZ97" s="34"/>
      <c r="DA97" s="34"/>
      <c r="DB97" s="34"/>
      <c r="DC97" s="34"/>
      <c r="DD97" s="34"/>
      <c r="DE97" s="34"/>
      <c r="DF97" s="34"/>
      <c r="DG97" s="34"/>
      <c r="DH97" s="34"/>
      <c r="DI97" s="34"/>
      <c r="DJ97" s="34"/>
      <c r="DK97" s="34"/>
      <c r="DL97" s="34"/>
      <c r="DM97" s="34"/>
      <c r="DN97" s="34"/>
      <c r="DO97" s="34"/>
      <c r="DP97" s="34"/>
      <c r="DQ97" s="34"/>
      <c r="DR97" s="34"/>
      <c r="DS97" s="34"/>
      <c r="DT97" s="34"/>
      <c r="DU97" s="34"/>
      <c r="DV97" s="34"/>
      <c r="DW97" s="34"/>
      <c r="DX97" s="34"/>
      <c r="DY97" s="34"/>
      <c r="DZ97" s="34"/>
      <c r="EA97" s="34"/>
      <c r="EB97" s="34"/>
      <c r="EC97" s="34"/>
      <c r="ED97" s="34"/>
      <c r="EE97" s="34"/>
    </row>
    <row r="98" spans="1:135" x14ac:dyDescent="0.4">
      <c r="A98" s="29" t="str">
        <f t="shared" si="134"/>
        <v/>
      </c>
      <c r="B98" s="34"/>
      <c r="C98" s="48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  <c r="AG98" s="34"/>
      <c r="AH98" s="34"/>
      <c r="AI98" s="34"/>
      <c r="AJ98" s="34"/>
      <c r="AK98" s="34"/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  <c r="CE98" s="34"/>
      <c r="CF98" s="34"/>
      <c r="CG98" s="34"/>
      <c r="CH98" s="34"/>
      <c r="CI98" s="34"/>
      <c r="CJ98" s="34"/>
      <c r="CK98" s="34"/>
      <c r="CL98" s="34"/>
      <c r="CM98" s="34"/>
      <c r="CN98" s="34"/>
      <c r="CO98" s="34"/>
      <c r="CP98" s="34"/>
      <c r="CQ98" s="34"/>
      <c r="CR98" s="34"/>
      <c r="CS98" s="34"/>
      <c r="CT98" s="34"/>
      <c r="CU98" s="34"/>
      <c r="CV98" s="34"/>
      <c r="CW98" s="34"/>
      <c r="CX98" s="34"/>
      <c r="CY98" s="34"/>
      <c r="CZ98" s="34"/>
      <c r="DA98" s="34"/>
      <c r="DB98" s="34"/>
      <c r="DC98" s="34"/>
      <c r="DD98" s="34"/>
      <c r="DE98" s="34"/>
      <c r="DF98" s="34"/>
      <c r="DG98" s="34"/>
      <c r="DH98" s="34"/>
      <c r="DI98" s="34"/>
      <c r="DJ98" s="34"/>
      <c r="DK98" s="34"/>
      <c r="DL98" s="34"/>
      <c r="DM98" s="34"/>
      <c r="DN98" s="34"/>
      <c r="DO98" s="34"/>
      <c r="DP98" s="34"/>
      <c r="DQ98" s="34"/>
      <c r="DR98" s="34"/>
      <c r="DS98" s="34"/>
      <c r="DT98" s="34"/>
      <c r="DU98" s="34"/>
      <c r="DV98" s="34"/>
      <c r="DW98" s="34"/>
      <c r="DX98" s="34"/>
      <c r="DY98" s="34"/>
      <c r="DZ98" s="34"/>
      <c r="EA98" s="34"/>
      <c r="EB98" s="34"/>
      <c r="EC98" s="34"/>
      <c r="ED98" s="34"/>
      <c r="EE98" s="34"/>
    </row>
    <row r="99" spans="1:135" x14ac:dyDescent="0.4">
      <c r="A99" s="29" t="str">
        <f t="shared" si="134"/>
        <v/>
      </c>
      <c r="B99" s="34"/>
      <c r="C99" s="48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  <c r="AG99" s="34"/>
      <c r="AH99" s="34"/>
      <c r="AI99" s="34"/>
      <c r="AJ99" s="34"/>
      <c r="AK99" s="34"/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  <c r="CE99" s="34"/>
      <c r="CF99" s="34"/>
      <c r="CG99" s="34"/>
      <c r="CH99" s="34"/>
      <c r="CI99" s="34"/>
      <c r="CJ99" s="34"/>
      <c r="CK99" s="34"/>
      <c r="CL99" s="34"/>
      <c r="CM99" s="34"/>
      <c r="CN99" s="34"/>
      <c r="CO99" s="34"/>
      <c r="CP99" s="34"/>
      <c r="CQ99" s="34"/>
      <c r="CR99" s="34"/>
      <c r="CS99" s="34"/>
      <c r="CT99" s="34"/>
      <c r="CU99" s="34"/>
      <c r="CV99" s="34"/>
      <c r="CW99" s="34"/>
      <c r="CX99" s="34"/>
      <c r="CY99" s="34"/>
      <c r="CZ99" s="34"/>
      <c r="DA99" s="34"/>
      <c r="DB99" s="34"/>
      <c r="DC99" s="34"/>
      <c r="DD99" s="34"/>
      <c r="DE99" s="34"/>
      <c r="DF99" s="34"/>
      <c r="DG99" s="34"/>
      <c r="DH99" s="34"/>
      <c r="DI99" s="34"/>
      <c r="DJ99" s="34"/>
      <c r="DK99" s="34"/>
      <c r="DL99" s="34"/>
      <c r="DM99" s="34"/>
      <c r="DN99" s="34"/>
      <c r="DO99" s="34"/>
      <c r="DP99" s="34"/>
      <c r="DQ99" s="34"/>
      <c r="DR99" s="34"/>
      <c r="DS99" s="34"/>
      <c r="DT99" s="34"/>
      <c r="DU99" s="34"/>
      <c r="DV99" s="34"/>
      <c r="DW99" s="34"/>
      <c r="DX99" s="34"/>
      <c r="DY99" s="34"/>
      <c r="DZ99" s="34"/>
      <c r="EA99" s="34"/>
      <c r="EB99" s="34"/>
      <c r="EC99" s="34"/>
      <c r="ED99" s="34"/>
      <c r="EE99" s="34"/>
    </row>
    <row r="100" spans="1:135" x14ac:dyDescent="0.4">
      <c r="A100" s="29" t="str">
        <f t="shared" si="134"/>
        <v/>
      </c>
      <c r="B100" s="34"/>
      <c r="C100" s="48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  <c r="AG100" s="34"/>
      <c r="AH100" s="34"/>
      <c r="AI100" s="34"/>
      <c r="AJ100" s="34"/>
      <c r="AK100" s="34"/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  <c r="CE100" s="34"/>
      <c r="CF100" s="34"/>
      <c r="CG100" s="34"/>
      <c r="CH100" s="34"/>
      <c r="CI100" s="34"/>
      <c r="CJ100" s="34"/>
      <c r="CK100" s="34"/>
      <c r="CL100" s="34"/>
      <c r="CM100" s="34"/>
      <c r="CN100" s="34"/>
      <c r="CO100" s="34"/>
      <c r="CP100" s="34"/>
      <c r="CQ100" s="34"/>
      <c r="CR100" s="34"/>
      <c r="CS100" s="34"/>
      <c r="CT100" s="34"/>
      <c r="CU100" s="34"/>
      <c r="CV100" s="34"/>
      <c r="CW100" s="34"/>
      <c r="CX100" s="34"/>
      <c r="CY100" s="34"/>
      <c r="CZ100" s="34"/>
      <c r="DA100" s="34"/>
      <c r="DB100" s="34"/>
      <c r="DC100" s="34"/>
      <c r="DD100" s="34"/>
      <c r="DE100" s="34"/>
      <c r="DF100" s="34"/>
      <c r="DG100" s="34"/>
      <c r="DH100" s="34"/>
      <c r="DI100" s="34"/>
      <c r="DJ100" s="34"/>
      <c r="DK100" s="34"/>
      <c r="DL100" s="34"/>
      <c r="DM100" s="34"/>
      <c r="DN100" s="34"/>
      <c r="DO100" s="34"/>
      <c r="DP100" s="34"/>
      <c r="DQ100" s="34"/>
      <c r="DR100" s="34"/>
      <c r="DS100" s="34"/>
      <c r="DT100" s="34"/>
      <c r="DU100" s="34"/>
      <c r="DV100" s="34"/>
      <c r="DW100" s="34"/>
      <c r="DX100" s="34"/>
      <c r="DY100" s="34"/>
      <c r="DZ100" s="34"/>
      <c r="EA100" s="34"/>
      <c r="EB100" s="34"/>
      <c r="EC100" s="34"/>
      <c r="ED100" s="34"/>
      <c r="EE100" s="34"/>
    </row>
    <row r="101" spans="1:135" x14ac:dyDescent="0.4">
      <c r="A101" s="29" t="str">
        <f t="shared" si="134"/>
        <v/>
      </c>
      <c r="B101" s="34"/>
      <c r="C101" s="48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  <c r="AG101" s="34"/>
      <c r="AH101" s="34"/>
      <c r="AI101" s="34"/>
      <c r="AJ101" s="34"/>
      <c r="AK101" s="34"/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  <c r="CE101" s="34"/>
      <c r="CF101" s="34"/>
      <c r="CG101" s="34"/>
      <c r="CH101" s="34"/>
      <c r="CI101" s="34"/>
      <c r="CJ101" s="34"/>
      <c r="CK101" s="34"/>
      <c r="CL101" s="34"/>
      <c r="CM101" s="34"/>
      <c r="CN101" s="34"/>
      <c r="CO101" s="34"/>
      <c r="CP101" s="34"/>
      <c r="CQ101" s="34"/>
      <c r="CR101" s="34"/>
      <c r="CS101" s="34"/>
      <c r="CT101" s="34"/>
      <c r="CU101" s="34"/>
      <c r="CV101" s="34"/>
      <c r="CW101" s="34"/>
      <c r="CX101" s="34"/>
      <c r="CY101" s="34"/>
      <c r="CZ101" s="34"/>
      <c r="DA101" s="34"/>
      <c r="DB101" s="34"/>
      <c r="DC101" s="34"/>
      <c r="DD101" s="34"/>
      <c r="DE101" s="34"/>
      <c r="DF101" s="34"/>
      <c r="DG101" s="34"/>
      <c r="DH101" s="34"/>
      <c r="DI101" s="34"/>
      <c r="DJ101" s="34"/>
      <c r="DK101" s="34"/>
      <c r="DL101" s="34"/>
      <c r="DM101" s="34"/>
      <c r="DN101" s="34"/>
      <c r="DO101" s="34"/>
      <c r="DP101" s="34"/>
      <c r="DQ101" s="34"/>
      <c r="DR101" s="34"/>
      <c r="DS101" s="34"/>
      <c r="DT101" s="34"/>
      <c r="DU101" s="34"/>
      <c r="DV101" s="34"/>
      <c r="DW101" s="34"/>
      <c r="DX101" s="34"/>
      <c r="DY101" s="34"/>
      <c r="DZ101" s="34"/>
      <c r="EA101" s="34"/>
      <c r="EB101" s="34"/>
      <c r="EC101" s="34"/>
      <c r="ED101" s="34"/>
      <c r="EE101" s="34"/>
    </row>
    <row r="102" spans="1:135" x14ac:dyDescent="0.4">
      <c r="A102" s="29" t="str">
        <f t="shared" si="134"/>
        <v/>
      </c>
      <c r="B102" s="34"/>
      <c r="C102" s="48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  <c r="CF102" s="34"/>
      <c r="CG102" s="34"/>
      <c r="CH102" s="34"/>
      <c r="CI102" s="34"/>
      <c r="CJ102" s="34"/>
      <c r="CK102" s="34"/>
      <c r="CL102" s="34"/>
      <c r="CM102" s="34"/>
      <c r="CN102" s="34"/>
      <c r="CO102" s="34"/>
      <c r="CP102" s="34"/>
      <c r="CQ102" s="34"/>
      <c r="CR102" s="34"/>
      <c r="CS102" s="34"/>
      <c r="CT102" s="34"/>
      <c r="CU102" s="34"/>
      <c r="CV102" s="34"/>
      <c r="CW102" s="34"/>
      <c r="CX102" s="34"/>
      <c r="CY102" s="34"/>
      <c r="CZ102" s="34"/>
      <c r="DA102" s="34"/>
      <c r="DB102" s="34"/>
      <c r="DC102" s="34"/>
      <c r="DD102" s="34"/>
      <c r="DE102" s="34"/>
      <c r="DF102" s="34"/>
      <c r="DG102" s="34"/>
      <c r="DH102" s="34"/>
      <c r="DI102" s="34"/>
      <c r="DJ102" s="34"/>
      <c r="DK102" s="34"/>
      <c r="DL102" s="34"/>
      <c r="DM102" s="34"/>
      <c r="DN102" s="34"/>
      <c r="DO102" s="34"/>
      <c r="DP102" s="34"/>
      <c r="DQ102" s="34"/>
      <c r="DR102" s="34"/>
      <c r="DS102" s="34"/>
      <c r="DT102" s="34"/>
      <c r="DU102" s="34"/>
      <c r="DV102" s="34"/>
      <c r="DW102" s="34"/>
      <c r="DX102" s="34"/>
      <c r="DY102" s="34"/>
      <c r="DZ102" s="34"/>
      <c r="EA102" s="34"/>
      <c r="EB102" s="34"/>
      <c r="EC102" s="34"/>
      <c r="ED102" s="34"/>
      <c r="EE102" s="34"/>
    </row>
    <row r="103" spans="1:135" x14ac:dyDescent="0.4">
      <c r="A103" s="29" t="str">
        <f t="shared" si="134"/>
        <v/>
      </c>
      <c r="B103" s="34"/>
      <c r="C103" s="48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  <c r="CE103" s="34"/>
      <c r="CF103" s="34"/>
      <c r="CG103" s="34"/>
      <c r="CH103" s="34"/>
      <c r="CI103" s="34"/>
      <c r="CJ103" s="34"/>
      <c r="CK103" s="34"/>
      <c r="CL103" s="34"/>
      <c r="CM103" s="34"/>
      <c r="CN103" s="34"/>
      <c r="CO103" s="34"/>
      <c r="CP103" s="34"/>
      <c r="CQ103" s="34"/>
      <c r="CR103" s="34"/>
      <c r="CS103" s="34"/>
      <c r="CT103" s="34"/>
      <c r="CU103" s="34"/>
      <c r="CV103" s="34"/>
      <c r="CW103" s="34"/>
      <c r="CX103" s="34"/>
      <c r="CY103" s="34"/>
      <c r="CZ103" s="34"/>
      <c r="DA103" s="34"/>
      <c r="DB103" s="34"/>
      <c r="DC103" s="34"/>
      <c r="DD103" s="34"/>
      <c r="DE103" s="34"/>
      <c r="DF103" s="34"/>
      <c r="DG103" s="34"/>
      <c r="DH103" s="34"/>
      <c r="DI103" s="34"/>
      <c r="DJ103" s="34"/>
      <c r="DK103" s="34"/>
      <c r="DL103" s="34"/>
      <c r="DM103" s="34"/>
      <c r="DN103" s="34"/>
      <c r="DO103" s="34"/>
      <c r="DP103" s="34"/>
      <c r="DQ103" s="34"/>
      <c r="DR103" s="34"/>
      <c r="DS103" s="34"/>
      <c r="DT103" s="34"/>
      <c r="DU103" s="34"/>
      <c r="DV103" s="34"/>
      <c r="DW103" s="34"/>
      <c r="DX103" s="34"/>
      <c r="DY103" s="34"/>
      <c r="DZ103" s="34"/>
      <c r="EA103" s="34"/>
      <c r="EB103" s="34"/>
      <c r="EC103" s="34"/>
      <c r="ED103" s="34"/>
      <c r="EE103" s="34"/>
    </row>
    <row r="104" spans="1:135" x14ac:dyDescent="0.4">
      <c r="A104" s="29" t="str">
        <f t="shared" si="134"/>
        <v/>
      </c>
      <c r="B104" s="34"/>
      <c r="C104" s="48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  <c r="CF104" s="34"/>
      <c r="CG104" s="34"/>
      <c r="CH104" s="34"/>
      <c r="CI104" s="34"/>
      <c r="CJ104" s="34"/>
      <c r="CK104" s="34"/>
      <c r="CL104" s="34"/>
      <c r="CM104" s="34"/>
      <c r="CN104" s="34"/>
      <c r="CO104" s="34"/>
      <c r="CP104" s="34"/>
      <c r="CQ104" s="34"/>
      <c r="CR104" s="34"/>
      <c r="CS104" s="34"/>
      <c r="CT104" s="34"/>
      <c r="CU104" s="34"/>
      <c r="CV104" s="34"/>
      <c r="CW104" s="34"/>
      <c r="CX104" s="34"/>
      <c r="CY104" s="34"/>
      <c r="CZ104" s="34"/>
      <c r="DA104" s="34"/>
      <c r="DB104" s="34"/>
      <c r="DC104" s="34"/>
      <c r="DD104" s="34"/>
      <c r="DE104" s="34"/>
      <c r="DF104" s="34"/>
      <c r="DG104" s="34"/>
      <c r="DH104" s="34"/>
      <c r="DI104" s="34"/>
      <c r="DJ104" s="34"/>
      <c r="DK104" s="34"/>
      <c r="DL104" s="34"/>
      <c r="DM104" s="34"/>
      <c r="DN104" s="34"/>
      <c r="DO104" s="34"/>
      <c r="DP104" s="34"/>
      <c r="DQ104" s="34"/>
      <c r="DR104" s="34"/>
      <c r="DS104" s="34"/>
      <c r="DT104" s="34"/>
      <c r="DU104" s="34"/>
      <c r="DV104" s="34"/>
      <c r="DW104" s="34"/>
      <c r="DX104" s="34"/>
      <c r="DY104" s="34"/>
      <c r="DZ104" s="34"/>
      <c r="EA104" s="34"/>
      <c r="EB104" s="34"/>
      <c r="EC104" s="34"/>
      <c r="ED104" s="34"/>
      <c r="EE104" s="34"/>
    </row>
    <row r="105" spans="1:135" x14ac:dyDescent="0.4">
      <c r="A105" s="29" t="str">
        <f t="shared" si="134"/>
        <v/>
      </c>
      <c r="B105" s="34"/>
      <c r="C105" s="48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  <c r="CF105" s="34"/>
      <c r="CG105" s="34"/>
      <c r="CH105" s="34"/>
      <c r="CI105" s="34"/>
      <c r="CJ105" s="34"/>
      <c r="CK105" s="34"/>
      <c r="CL105" s="34"/>
      <c r="CM105" s="34"/>
      <c r="CN105" s="34"/>
      <c r="CO105" s="34"/>
      <c r="CP105" s="34"/>
      <c r="CQ105" s="34"/>
      <c r="CR105" s="34"/>
      <c r="CS105" s="34"/>
      <c r="CT105" s="34"/>
      <c r="CU105" s="34"/>
      <c r="CV105" s="34"/>
      <c r="CW105" s="34"/>
      <c r="CX105" s="34"/>
      <c r="CY105" s="34"/>
      <c r="CZ105" s="34"/>
      <c r="DA105" s="34"/>
      <c r="DB105" s="34"/>
      <c r="DC105" s="34"/>
      <c r="DD105" s="34"/>
      <c r="DE105" s="34"/>
      <c r="DF105" s="34"/>
      <c r="DG105" s="34"/>
      <c r="DH105" s="34"/>
      <c r="DI105" s="34"/>
      <c r="DJ105" s="34"/>
      <c r="DK105" s="34"/>
      <c r="DL105" s="34"/>
      <c r="DM105" s="34"/>
      <c r="DN105" s="34"/>
      <c r="DO105" s="34"/>
      <c r="DP105" s="34"/>
      <c r="DQ105" s="34"/>
      <c r="DR105" s="34"/>
      <c r="DS105" s="34"/>
      <c r="DT105" s="34"/>
      <c r="DU105" s="34"/>
      <c r="DV105" s="34"/>
      <c r="DW105" s="34"/>
      <c r="DX105" s="34"/>
      <c r="DY105" s="34"/>
      <c r="DZ105" s="34"/>
      <c r="EA105" s="34"/>
      <c r="EB105" s="34"/>
      <c r="EC105" s="34"/>
      <c r="ED105" s="34"/>
      <c r="EE105" s="34"/>
    </row>
    <row r="106" spans="1:135" x14ac:dyDescent="0.4">
      <c r="A106" s="29" t="str">
        <f t="shared" si="134"/>
        <v/>
      </c>
      <c r="B106" s="34"/>
      <c r="C106" s="48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  <c r="CF106" s="34"/>
      <c r="CG106" s="34"/>
      <c r="CH106" s="34"/>
      <c r="CI106" s="34"/>
      <c r="CJ106" s="34"/>
      <c r="CK106" s="34"/>
      <c r="CL106" s="34"/>
      <c r="CM106" s="34"/>
      <c r="CN106" s="34"/>
      <c r="CO106" s="34"/>
      <c r="CP106" s="34"/>
      <c r="CQ106" s="34"/>
      <c r="CR106" s="34"/>
      <c r="CS106" s="34"/>
      <c r="CT106" s="34"/>
      <c r="CU106" s="34"/>
      <c r="CV106" s="34"/>
      <c r="CW106" s="34"/>
      <c r="CX106" s="34"/>
      <c r="CY106" s="34"/>
      <c r="CZ106" s="34"/>
      <c r="DA106" s="34"/>
      <c r="DB106" s="34"/>
      <c r="DC106" s="34"/>
      <c r="DD106" s="34"/>
      <c r="DE106" s="34"/>
      <c r="DF106" s="34"/>
      <c r="DG106" s="34"/>
      <c r="DH106" s="34"/>
      <c r="DI106" s="34"/>
      <c r="DJ106" s="34"/>
      <c r="DK106" s="34"/>
      <c r="DL106" s="34"/>
      <c r="DM106" s="34"/>
      <c r="DN106" s="34"/>
      <c r="DO106" s="34"/>
      <c r="DP106" s="34"/>
      <c r="DQ106" s="34"/>
      <c r="DR106" s="34"/>
      <c r="DS106" s="34"/>
      <c r="DT106" s="34"/>
      <c r="DU106" s="34"/>
      <c r="DV106" s="34"/>
      <c r="DW106" s="34"/>
      <c r="DX106" s="34"/>
      <c r="DY106" s="34"/>
      <c r="DZ106" s="34"/>
      <c r="EA106" s="34"/>
      <c r="EB106" s="34"/>
      <c r="EC106" s="34"/>
      <c r="ED106" s="34"/>
      <c r="EE106" s="34"/>
    </row>
    <row r="107" spans="1:135" x14ac:dyDescent="0.4">
      <c r="A107" s="29" t="str">
        <f t="shared" si="134"/>
        <v/>
      </c>
      <c r="B107" s="34"/>
      <c r="C107" s="48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  <c r="CF107" s="34"/>
      <c r="CG107" s="34"/>
      <c r="CH107" s="34"/>
      <c r="CI107" s="34"/>
      <c r="CJ107" s="34"/>
      <c r="CK107" s="34"/>
      <c r="CL107" s="34"/>
      <c r="CM107" s="34"/>
      <c r="CN107" s="34"/>
      <c r="CO107" s="34"/>
      <c r="CP107" s="34"/>
      <c r="CQ107" s="34"/>
      <c r="CR107" s="34"/>
      <c r="CS107" s="34"/>
      <c r="CT107" s="34"/>
      <c r="CU107" s="34"/>
      <c r="CV107" s="34"/>
      <c r="CW107" s="34"/>
      <c r="CX107" s="34"/>
      <c r="CY107" s="34"/>
      <c r="CZ107" s="34"/>
      <c r="DA107" s="34"/>
      <c r="DB107" s="34"/>
      <c r="DC107" s="34"/>
      <c r="DD107" s="34"/>
      <c r="DE107" s="34"/>
      <c r="DF107" s="34"/>
      <c r="DG107" s="34"/>
      <c r="DH107" s="34"/>
      <c r="DI107" s="34"/>
      <c r="DJ107" s="34"/>
      <c r="DK107" s="34"/>
      <c r="DL107" s="34"/>
      <c r="DM107" s="34"/>
      <c r="DN107" s="34"/>
      <c r="DO107" s="34"/>
      <c r="DP107" s="34"/>
      <c r="DQ107" s="34"/>
      <c r="DR107" s="34"/>
      <c r="DS107" s="34"/>
      <c r="DT107" s="34"/>
      <c r="DU107" s="34"/>
      <c r="DV107" s="34"/>
      <c r="DW107" s="34"/>
      <c r="DX107" s="34"/>
      <c r="DY107" s="34"/>
      <c r="DZ107" s="34"/>
      <c r="EA107" s="34"/>
      <c r="EB107" s="34"/>
      <c r="EC107" s="34"/>
      <c r="ED107" s="34"/>
      <c r="EE107" s="34"/>
    </row>
    <row r="108" spans="1:135" x14ac:dyDescent="0.4">
      <c r="A108" s="29" t="str">
        <f t="shared" si="134"/>
        <v/>
      </c>
      <c r="B108" s="34"/>
      <c r="C108" s="48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  <c r="CF108" s="34"/>
      <c r="CG108" s="34"/>
      <c r="CH108" s="34"/>
      <c r="CI108" s="34"/>
      <c r="CJ108" s="34"/>
      <c r="CK108" s="34"/>
      <c r="CL108" s="34"/>
      <c r="CM108" s="34"/>
      <c r="CN108" s="34"/>
      <c r="CO108" s="34"/>
      <c r="CP108" s="34"/>
      <c r="CQ108" s="34"/>
      <c r="CR108" s="34"/>
      <c r="CS108" s="34"/>
      <c r="CT108" s="34"/>
      <c r="CU108" s="34"/>
      <c r="CV108" s="34"/>
      <c r="CW108" s="34"/>
      <c r="CX108" s="34"/>
      <c r="CY108" s="34"/>
      <c r="CZ108" s="34"/>
      <c r="DA108" s="34"/>
      <c r="DB108" s="34"/>
      <c r="DC108" s="34"/>
      <c r="DD108" s="34"/>
      <c r="DE108" s="34"/>
      <c r="DF108" s="34"/>
      <c r="DG108" s="34"/>
      <c r="DH108" s="34"/>
      <c r="DI108" s="34"/>
      <c r="DJ108" s="34"/>
      <c r="DK108" s="34"/>
      <c r="DL108" s="34"/>
      <c r="DM108" s="34"/>
      <c r="DN108" s="34"/>
      <c r="DO108" s="34"/>
      <c r="DP108" s="34"/>
      <c r="DQ108" s="34"/>
      <c r="DR108" s="34"/>
      <c r="DS108" s="34"/>
      <c r="DT108" s="34"/>
      <c r="DU108" s="34"/>
      <c r="DV108" s="34"/>
      <c r="DW108" s="34"/>
      <c r="DX108" s="34"/>
      <c r="DY108" s="34"/>
      <c r="DZ108" s="34"/>
      <c r="EA108" s="34"/>
      <c r="EB108" s="34"/>
      <c r="EC108" s="34"/>
      <c r="ED108" s="34"/>
      <c r="EE108" s="34"/>
    </row>
    <row r="109" spans="1:135" x14ac:dyDescent="0.4">
      <c r="A109" s="29" t="str">
        <f t="shared" si="134"/>
        <v/>
      </c>
      <c r="B109" s="34"/>
      <c r="C109" s="48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  <c r="CF109" s="34"/>
      <c r="CG109" s="34"/>
      <c r="CH109" s="34"/>
      <c r="CI109" s="34"/>
      <c r="CJ109" s="34"/>
      <c r="CK109" s="34"/>
      <c r="CL109" s="34"/>
      <c r="CM109" s="34"/>
      <c r="CN109" s="34"/>
      <c r="CO109" s="34"/>
      <c r="CP109" s="34"/>
      <c r="CQ109" s="34"/>
      <c r="CR109" s="34"/>
      <c r="CS109" s="34"/>
      <c r="CT109" s="34"/>
      <c r="CU109" s="34"/>
      <c r="CV109" s="34"/>
      <c r="CW109" s="34"/>
      <c r="CX109" s="34"/>
      <c r="CY109" s="34"/>
      <c r="CZ109" s="34"/>
      <c r="DA109" s="34"/>
      <c r="DB109" s="34"/>
      <c r="DC109" s="34"/>
      <c r="DD109" s="34"/>
      <c r="DE109" s="34"/>
      <c r="DF109" s="34"/>
      <c r="DG109" s="34"/>
      <c r="DH109" s="34"/>
      <c r="DI109" s="34"/>
      <c r="DJ109" s="34"/>
      <c r="DK109" s="34"/>
      <c r="DL109" s="34"/>
      <c r="DM109" s="34"/>
      <c r="DN109" s="34"/>
      <c r="DO109" s="34"/>
      <c r="DP109" s="34"/>
      <c r="DQ109" s="34"/>
      <c r="DR109" s="34"/>
      <c r="DS109" s="34"/>
      <c r="DT109" s="34"/>
      <c r="DU109" s="34"/>
      <c r="DV109" s="34"/>
      <c r="DW109" s="34"/>
      <c r="DX109" s="34"/>
      <c r="DY109" s="34"/>
      <c r="DZ109" s="34"/>
      <c r="EA109" s="34"/>
      <c r="EB109" s="34"/>
      <c r="EC109" s="34"/>
      <c r="ED109" s="34"/>
      <c r="EE109" s="34"/>
    </row>
    <row r="110" spans="1:135" x14ac:dyDescent="0.4">
      <c r="A110" s="29" t="str">
        <f t="shared" si="134"/>
        <v/>
      </c>
      <c r="B110" s="34"/>
      <c r="C110" s="48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  <c r="CF110" s="34"/>
      <c r="CG110" s="34"/>
      <c r="CH110" s="34"/>
      <c r="CI110" s="34"/>
      <c r="CJ110" s="34"/>
      <c r="CK110" s="34"/>
      <c r="CL110" s="34"/>
      <c r="CM110" s="34"/>
      <c r="CN110" s="34"/>
      <c r="CO110" s="34"/>
      <c r="CP110" s="34"/>
      <c r="CQ110" s="34"/>
      <c r="CR110" s="34"/>
      <c r="CS110" s="34"/>
      <c r="CT110" s="34"/>
      <c r="CU110" s="34"/>
      <c r="CV110" s="34"/>
      <c r="CW110" s="34"/>
      <c r="CX110" s="34"/>
      <c r="CY110" s="34"/>
      <c r="CZ110" s="34"/>
      <c r="DA110" s="34"/>
      <c r="DB110" s="34"/>
      <c r="DC110" s="34"/>
      <c r="DD110" s="34"/>
      <c r="DE110" s="34"/>
      <c r="DF110" s="34"/>
      <c r="DG110" s="34"/>
      <c r="DH110" s="34"/>
      <c r="DI110" s="34"/>
      <c r="DJ110" s="34"/>
      <c r="DK110" s="34"/>
      <c r="DL110" s="34"/>
      <c r="DM110" s="34"/>
      <c r="DN110" s="34"/>
      <c r="DO110" s="34"/>
      <c r="DP110" s="34"/>
      <c r="DQ110" s="34"/>
      <c r="DR110" s="34"/>
      <c r="DS110" s="34"/>
      <c r="DT110" s="34"/>
      <c r="DU110" s="34"/>
      <c r="DV110" s="34"/>
      <c r="DW110" s="34"/>
      <c r="DX110" s="34"/>
      <c r="DY110" s="34"/>
      <c r="DZ110" s="34"/>
      <c r="EA110" s="34"/>
      <c r="EB110" s="34"/>
      <c r="EC110" s="34"/>
      <c r="ED110" s="34"/>
      <c r="EE110" s="34"/>
    </row>
    <row r="111" spans="1:135" x14ac:dyDescent="0.4">
      <c r="A111" s="29" t="str">
        <f t="shared" si="134"/>
        <v/>
      </c>
      <c r="B111" s="34"/>
      <c r="C111" s="48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  <c r="CF111" s="34"/>
      <c r="CG111" s="34"/>
      <c r="CH111" s="34"/>
      <c r="CI111" s="34"/>
      <c r="CJ111" s="34"/>
      <c r="CK111" s="34"/>
      <c r="CL111" s="34"/>
      <c r="CM111" s="34"/>
      <c r="CN111" s="34"/>
      <c r="CO111" s="34"/>
      <c r="CP111" s="34"/>
      <c r="CQ111" s="34"/>
      <c r="CR111" s="34"/>
      <c r="CS111" s="34"/>
      <c r="CT111" s="34"/>
      <c r="CU111" s="34"/>
      <c r="CV111" s="34"/>
      <c r="CW111" s="34"/>
      <c r="CX111" s="34"/>
      <c r="CY111" s="34"/>
      <c r="CZ111" s="34"/>
      <c r="DA111" s="34"/>
      <c r="DB111" s="34"/>
      <c r="DC111" s="34"/>
      <c r="DD111" s="34"/>
      <c r="DE111" s="34"/>
      <c r="DF111" s="34"/>
      <c r="DG111" s="34"/>
      <c r="DH111" s="34"/>
      <c r="DI111" s="34"/>
      <c r="DJ111" s="34"/>
      <c r="DK111" s="34"/>
      <c r="DL111" s="34"/>
      <c r="DM111" s="34"/>
      <c r="DN111" s="34"/>
      <c r="DO111" s="34"/>
      <c r="DP111" s="34"/>
      <c r="DQ111" s="34"/>
      <c r="DR111" s="34"/>
      <c r="DS111" s="34"/>
      <c r="DT111" s="34"/>
      <c r="DU111" s="34"/>
      <c r="DV111" s="34"/>
      <c r="DW111" s="34"/>
      <c r="DX111" s="34"/>
      <c r="DY111" s="34"/>
      <c r="DZ111" s="34"/>
      <c r="EA111" s="34"/>
      <c r="EB111" s="34"/>
      <c r="EC111" s="34"/>
      <c r="ED111" s="34"/>
      <c r="EE111" s="34"/>
    </row>
    <row r="112" spans="1:135" x14ac:dyDescent="0.4">
      <c r="A112" s="29" t="str">
        <f t="shared" si="134"/>
        <v/>
      </c>
      <c r="B112" s="34"/>
      <c r="C112" s="48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  <c r="CF112" s="34"/>
      <c r="CG112" s="34"/>
      <c r="CH112" s="34"/>
      <c r="CI112" s="34"/>
      <c r="CJ112" s="34"/>
      <c r="CK112" s="34"/>
      <c r="CL112" s="34"/>
      <c r="CM112" s="34"/>
      <c r="CN112" s="34"/>
      <c r="CO112" s="34"/>
      <c r="CP112" s="34"/>
      <c r="CQ112" s="34"/>
      <c r="CR112" s="34"/>
      <c r="CS112" s="34"/>
      <c r="CT112" s="34"/>
      <c r="CU112" s="34"/>
      <c r="CV112" s="34"/>
      <c r="CW112" s="34"/>
      <c r="CX112" s="34"/>
      <c r="CY112" s="34"/>
      <c r="CZ112" s="34"/>
      <c r="DA112" s="34"/>
      <c r="DB112" s="34"/>
      <c r="DC112" s="34"/>
      <c r="DD112" s="34"/>
      <c r="DE112" s="34"/>
      <c r="DF112" s="34"/>
      <c r="DG112" s="34"/>
      <c r="DH112" s="34"/>
      <c r="DI112" s="34"/>
      <c r="DJ112" s="34"/>
      <c r="DK112" s="34"/>
      <c r="DL112" s="34"/>
      <c r="DM112" s="34"/>
      <c r="DN112" s="34"/>
      <c r="DO112" s="34"/>
      <c r="DP112" s="34"/>
      <c r="DQ112" s="34"/>
      <c r="DR112" s="34"/>
      <c r="DS112" s="34"/>
      <c r="DT112" s="34"/>
      <c r="DU112" s="34"/>
      <c r="DV112" s="34"/>
      <c r="DW112" s="34"/>
      <c r="DX112" s="34"/>
      <c r="DY112" s="34"/>
      <c r="DZ112" s="34"/>
      <c r="EA112" s="34"/>
      <c r="EB112" s="34"/>
      <c r="EC112" s="34"/>
      <c r="ED112" s="34"/>
      <c r="EE112" s="34"/>
    </row>
    <row r="113" spans="1:135" x14ac:dyDescent="0.4">
      <c r="A113" s="29" t="str">
        <f t="shared" si="134"/>
        <v/>
      </c>
      <c r="B113" s="34"/>
      <c r="C113" s="48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  <c r="CF113" s="34"/>
      <c r="CG113" s="34"/>
      <c r="CH113" s="34"/>
      <c r="CI113" s="34"/>
      <c r="CJ113" s="34"/>
      <c r="CK113" s="34"/>
      <c r="CL113" s="34"/>
      <c r="CM113" s="34"/>
      <c r="CN113" s="34"/>
      <c r="CO113" s="34"/>
      <c r="CP113" s="34"/>
      <c r="CQ113" s="34"/>
      <c r="CR113" s="34"/>
      <c r="CS113" s="34"/>
      <c r="CT113" s="34"/>
      <c r="CU113" s="34"/>
      <c r="CV113" s="34"/>
      <c r="CW113" s="34"/>
      <c r="CX113" s="34"/>
      <c r="CY113" s="34"/>
      <c r="CZ113" s="34"/>
      <c r="DA113" s="34"/>
      <c r="DB113" s="34"/>
      <c r="DC113" s="34"/>
      <c r="DD113" s="34"/>
      <c r="DE113" s="34"/>
      <c r="DF113" s="34"/>
      <c r="DG113" s="34"/>
      <c r="DH113" s="34"/>
      <c r="DI113" s="34"/>
      <c r="DJ113" s="34"/>
      <c r="DK113" s="34"/>
      <c r="DL113" s="34"/>
      <c r="DM113" s="34"/>
      <c r="DN113" s="34"/>
      <c r="DO113" s="34"/>
      <c r="DP113" s="34"/>
      <c r="DQ113" s="34"/>
      <c r="DR113" s="34"/>
      <c r="DS113" s="34"/>
      <c r="DT113" s="34"/>
      <c r="DU113" s="34"/>
      <c r="DV113" s="34"/>
      <c r="DW113" s="34"/>
      <c r="DX113" s="34"/>
      <c r="DY113" s="34"/>
      <c r="DZ113" s="34"/>
      <c r="EA113" s="34"/>
      <c r="EB113" s="34"/>
      <c r="EC113" s="34"/>
      <c r="ED113" s="34"/>
      <c r="EE113" s="34"/>
    </row>
    <row r="114" spans="1:135" x14ac:dyDescent="0.4">
      <c r="A114" s="29" t="str">
        <f t="shared" si="134"/>
        <v/>
      </c>
      <c r="B114" s="34"/>
      <c r="C114" s="48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  <c r="CE114" s="34"/>
      <c r="CF114" s="34"/>
      <c r="CG114" s="34"/>
      <c r="CH114" s="34"/>
      <c r="CI114" s="34"/>
      <c r="CJ114" s="34"/>
      <c r="CK114" s="34"/>
      <c r="CL114" s="34"/>
      <c r="CM114" s="34"/>
      <c r="CN114" s="34"/>
      <c r="CO114" s="34"/>
      <c r="CP114" s="34"/>
      <c r="CQ114" s="34"/>
      <c r="CR114" s="34"/>
      <c r="CS114" s="34"/>
      <c r="CT114" s="34"/>
      <c r="CU114" s="34"/>
      <c r="CV114" s="34"/>
      <c r="CW114" s="34"/>
      <c r="CX114" s="34"/>
      <c r="CY114" s="34"/>
      <c r="CZ114" s="34"/>
      <c r="DA114" s="34"/>
      <c r="DB114" s="34"/>
      <c r="DC114" s="34"/>
      <c r="DD114" s="34"/>
      <c r="DE114" s="34"/>
      <c r="DF114" s="34"/>
      <c r="DG114" s="34"/>
      <c r="DH114" s="34"/>
      <c r="DI114" s="34"/>
      <c r="DJ114" s="34"/>
      <c r="DK114" s="34"/>
      <c r="DL114" s="34"/>
      <c r="DM114" s="34"/>
      <c r="DN114" s="34"/>
      <c r="DO114" s="34"/>
      <c r="DP114" s="34"/>
      <c r="DQ114" s="34"/>
      <c r="DR114" s="34"/>
      <c r="DS114" s="34"/>
      <c r="DT114" s="34"/>
      <c r="DU114" s="34"/>
      <c r="DV114" s="34"/>
      <c r="DW114" s="34"/>
      <c r="DX114" s="34"/>
      <c r="DY114" s="34"/>
      <c r="DZ114" s="34"/>
      <c r="EA114" s="34"/>
      <c r="EB114" s="34"/>
      <c r="EC114" s="34"/>
      <c r="ED114" s="34"/>
      <c r="EE114" s="34"/>
    </row>
    <row r="115" spans="1:135" x14ac:dyDescent="0.4">
      <c r="A115" s="29" t="str">
        <f t="shared" si="134"/>
        <v/>
      </c>
      <c r="B115" s="34"/>
      <c r="C115" s="48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  <c r="CF115" s="34"/>
      <c r="CG115" s="34"/>
      <c r="CH115" s="34"/>
      <c r="CI115" s="34"/>
      <c r="CJ115" s="34"/>
      <c r="CK115" s="34"/>
      <c r="CL115" s="34"/>
      <c r="CM115" s="34"/>
      <c r="CN115" s="34"/>
      <c r="CO115" s="34"/>
      <c r="CP115" s="34"/>
      <c r="CQ115" s="34"/>
      <c r="CR115" s="34"/>
      <c r="CS115" s="34"/>
      <c r="CT115" s="34"/>
      <c r="CU115" s="34"/>
      <c r="CV115" s="34"/>
      <c r="CW115" s="34"/>
      <c r="CX115" s="34"/>
      <c r="CY115" s="34"/>
      <c r="CZ115" s="34"/>
      <c r="DA115" s="34"/>
      <c r="DB115" s="34"/>
      <c r="DC115" s="34"/>
      <c r="DD115" s="34"/>
      <c r="DE115" s="34"/>
      <c r="DF115" s="34"/>
      <c r="DG115" s="34"/>
      <c r="DH115" s="34"/>
      <c r="DI115" s="34"/>
      <c r="DJ115" s="34"/>
      <c r="DK115" s="34"/>
      <c r="DL115" s="34"/>
      <c r="DM115" s="34"/>
      <c r="DN115" s="34"/>
      <c r="DO115" s="34"/>
      <c r="DP115" s="34"/>
      <c r="DQ115" s="34"/>
      <c r="DR115" s="34"/>
      <c r="DS115" s="34"/>
      <c r="DT115" s="34"/>
      <c r="DU115" s="34"/>
      <c r="DV115" s="34"/>
      <c r="DW115" s="34"/>
      <c r="DX115" s="34"/>
      <c r="DY115" s="34"/>
      <c r="DZ115" s="34"/>
      <c r="EA115" s="34"/>
      <c r="EB115" s="34"/>
      <c r="EC115" s="34"/>
      <c r="ED115" s="34"/>
      <c r="EE115" s="34"/>
    </row>
    <row r="116" spans="1:135" x14ac:dyDescent="0.4">
      <c r="A116" s="29" t="str">
        <f t="shared" si="134"/>
        <v/>
      </c>
      <c r="B116" s="34"/>
      <c r="C116" s="48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  <c r="CE116" s="34"/>
      <c r="CF116" s="34"/>
      <c r="CG116" s="34"/>
      <c r="CH116" s="34"/>
      <c r="CI116" s="34"/>
      <c r="CJ116" s="34"/>
      <c r="CK116" s="34"/>
      <c r="CL116" s="34"/>
      <c r="CM116" s="34"/>
      <c r="CN116" s="34"/>
      <c r="CO116" s="34"/>
      <c r="CP116" s="34"/>
      <c r="CQ116" s="34"/>
      <c r="CR116" s="34"/>
      <c r="CS116" s="34"/>
      <c r="CT116" s="34"/>
      <c r="CU116" s="34"/>
      <c r="CV116" s="34"/>
      <c r="CW116" s="34"/>
      <c r="CX116" s="34"/>
      <c r="CY116" s="34"/>
      <c r="CZ116" s="34"/>
      <c r="DA116" s="34"/>
      <c r="DB116" s="34"/>
      <c r="DC116" s="34"/>
      <c r="DD116" s="34"/>
      <c r="DE116" s="34"/>
      <c r="DF116" s="34"/>
      <c r="DG116" s="34"/>
      <c r="DH116" s="34"/>
      <c r="DI116" s="34"/>
      <c r="DJ116" s="34"/>
      <c r="DK116" s="34"/>
      <c r="DL116" s="34"/>
      <c r="DM116" s="34"/>
      <c r="DN116" s="34"/>
      <c r="DO116" s="34"/>
      <c r="DP116" s="34"/>
      <c r="DQ116" s="34"/>
      <c r="DR116" s="34"/>
      <c r="DS116" s="34"/>
      <c r="DT116" s="34"/>
      <c r="DU116" s="34"/>
      <c r="DV116" s="34"/>
      <c r="DW116" s="34"/>
      <c r="DX116" s="34"/>
      <c r="DY116" s="34"/>
      <c r="DZ116" s="34"/>
      <c r="EA116" s="34"/>
      <c r="EB116" s="34"/>
      <c r="EC116" s="34"/>
      <c r="ED116" s="34"/>
      <c r="EE116" s="34"/>
    </row>
    <row r="117" spans="1:135" x14ac:dyDescent="0.4">
      <c r="A117" s="29" t="str">
        <f t="shared" si="134"/>
        <v/>
      </c>
      <c r="B117" s="34"/>
      <c r="C117" s="48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  <c r="CF117" s="34"/>
      <c r="CG117" s="34"/>
      <c r="CH117" s="34"/>
      <c r="CI117" s="34"/>
      <c r="CJ117" s="34"/>
      <c r="CK117" s="34"/>
      <c r="CL117" s="34"/>
      <c r="CM117" s="34"/>
      <c r="CN117" s="34"/>
      <c r="CO117" s="34"/>
      <c r="CP117" s="34"/>
      <c r="CQ117" s="34"/>
      <c r="CR117" s="34"/>
      <c r="CS117" s="34"/>
      <c r="CT117" s="34"/>
      <c r="CU117" s="34"/>
      <c r="CV117" s="34"/>
      <c r="CW117" s="34"/>
      <c r="CX117" s="34"/>
      <c r="CY117" s="34"/>
      <c r="CZ117" s="34"/>
      <c r="DA117" s="34"/>
      <c r="DB117" s="34"/>
      <c r="DC117" s="34"/>
      <c r="DD117" s="34"/>
      <c r="DE117" s="34"/>
      <c r="DF117" s="34"/>
      <c r="DG117" s="34"/>
      <c r="DH117" s="34"/>
      <c r="DI117" s="34"/>
      <c r="DJ117" s="34"/>
      <c r="DK117" s="34"/>
      <c r="DL117" s="34"/>
      <c r="DM117" s="34"/>
      <c r="DN117" s="34"/>
      <c r="DO117" s="34"/>
      <c r="DP117" s="34"/>
      <c r="DQ117" s="34"/>
      <c r="DR117" s="34"/>
      <c r="DS117" s="34"/>
      <c r="DT117" s="34"/>
      <c r="DU117" s="34"/>
      <c r="DV117" s="34"/>
      <c r="DW117" s="34"/>
      <c r="DX117" s="34"/>
      <c r="DY117" s="34"/>
      <c r="DZ117" s="34"/>
      <c r="EA117" s="34"/>
      <c r="EB117" s="34"/>
      <c r="EC117" s="34"/>
      <c r="ED117" s="34"/>
      <c r="EE117" s="34"/>
    </row>
    <row r="118" spans="1:135" x14ac:dyDescent="0.4">
      <c r="A118" s="29" t="str">
        <f t="shared" si="134"/>
        <v/>
      </c>
      <c r="B118" s="34"/>
      <c r="C118" s="48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4"/>
      <c r="AJ118" s="34"/>
      <c r="AK118" s="34"/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  <c r="CF118" s="34"/>
      <c r="CG118" s="34"/>
      <c r="CH118" s="34"/>
      <c r="CI118" s="34"/>
      <c r="CJ118" s="34"/>
      <c r="CK118" s="34"/>
      <c r="CL118" s="34"/>
      <c r="CM118" s="34"/>
      <c r="CN118" s="34"/>
      <c r="CO118" s="34"/>
      <c r="CP118" s="34"/>
      <c r="CQ118" s="34"/>
      <c r="CR118" s="34"/>
      <c r="CS118" s="34"/>
      <c r="CT118" s="34"/>
      <c r="CU118" s="34"/>
      <c r="CV118" s="34"/>
      <c r="CW118" s="34"/>
      <c r="CX118" s="34"/>
      <c r="CY118" s="34"/>
      <c r="CZ118" s="34"/>
      <c r="DA118" s="34"/>
      <c r="DB118" s="34"/>
      <c r="DC118" s="34"/>
      <c r="DD118" s="34"/>
      <c r="DE118" s="34"/>
      <c r="DF118" s="34"/>
      <c r="DG118" s="34"/>
      <c r="DH118" s="34"/>
      <c r="DI118" s="34"/>
      <c r="DJ118" s="34"/>
      <c r="DK118" s="34"/>
      <c r="DL118" s="34"/>
      <c r="DM118" s="34"/>
      <c r="DN118" s="34"/>
      <c r="DO118" s="34"/>
      <c r="DP118" s="34"/>
      <c r="DQ118" s="34"/>
      <c r="DR118" s="34"/>
      <c r="DS118" s="34"/>
      <c r="DT118" s="34"/>
      <c r="DU118" s="34"/>
      <c r="DV118" s="34"/>
      <c r="DW118" s="34"/>
      <c r="DX118" s="34"/>
      <c r="DY118" s="34"/>
      <c r="DZ118" s="34"/>
      <c r="EA118" s="34"/>
      <c r="EB118" s="34"/>
      <c r="EC118" s="34"/>
      <c r="ED118" s="34"/>
      <c r="EE118" s="34"/>
    </row>
    <row r="119" spans="1:135" x14ac:dyDescent="0.4">
      <c r="A119" s="29" t="str">
        <f t="shared" si="134"/>
        <v/>
      </c>
      <c r="B119" s="34"/>
      <c r="C119" s="48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4"/>
      <c r="AJ119" s="34"/>
      <c r="AK119" s="34"/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  <c r="CF119" s="34"/>
      <c r="CG119" s="34"/>
      <c r="CH119" s="34"/>
      <c r="CI119" s="34"/>
      <c r="CJ119" s="34"/>
      <c r="CK119" s="34"/>
      <c r="CL119" s="34"/>
      <c r="CM119" s="34"/>
      <c r="CN119" s="34"/>
      <c r="CO119" s="34"/>
      <c r="CP119" s="34"/>
      <c r="CQ119" s="34"/>
      <c r="CR119" s="34"/>
      <c r="CS119" s="34"/>
      <c r="CT119" s="34"/>
      <c r="CU119" s="34"/>
      <c r="CV119" s="34"/>
      <c r="CW119" s="34"/>
      <c r="CX119" s="34"/>
      <c r="CY119" s="34"/>
      <c r="CZ119" s="34"/>
      <c r="DA119" s="34"/>
      <c r="DB119" s="34"/>
      <c r="DC119" s="34"/>
      <c r="DD119" s="34"/>
      <c r="DE119" s="34"/>
      <c r="DF119" s="34"/>
      <c r="DG119" s="34"/>
      <c r="DH119" s="34"/>
      <c r="DI119" s="34"/>
      <c r="DJ119" s="34"/>
      <c r="DK119" s="34"/>
      <c r="DL119" s="34"/>
      <c r="DM119" s="34"/>
      <c r="DN119" s="34"/>
      <c r="DO119" s="34"/>
      <c r="DP119" s="34"/>
      <c r="DQ119" s="34"/>
      <c r="DR119" s="34"/>
      <c r="DS119" s="34"/>
      <c r="DT119" s="34"/>
      <c r="DU119" s="34"/>
      <c r="DV119" s="34"/>
      <c r="DW119" s="34"/>
      <c r="DX119" s="34"/>
      <c r="DY119" s="34"/>
      <c r="DZ119" s="34"/>
      <c r="EA119" s="34"/>
      <c r="EB119" s="34"/>
      <c r="EC119" s="34"/>
      <c r="ED119" s="34"/>
      <c r="EE119" s="34"/>
    </row>
    <row r="120" spans="1:135" x14ac:dyDescent="0.4">
      <c r="A120" s="29" t="str">
        <f t="shared" si="134"/>
        <v/>
      </c>
      <c r="B120" s="34"/>
      <c r="C120" s="48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4"/>
      <c r="AJ120" s="34"/>
      <c r="AK120" s="34"/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  <c r="CF120" s="34"/>
      <c r="CG120" s="34"/>
      <c r="CH120" s="34"/>
      <c r="CI120" s="34"/>
      <c r="CJ120" s="34"/>
      <c r="CK120" s="34"/>
      <c r="CL120" s="34"/>
      <c r="CM120" s="34"/>
      <c r="CN120" s="34"/>
      <c r="CO120" s="34"/>
      <c r="CP120" s="34"/>
      <c r="CQ120" s="34"/>
      <c r="CR120" s="34"/>
      <c r="CS120" s="34"/>
      <c r="CT120" s="34"/>
      <c r="CU120" s="34"/>
      <c r="CV120" s="34"/>
      <c r="CW120" s="34"/>
      <c r="CX120" s="34"/>
      <c r="CY120" s="34"/>
      <c r="CZ120" s="34"/>
      <c r="DA120" s="34"/>
      <c r="DB120" s="34"/>
      <c r="DC120" s="34"/>
      <c r="DD120" s="34"/>
      <c r="DE120" s="34"/>
      <c r="DF120" s="34"/>
      <c r="DG120" s="34"/>
      <c r="DH120" s="34"/>
      <c r="DI120" s="34"/>
      <c r="DJ120" s="34"/>
      <c r="DK120" s="34"/>
      <c r="DL120" s="34"/>
      <c r="DM120" s="34"/>
      <c r="DN120" s="34"/>
      <c r="DO120" s="34"/>
      <c r="DP120" s="34"/>
      <c r="DQ120" s="34"/>
      <c r="DR120" s="34"/>
      <c r="DS120" s="34"/>
      <c r="DT120" s="34"/>
      <c r="DU120" s="34"/>
      <c r="DV120" s="34"/>
      <c r="DW120" s="34"/>
      <c r="DX120" s="34"/>
      <c r="DY120" s="34"/>
      <c r="DZ120" s="34"/>
      <c r="EA120" s="34"/>
      <c r="EB120" s="34"/>
      <c r="EC120" s="34"/>
      <c r="ED120" s="34"/>
      <c r="EE120" s="34"/>
    </row>
    <row r="121" spans="1:135" x14ac:dyDescent="0.4">
      <c r="A121" s="29" t="str">
        <f t="shared" si="134"/>
        <v/>
      </c>
      <c r="B121" s="34"/>
      <c r="C121" s="48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4"/>
      <c r="AJ121" s="34"/>
      <c r="AK121" s="34"/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  <c r="CF121" s="34"/>
      <c r="CG121" s="34"/>
      <c r="CH121" s="34"/>
      <c r="CI121" s="34"/>
      <c r="CJ121" s="34"/>
      <c r="CK121" s="34"/>
      <c r="CL121" s="34"/>
      <c r="CM121" s="34"/>
      <c r="CN121" s="34"/>
      <c r="CO121" s="34"/>
      <c r="CP121" s="34"/>
      <c r="CQ121" s="34"/>
      <c r="CR121" s="34"/>
      <c r="CS121" s="34"/>
      <c r="CT121" s="34"/>
      <c r="CU121" s="34"/>
      <c r="CV121" s="34"/>
      <c r="CW121" s="34"/>
      <c r="CX121" s="34"/>
      <c r="CY121" s="34"/>
      <c r="CZ121" s="34"/>
      <c r="DA121" s="34"/>
      <c r="DB121" s="34"/>
      <c r="DC121" s="34"/>
      <c r="DD121" s="34"/>
      <c r="DE121" s="34"/>
      <c r="DF121" s="34"/>
      <c r="DG121" s="34"/>
      <c r="DH121" s="34"/>
      <c r="DI121" s="34"/>
      <c r="DJ121" s="34"/>
      <c r="DK121" s="34"/>
      <c r="DL121" s="34"/>
      <c r="DM121" s="34"/>
      <c r="DN121" s="34"/>
      <c r="DO121" s="34"/>
      <c r="DP121" s="34"/>
      <c r="DQ121" s="34"/>
      <c r="DR121" s="34"/>
      <c r="DS121" s="34"/>
      <c r="DT121" s="34"/>
      <c r="DU121" s="34"/>
      <c r="DV121" s="34"/>
      <c r="DW121" s="34"/>
      <c r="DX121" s="34"/>
      <c r="DY121" s="34"/>
      <c r="DZ121" s="34"/>
      <c r="EA121" s="34"/>
      <c r="EB121" s="34"/>
      <c r="EC121" s="34"/>
      <c r="ED121" s="34"/>
      <c r="EE121" s="34"/>
    </row>
    <row r="122" spans="1:135" x14ac:dyDescent="0.4">
      <c r="A122" s="29" t="str">
        <f t="shared" si="134"/>
        <v/>
      </c>
      <c r="B122" s="34"/>
      <c r="C122" s="48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4"/>
      <c r="AJ122" s="34"/>
      <c r="AK122" s="34"/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  <c r="CF122" s="34"/>
      <c r="CG122" s="34"/>
      <c r="CH122" s="34"/>
      <c r="CI122" s="34"/>
      <c r="CJ122" s="34"/>
      <c r="CK122" s="34"/>
      <c r="CL122" s="34"/>
      <c r="CM122" s="34"/>
      <c r="CN122" s="34"/>
      <c r="CO122" s="34"/>
      <c r="CP122" s="34"/>
      <c r="CQ122" s="34"/>
      <c r="CR122" s="34"/>
      <c r="CS122" s="34"/>
      <c r="CT122" s="34"/>
      <c r="CU122" s="34"/>
      <c r="CV122" s="34"/>
      <c r="CW122" s="34"/>
      <c r="CX122" s="34"/>
      <c r="CY122" s="34"/>
      <c r="CZ122" s="34"/>
      <c r="DA122" s="34"/>
      <c r="DB122" s="34"/>
      <c r="DC122" s="34"/>
      <c r="DD122" s="34"/>
      <c r="DE122" s="34"/>
      <c r="DF122" s="34"/>
      <c r="DG122" s="34"/>
      <c r="DH122" s="34"/>
      <c r="DI122" s="34"/>
      <c r="DJ122" s="34"/>
      <c r="DK122" s="34"/>
      <c r="DL122" s="34"/>
      <c r="DM122" s="34"/>
      <c r="DN122" s="34"/>
      <c r="DO122" s="34"/>
      <c r="DP122" s="34"/>
      <c r="DQ122" s="34"/>
      <c r="DR122" s="34"/>
      <c r="DS122" s="34"/>
      <c r="DT122" s="34"/>
      <c r="DU122" s="34"/>
      <c r="DV122" s="34"/>
      <c r="DW122" s="34"/>
      <c r="DX122" s="34"/>
      <c r="DY122" s="34"/>
      <c r="DZ122" s="34"/>
      <c r="EA122" s="34"/>
      <c r="EB122" s="34"/>
      <c r="EC122" s="34"/>
      <c r="ED122" s="34"/>
      <c r="EE122" s="34"/>
    </row>
    <row r="123" spans="1:135" x14ac:dyDescent="0.4">
      <c r="A123" s="29" t="str">
        <f t="shared" si="134"/>
        <v/>
      </c>
      <c r="B123" s="34"/>
      <c r="C123" s="48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4"/>
      <c r="AJ123" s="34"/>
      <c r="AK123" s="34"/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  <c r="CF123" s="34"/>
      <c r="CG123" s="34"/>
      <c r="CH123" s="34"/>
      <c r="CI123" s="34"/>
      <c r="CJ123" s="34"/>
      <c r="CK123" s="34"/>
      <c r="CL123" s="34"/>
      <c r="CM123" s="34"/>
      <c r="CN123" s="34"/>
      <c r="CO123" s="34"/>
      <c r="CP123" s="34"/>
      <c r="CQ123" s="34"/>
      <c r="CR123" s="34"/>
      <c r="CS123" s="34"/>
      <c r="CT123" s="34"/>
      <c r="CU123" s="34"/>
      <c r="CV123" s="34"/>
      <c r="CW123" s="34"/>
      <c r="CX123" s="34"/>
      <c r="CY123" s="34"/>
      <c r="CZ123" s="34"/>
      <c r="DA123" s="34"/>
      <c r="DB123" s="34"/>
      <c r="DC123" s="34"/>
      <c r="DD123" s="34"/>
      <c r="DE123" s="34"/>
      <c r="DF123" s="34"/>
      <c r="DG123" s="34"/>
      <c r="DH123" s="34"/>
      <c r="DI123" s="34"/>
      <c r="DJ123" s="34"/>
      <c r="DK123" s="34"/>
      <c r="DL123" s="34"/>
      <c r="DM123" s="34"/>
      <c r="DN123" s="34"/>
      <c r="DO123" s="34"/>
      <c r="DP123" s="34"/>
      <c r="DQ123" s="34"/>
      <c r="DR123" s="34"/>
      <c r="DS123" s="34"/>
      <c r="DT123" s="34"/>
      <c r="DU123" s="34"/>
      <c r="DV123" s="34"/>
      <c r="DW123" s="34"/>
      <c r="DX123" s="34"/>
      <c r="DY123" s="34"/>
      <c r="DZ123" s="34"/>
      <c r="EA123" s="34"/>
      <c r="EB123" s="34"/>
      <c r="EC123" s="34"/>
      <c r="ED123" s="34"/>
      <c r="EE123" s="34"/>
    </row>
    <row r="124" spans="1:135" x14ac:dyDescent="0.4">
      <c r="A124" s="29" t="str">
        <f t="shared" si="134"/>
        <v/>
      </c>
      <c r="B124" s="34"/>
      <c r="C124" s="48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4"/>
      <c r="AJ124" s="34"/>
      <c r="AK124" s="34"/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  <c r="CF124" s="34"/>
      <c r="CG124" s="34"/>
      <c r="CH124" s="34"/>
      <c r="CI124" s="34"/>
      <c r="CJ124" s="34"/>
      <c r="CK124" s="34"/>
      <c r="CL124" s="34"/>
      <c r="CM124" s="34"/>
      <c r="CN124" s="34"/>
      <c r="CO124" s="34"/>
      <c r="CP124" s="34"/>
      <c r="CQ124" s="34"/>
      <c r="CR124" s="34"/>
      <c r="CS124" s="34"/>
      <c r="CT124" s="34"/>
      <c r="CU124" s="34"/>
      <c r="CV124" s="34"/>
      <c r="CW124" s="34"/>
      <c r="CX124" s="34"/>
      <c r="CY124" s="34"/>
      <c r="CZ124" s="34"/>
      <c r="DA124" s="34"/>
      <c r="DB124" s="34"/>
      <c r="DC124" s="34"/>
      <c r="DD124" s="34"/>
      <c r="DE124" s="34"/>
      <c r="DF124" s="34"/>
      <c r="DG124" s="34"/>
      <c r="DH124" s="34"/>
      <c r="DI124" s="34"/>
      <c r="DJ124" s="34"/>
      <c r="DK124" s="34"/>
      <c r="DL124" s="34"/>
      <c r="DM124" s="34"/>
      <c r="DN124" s="34"/>
      <c r="DO124" s="34"/>
      <c r="DP124" s="34"/>
      <c r="DQ124" s="34"/>
      <c r="DR124" s="34"/>
      <c r="DS124" s="34"/>
      <c r="DT124" s="34"/>
      <c r="DU124" s="34"/>
      <c r="DV124" s="34"/>
      <c r="DW124" s="34"/>
      <c r="DX124" s="34"/>
      <c r="DY124" s="34"/>
      <c r="DZ124" s="34"/>
      <c r="EA124" s="34"/>
      <c r="EB124" s="34"/>
      <c r="EC124" s="34"/>
      <c r="ED124" s="34"/>
      <c r="EE124" s="34"/>
    </row>
    <row r="125" spans="1:135" x14ac:dyDescent="0.4">
      <c r="A125" s="29" t="str">
        <f t="shared" si="134"/>
        <v/>
      </c>
      <c r="B125" s="34"/>
      <c r="C125" s="48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4"/>
      <c r="AJ125" s="34"/>
      <c r="AK125" s="34"/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  <c r="CF125" s="34"/>
      <c r="CG125" s="34"/>
      <c r="CH125" s="34"/>
      <c r="CI125" s="34"/>
      <c r="CJ125" s="34"/>
      <c r="CK125" s="34"/>
      <c r="CL125" s="34"/>
      <c r="CM125" s="34"/>
      <c r="CN125" s="34"/>
      <c r="CO125" s="34"/>
      <c r="CP125" s="34"/>
      <c r="CQ125" s="34"/>
      <c r="CR125" s="34"/>
      <c r="CS125" s="34"/>
      <c r="CT125" s="34"/>
      <c r="CU125" s="34"/>
      <c r="CV125" s="34"/>
      <c r="CW125" s="34"/>
      <c r="CX125" s="34"/>
      <c r="CY125" s="34"/>
      <c r="CZ125" s="34"/>
      <c r="DA125" s="34"/>
      <c r="DB125" s="34"/>
      <c r="DC125" s="34"/>
      <c r="DD125" s="34"/>
      <c r="DE125" s="34"/>
      <c r="DF125" s="34"/>
      <c r="DG125" s="34"/>
      <c r="DH125" s="34"/>
      <c r="DI125" s="34"/>
      <c r="DJ125" s="34"/>
      <c r="DK125" s="34"/>
      <c r="DL125" s="34"/>
      <c r="DM125" s="34"/>
      <c r="DN125" s="34"/>
      <c r="DO125" s="34"/>
      <c r="DP125" s="34"/>
      <c r="DQ125" s="34"/>
      <c r="DR125" s="34"/>
      <c r="DS125" s="34"/>
      <c r="DT125" s="34"/>
      <c r="DU125" s="34"/>
      <c r="DV125" s="34"/>
      <c r="DW125" s="34"/>
      <c r="DX125" s="34"/>
      <c r="DY125" s="34"/>
      <c r="DZ125" s="34"/>
      <c r="EA125" s="34"/>
      <c r="EB125" s="34"/>
      <c r="EC125" s="34"/>
      <c r="ED125" s="34"/>
      <c r="EE125" s="34"/>
    </row>
    <row r="126" spans="1:135" x14ac:dyDescent="0.4">
      <c r="A126" s="29" t="str">
        <f t="shared" si="134"/>
        <v/>
      </c>
      <c r="B126" s="34"/>
      <c r="C126" s="48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4"/>
      <c r="AJ126" s="34"/>
      <c r="AK126" s="34"/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  <c r="CF126" s="34"/>
      <c r="CG126" s="34"/>
      <c r="CH126" s="34"/>
      <c r="CI126" s="34"/>
      <c r="CJ126" s="34"/>
      <c r="CK126" s="34"/>
      <c r="CL126" s="34"/>
      <c r="CM126" s="34"/>
      <c r="CN126" s="34"/>
      <c r="CO126" s="34"/>
      <c r="CP126" s="34"/>
      <c r="CQ126" s="34"/>
      <c r="CR126" s="34"/>
      <c r="CS126" s="34"/>
      <c r="CT126" s="34"/>
      <c r="CU126" s="34"/>
      <c r="CV126" s="34"/>
      <c r="CW126" s="34"/>
      <c r="CX126" s="34"/>
      <c r="CY126" s="34"/>
      <c r="CZ126" s="34"/>
      <c r="DA126" s="34"/>
      <c r="DB126" s="34"/>
      <c r="DC126" s="34"/>
      <c r="DD126" s="34"/>
      <c r="DE126" s="34"/>
      <c r="DF126" s="34"/>
      <c r="DG126" s="34"/>
      <c r="DH126" s="34"/>
      <c r="DI126" s="34"/>
      <c r="DJ126" s="34"/>
      <c r="DK126" s="34"/>
      <c r="DL126" s="34"/>
      <c r="DM126" s="34"/>
      <c r="DN126" s="34"/>
      <c r="DO126" s="34"/>
      <c r="DP126" s="34"/>
      <c r="DQ126" s="34"/>
      <c r="DR126" s="34"/>
      <c r="DS126" s="34"/>
      <c r="DT126" s="34"/>
      <c r="DU126" s="34"/>
      <c r="DV126" s="34"/>
      <c r="DW126" s="34"/>
      <c r="DX126" s="34"/>
      <c r="DY126" s="34"/>
      <c r="DZ126" s="34"/>
      <c r="EA126" s="34"/>
      <c r="EB126" s="34"/>
      <c r="EC126" s="34"/>
      <c r="ED126" s="34"/>
      <c r="EE126" s="34"/>
    </row>
    <row r="127" spans="1:135" x14ac:dyDescent="0.4">
      <c r="A127" s="29" t="str">
        <f t="shared" si="134"/>
        <v/>
      </c>
      <c r="B127" s="34"/>
      <c r="C127" s="48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4"/>
      <c r="AJ127" s="34"/>
      <c r="AK127" s="34"/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  <c r="CF127" s="34"/>
      <c r="CG127" s="34"/>
      <c r="CH127" s="34"/>
      <c r="CI127" s="34"/>
      <c r="CJ127" s="34"/>
      <c r="CK127" s="34"/>
      <c r="CL127" s="34"/>
      <c r="CM127" s="34"/>
      <c r="CN127" s="34"/>
      <c r="CO127" s="34"/>
      <c r="CP127" s="34"/>
      <c r="CQ127" s="34"/>
      <c r="CR127" s="34"/>
      <c r="CS127" s="34"/>
      <c r="CT127" s="34"/>
      <c r="CU127" s="34"/>
      <c r="CV127" s="34"/>
      <c r="CW127" s="34"/>
      <c r="CX127" s="34"/>
      <c r="CY127" s="34"/>
      <c r="CZ127" s="34"/>
      <c r="DA127" s="34"/>
      <c r="DB127" s="34"/>
      <c r="DC127" s="34"/>
      <c r="DD127" s="34"/>
      <c r="DE127" s="34"/>
      <c r="DF127" s="34"/>
      <c r="DG127" s="34"/>
      <c r="DH127" s="34"/>
      <c r="DI127" s="34"/>
      <c r="DJ127" s="34"/>
      <c r="DK127" s="34"/>
      <c r="DL127" s="34"/>
      <c r="DM127" s="34"/>
      <c r="DN127" s="34"/>
      <c r="DO127" s="34"/>
      <c r="DP127" s="34"/>
      <c r="DQ127" s="34"/>
      <c r="DR127" s="34"/>
      <c r="DS127" s="34"/>
      <c r="DT127" s="34"/>
      <c r="DU127" s="34"/>
      <c r="DV127" s="34"/>
      <c r="DW127" s="34"/>
      <c r="DX127" s="34"/>
      <c r="DY127" s="34"/>
      <c r="DZ127" s="34"/>
      <c r="EA127" s="34"/>
      <c r="EB127" s="34"/>
      <c r="EC127" s="34"/>
      <c r="ED127" s="34"/>
      <c r="EE127" s="34"/>
    </row>
    <row r="128" spans="1:135" x14ac:dyDescent="0.4">
      <c r="A128" s="29" t="str">
        <f t="shared" si="134"/>
        <v/>
      </c>
      <c r="B128" s="34"/>
      <c r="C128" s="48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4"/>
      <c r="AJ128" s="34"/>
      <c r="AK128" s="34"/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  <c r="CF128" s="34"/>
      <c r="CG128" s="34"/>
      <c r="CH128" s="34"/>
      <c r="CI128" s="34"/>
      <c r="CJ128" s="34"/>
      <c r="CK128" s="34"/>
      <c r="CL128" s="34"/>
      <c r="CM128" s="34"/>
      <c r="CN128" s="34"/>
      <c r="CO128" s="34"/>
      <c r="CP128" s="34"/>
      <c r="CQ128" s="34"/>
      <c r="CR128" s="34"/>
      <c r="CS128" s="34"/>
      <c r="CT128" s="34"/>
      <c r="CU128" s="34"/>
      <c r="CV128" s="34"/>
      <c r="CW128" s="34"/>
      <c r="CX128" s="34"/>
      <c r="CY128" s="34"/>
      <c r="CZ128" s="34"/>
      <c r="DA128" s="34"/>
      <c r="DB128" s="34"/>
      <c r="DC128" s="34"/>
      <c r="DD128" s="34"/>
      <c r="DE128" s="34"/>
      <c r="DF128" s="34"/>
      <c r="DG128" s="34"/>
      <c r="DH128" s="34"/>
      <c r="DI128" s="34"/>
      <c r="DJ128" s="34"/>
      <c r="DK128" s="34"/>
      <c r="DL128" s="34"/>
      <c r="DM128" s="34"/>
      <c r="DN128" s="34"/>
      <c r="DO128" s="34"/>
      <c r="DP128" s="34"/>
      <c r="DQ128" s="34"/>
      <c r="DR128" s="34"/>
      <c r="DS128" s="34"/>
      <c r="DT128" s="34"/>
      <c r="DU128" s="34"/>
      <c r="DV128" s="34"/>
      <c r="DW128" s="34"/>
      <c r="DX128" s="34"/>
      <c r="DY128" s="34"/>
      <c r="DZ128" s="34"/>
      <c r="EA128" s="34"/>
      <c r="EB128" s="34"/>
      <c r="EC128" s="34"/>
      <c r="ED128" s="34"/>
      <c r="EE128" s="34"/>
    </row>
    <row r="129" spans="1:135" x14ac:dyDescent="0.4">
      <c r="A129" s="29" t="str">
        <f t="shared" si="134"/>
        <v/>
      </c>
      <c r="B129" s="34"/>
      <c r="C129" s="48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4"/>
      <c r="AJ129" s="34"/>
      <c r="AK129" s="34"/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  <c r="CF129" s="34"/>
      <c r="CG129" s="34"/>
      <c r="CH129" s="34"/>
      <c r="CI129" s="34"/>
      <c r="CJ129" s="34"/>
      <c r="CK129" s="34"/>
      <c r="CL129" s="34"/>
      <c r="CM129" s="34"/>
      <c r="CN129" s="34"/>
      <c r="CO129" s="34"/>
      <c r="CP129" s="34"/>
      <c r="CQ129" s="34"/>
      <c r="CR129" s="34"/>
      <c r="CS129" s="34"/>
      <c r="CT129" s="34"/>
      <c r="CU129" s="34"/>
      <c r="CV129" s="34"/>
      <c r="CW129" s="34"/>
      <c r="CX129" s="34"/>
      <c r="CY129" s="34"/>
      <c r="CZ129" s="34"/>
      <c r="DA129" s="34"/>
      <c r="DB129" s="34"/>
      <c r="DC129" s="34"/>
      <c r="DD129" s="34"/>
      <c r="DE129" s="34"/>
      <c r="DF129" s="34"/>
      <c r="DG129" s="34"/>
      <c r="DH129" s="34"/>
      <c r="DI129" s="34"/>
      <c r="DJ129" s="34"/>
      <c r="DK129" s="34"/>
      <c r="DL129" s="34"/>
      <c r="DM129" s="34"/>
      <c r="DN129" s="34"/>
      <c r="DO129" s="34"/>
      <c r="DP129" s="34"/>
      <c r="DQ129" s="34"/>
      <c r="DR129" s="34"/>
      <c r="DS129" s="34"/>
      <c r="DT129" s="34"/>
      <c r="DU129" s="34"/>
      <c r="DV129" s="34"/>
      <c r="DW129" s="34"/>
      <c r="DX129" s="34"/>
      <c r="DY129" s="34"/>
      <c r="DZ129" s="34"/>
      <c r="EA129" s="34"/>
      <c r="EB129" s="34"/>
      <c r="EC129" s="34"/>
      <c r="ED129" s="34"/>
      <c r="EE129" s="34"/>
    </row>
    <row r="130" spans="1:135" x14ac:dyDescent="0.4">
      <c r="A130" s="29" t="str">
        <f t="shared" si="134"/>
        <v/>
      </c>
      <c r="B130" s="34"/>
      <c r="C130" s="48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4"/>
      <c r="AJ130" s="34"/>
      <c r="AK130" s="34"/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  <c r="CF130" s="34"/>
      <c r="CG130" s="34"/>
      <c r="CH130" s="34"/>
      <c r="CI130" s="34"/>
      <c r="CJ130" s="34"/>
      <c r="CK130" s="34"/>
      <c r="CL130" s="34"/>
      <c r="CM130" s="34"/>
      <c r="CN130" s="34"/>
      <c r="CO130" s="34"/>
      <c r="CP130" s="34"/>
      <c r="CQ130" s="34"/>
      <c r="CR130" s="34"/>
      <c r="CS130" s="34"/>
      <c r="CT130" s="34"/>
      <c r="CU130" s="34"/>
      <c r="CV130" s="34"/>
      <c r="CW130" s="34"/>
      <c r="CX130" s="34"/>
      <c r="CY130" s="34"/>
      <c r="CZ130" s="34"/>
      <c r="DA130" s="34"/>
      <c r="DB130" s="34"/>
      <c r="DC130" s="34"/>
      <c r="DD130" s="34"/>
      <c r="DE130" s="34"/>
      <c r="DF130" s="34"/>
      <c r="DG130" s="34"/>
      <c r="DH130" s="34"/>
      <c r="DI130" s="34"/>
      <c r="DJ130" s="34"/>
      <c r="DK130" s="34"/>
      <c r="DL130" s="34"/>
      <c r="DM130" s="34"/>
      <c r="DN130" s="34"/>
      <c r="DO130" s="34"/>
      <c r="DP130" s="34"/>
      <c r="DQ130" s="34"/>
      <c r="DR130" s="34"/>
      <c r="DS130" s="34"/>
      <c r="DT130" s="34"/>
      <c r="DU130" s="34"/>
      <c r="DV130" s="34"/>
      <c r="DW130" s="34"/>
      <c r="DX130" s="34"/>
      <c r="DY130" s="34"/>
      <c r="DZ130" s="34"/>
      <c r="EA130" s="34"/>
      <c r="EB130" s="34"/>
      <c r="EC130" s="34"/>
      <c r="ED130" s="34"/>
      <c r="EE130" s="34"/>
    </row>
    <row r="131" spans="1:135" x14ac:dyDescent="0.4">
      <c r="A131" s="29" t="str">
        <f t="shared" si="134"/>
        <v/>
      </c>
      <c r="B131" s="34"/>
      <c r="C131" s="48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4"/>
      <c r="AJ131" s="34"/>
      <c r="AK131" s="34"/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  <c r="CF131" s="34"/>
      <c r="CG131" s="34"/>
      <c r="CH131" s="34"/>
      <c r="CI131" s="34"/>
      <c r="CJ131" s="34"/>
      <c r="CK131" s="34"/>
      <c r="CL131" s="34"/>
      <c r="CM131" s="34"/>
      <c r="CN131" s="34"/>
      <c r="CO131" s="34"/>
      <c r="CP131" s="34"/>
      <c r="CQ131" s="34"/>
      <c r="CR131" s="34"/>
      <c r="CS131" s="34"/>
      <c r="CT131" s="34"/>
      <c r="CU131" s="34"/>
      <c r="CV131" s="34"/>
      <c r="CW131" s="34"/>
      <c r="CX131" s="34"/>
      <c r="CY131" s="34"/>
      <c r="CZ131" s="34"/>
      <c r="DA131" s="34"/>
      <c r="DB131" s="34"/>
      <c r="DC131" s="34"/>
      <c r="DD131" s="34"/>
      <c r="DE131" s="34"/>
      <c r="DF131" s="34"/>
      <c r="DG131" s="34"/>
      <c r="DH131" s="34"/>
      <c r="DI131" s="34"/>
      <c r="DJ131" s="34"/>
      <c r="DK131" s="34"/>
      <c r="DL131" s="34"/>
      <c r="DM131" s="34"/>
      <c r="DN131" s="34"/>
      <c r="DO131" s="34"/>
      <c r="DP131" s="34"/>
      <c r="DQ131" s="34"/>
      <c r="DR131" s="34"/>
      <c r="DS131" s="34"/>
      <c r="DT131" s="34"/>
      <c r="DU131" s="34"/>
      <c r="DV131" s="34"/>
      <c r="DW131" s="34"/>
      <c r="DX131" s="34"/>
      <c r="DY131" s="34"/>
      <c r="DZ131" s="34"/>
      <c r="EA131" s="34"/>
      <c r="EB131" s="34"/>
      <c r="EC131" s="34"/>
      <c r="ED131" s="34"/>
      <c r="EE131" s="34"/>
    </row>
    <row r="132" spans="1:135" x14ac:dyDescent="0.4">
      <c r="A132" s="29" t="str">
        <f t="shared" si="134"/>
        <v/>
      </c>
      <c r="B132" s="34"/>
      <c r="C132" s="48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4"/>
      <c r="AJ132" s="34"/>
      <c r="AK132" s="34"/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  <c r="CF132" s="34"/>
      <c r="CG132" s="34"/>
      <c r="CH132" s="34"/>
      <c r="CI132" s="34"/>
      <c r="CJ132" s="34"/>
      <c r="CK132" s="34"/>
      <c r="CL132" s="34"/>
      <c r="CM132" s="34"/>
      <c r="CN132" s="34"/>
      <c r="CO132" s="34"/>
      <c r="CP132" s="34"/>
      <c r="CQ132" s="34"/>
      <c r="CR132" s="34"/>
      <c r="CS132" s="34"/>
      <c r="CT132" s="34"/>
      <c r="CU132" s="34"/>
      <c r="CV132" s="34"/>
      <c r="CW132" s="34"/>
      <c r="CX132" s="34"/>
      <c r="CY132" s="34"/>
      <c r="CZ132" s="34"/>
      <c r="DA132" s="34"/>
      <c r="DB132" s="34"/>
      <c r="DC132" s="34"/>
      <c r="DD132" s="34"/>
      <c r="DE132" s="34"/>
      <c r="DF132" s="34"/>
      <c r="DG132" s="34"/>
      <c r="DH132" s="34"/>
      <c r="DI132" s="34"/>
      <c r="DJ132" s="34"/>
      <c r="DK132" s="34"/>
      <c r="DL132" s="34"/>
      <c r="DM132" s="34"/>
      <c r="DN132" s="34"/>
      <c r="DO132" s="34"/>
      <c r="DP132" s="34"/>
      <c r="DQ132" s="34"/>
      <c r="DR132" s="34"/>
      <c r="DS132" s="34"/>
      <c r="DT132" s="34"/>
      <c r="DU132" s="34"/>
      <c r="DV132" s="34"/>
      <c r="DW132" s="34"/>
      <c r="DX132" s="34"/>
      <c r="DY132" s="34"/>
      <c r="DZ132" s="34"/>
      <c r="EA132" s="34"/>
      <c r="EB132" s="34"/>
      <c r="EC132" s="34"/>
      <c r="ED132" s="34"/>
      <c r="EE132" s="34"/>
    </row>
    <row r="133" spans="1:135" x14ac:dyDescent="0.4">
      <c r="A133" s="29" t="str">
        <f t="shared" si="134"/>
        <v/>
      </c>
      <c r="B133" s="34"/>
      <c r="C133" s="48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4"/>
      <c r="AJ133" s="34"/>
      <c r="AK133" s="34"/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  <c r="CF133" s="34"/>
      <c r="CG133" s="34"/>
      <c r="CH133" s="34"/>
      <c r="CI133" s="34"/>
      <c r="CJ133" s="34"/>
      <c r="CK133" s="34"/>
      <c r="CL133" s="34"/>
      <c r="CM133" s="34"/>
      <c r="CN133" s="34"/>
      <c r="CO133" s="34"/>
      <c r="CP133" s="34"/>
      <c r="CQ133" s="34"/>
      <c r="CR133" s="34"/>
      <c r="CS133" s="34"/>
      <c r="CT133" s="34"/>
      <c r="CU133" s="34"/>
      <c r="CV133" s="34"/>
      <c r="CW133" s="34"/>
      <c r="CX133" s="34"/>
      <c r="CY133" s="34"/>
      <c r="CZ133" s="34"/>
      <c r="DA133" s="34"/>
      <c r="DB133" s="34"/>
      <c r="DC133" s="34"/>
      <c r="DD133" s="34"/>
      <c r="DE133" s="34"/>
      <c r="DF133" s="34"/>
      <c r="DG133" s="34"/>
      <c r="DH133" s="34"/>
      <c r="DI133" s="34"/>
      <c r="DJ133" s="34"/>
      <c r="DK133" s="34"/>
      <c r="DL133" s="34"/>
      <c r="DM133" s="34"/>
      <c r="DN133" s="34"/>
      <c r="DO133" s="34"/>
      <c r="DP133" s="34"/>
      <c r="DQ133" s="34"/>
      <c r="DR133" s="34"/>
      <c r="DS133" s="34"/>
      <c r="DT133" s="34"/>
      <c r="DU133" s="34"/>
      <c r="DV133" s="34"/>
      <c r="DW133" s="34"/>
      <c r="DX133" s="34"/>
      <c r="DY133" s="34"/>
      <c r="DZ133" s="34"/>
      <c r="EA133" s="34"/>
      <c r="EB133" s="34"/>
      <c r="EC133" s="34"/>
      <c r="ED133" s="34"/>
      <c r="EE133" s="34"/>
    </row>
    <row r="134" spans="1:135" x14ac:dyDescent="0.4">
      <c r="A134" s="29" t="str">
        <f t="shared" si="134"/>
        <v/>
      </c>
      <c r="B134" s="34"/>
      <c r="C134" s="48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4"/>
      <c r="AJ134" s="34"/>
      <c r="AK134" s="34"/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  <c r="CF134" s="34"/>
      <c r="CG134" s="34"/>
      <c r="CH134" s="34"/>
      <c r="CI134" s="34"/>
      <c r="CJ134" s="34"/>
      <c r="CK134" s="34"/>
      <c r="CL134" s="34"/>
      <c r="CM134" s="34"/>
      <c r="CN134" s="34"/>
      <c r="CO134" s="34"/>
      <c r="CP134" s="34"/>
      <c r="CQ134" s="34"/>
      <c r="CR134" s="34"/>
      <c r="CS134" s="34"/>
      <c r="CT134" s="34"/>
      <c r="CU134" s="34"/>
      <c r="CV134" s="34"/>
      <c r="CW134" s="34"/>
      <c r="CX134" s="34"/>
      <c r="CY134" s="34"/>
      <c r="CZ134" s="34"/>
      <c r="DA134" s="34"/>
      <c r="DB134" s="34"/>
      <c r="DC134" s="34"/>
      <c r="DD134" s="34"/>
      <c r="DE134" s="34"/>
      <c r="DF134" s="34"/>
      <c r="DG134" s="34"/>
      <c r="DH134" s="34"/>
      <c r="DI134" s="34"/>
      <c r="DJ134" s="34"/>
      <c r="DK134" s="34"/>
      <c r="DL134" s="34"/>
      <c r="DM134" s="34"/>
      <c r="DN134" s="34"/>
      <c r="DO134" s="34"/>
      <c r="DP134" s="34"/>
      <c r="DQ134" s="34"/>
      <c r="DR134" s="34"/>
      <c r="DS134" s="34"/>
      <c r="DT134" s="34"/>
      <c r="DU134" s="34"/>
      <c r="DV134" s="34"/>
      <c r="DW134" s="34"/>
      <c r="DX134" s="34"/>
      <c r="DY134" s="34"/>
      <c r="DZ134" s="34"/>
      <c r="EA134" s="34"/>
      <c r="EB134" s="34"/>
      <c r="EC134" s="34"/>
      <c r="ED134" s="34"/>
      <c r="EE134" s="34"/>
    </row>
    <row r="135" spans="1:135" x14ac:dyDescent="0.4">
      <c r="A135" s="29" t="str">
        <f t="shared" si="134"/>
        <v/>
      </c>
      <c r="B135" s="34"/>
      <c r="C135" s="48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4"/>
      <c r="AJ135" s="34"/>
      <c r="AK135" s="34"/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  <c r="CF135" s="34"/>
      <c r="CG135" s="34"/>
      <c r="CH135" s="34"/>
      <c r="CI135" s="34"/>
      <c r="CJ135" s="34"/>
      <c r="CK135" s="34"/>
      <c r="CL135" s="34"/>
      <c r="CM135" s="34"/>
      <c r="CN135" s="34"/>
      <c r="CO135" s="34"/>
      <c r="CP135" s="34"/>
      <c r="CQ135" s="34"/>
      <c r="CR135" s="34"/>
      <c r="CS135" s="34"/>
      <c r="CT135" s="34"/>
      <c r="CU135" s="34"/>
      <c r="CV135" s="34"/>
      <c r="CW135" s="34"/>
      <c r="CX135" s="34"/>
      <c r="CY135" s="34"/>
      <c r="CZ135" s="34"/>
      <c r="DA135" s="34"/>
      <c r="DB135" s="34"/>
      <c r="DC135" s="34"/>
      <c r="DD135" s="34"/>
      <c r="DE135" s="34"/>
      <c r="DF135" s="34"/>
      <c r="DG135" s="34"/>
      <c r="DH135" s="34"/>
      <c r="DI135" s="34"/>
      <c r="DJ135" s="34"/>
      <c r="DK135" s="34"/>
      <c r="DL135" s="34"/>
      <c r="DM135" s="34"/>
      <c r="DN135" s="34"/>
      <c r="DO135" s="34"/>
      <c r="DP135" s="34"/>
      <c r="DQ135" s="34"/>
      <c r="DR135" s="34"/>
      <c r="DS135" s="34"/>
      <c r="DT135" s="34"/>
      <c r="DU135" s="34"/>
      <c r="DV135" s="34"/>
      <c r="DW135" s="34"/>
      <c r="DX135" s="34"/>
      <c r="DY135" s="34"/>
      <c r="DZ135" s="34"/>
      <c r="EA135" s="34"/>
      <c r="EB135" s="34"/>
      <c r="EC135" s="34"/>
      <c r="ED135" s="34"/>
      <c r="EE135" s="34"/>
    </row>
    <row r="136" spans="1:135" x14ac:dyDescent="0.4">
      <c r="A136" s="29" t="str">
        <f t="shared" si="134"/>
        <v/>
      </c>
      <c r="B136" s="34"/>
      <c r="C136" s="48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4"/>
      <c r="AJ136" s="34"/>
      <c r="AK136" s="34"/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  <c r="CF136" s="34"/>
      <c r="CG136" s="34"/>
      <c r="CH136" s="34"/>
      <c r="CI136" s="34"/>
      <c r="CJ136" s="34"/>
      <c r="CK136" s="34"/>
      <c r="CL136" s="34"/>
      <c r="CM136" s="34"/>
      <c r="CN136" s="34"/>
      <c r="CO136" s="34"/>
      <c r="CP136" s="34"/>
      <c r="CQ136" s="34"/>
      <c r="CR136" s="34"/>
      <c r="CS136" s="34"/>
      <c r="CT136" s="34"/>
      <c r="CU136" s="34"/>
      <c r="CV136" s="34"/>
      <c r="CW136" s="34"/>
      <c r="CX136" s="34"/>
      <c r="CY136" s="34"/>
      <c r="CZ136" s="34"/>
      <c r="DA136" s="34"/>
      <c r="DB136" s="34"/>
      <c r="DC136" s="34"/>
      <c r="DD136" s="34"/>
      <c r="DE136" s="34"/>
      <c r="DF136" s="34"/>
      <c r="DG136" s="34"/>
      <c r="DH136" s="34"/>
      <c r="DI136" s="34"/>
      <c r="DJ136" s="34"/>
      <c r="DK136" s="34"/>
      <c r="DL136" s="34"/>
      <c r="DM136" s="34"/>
      <c r="DN136" s="34"/>
      <c r="DO136" s="34"/>
      <c r="DP136" s="34"/>
      <c r="DQ136" s="34"/>
      <c r="DR136" s="34"/>
      <c r="DS136" s="34"/>
      <c r="DT136" s="34"/>
      <c r="DU136" s="34"/>
      <c r="DV136" s="34"/>
      <c r="DW136" s="34"/>
      <c r="DX136" s="34"/>
      <c r="DY136" s="34"/>
      <c r="DZ136" s="34"/>
      <c r="EA136" s="34"/>
      <c r="EB136" s="34"/>
      <c r="EC136" s="34"/>
      <c r="ED136" s="34"/>
      <c r="EE136" s="34"/>
    </row>
    <row r="137" spans="1:135" x14ac:dyDescent="0.4">
      <c r="A137" s="29" t="str">
        <f t="shared" ref="A137:A200" si="135">IF(ISBLANK(C137), "", C137)</f>
        <v/>
      </c>
      <c r="B137" s="34"/>
      <c r="C137" s="48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4"/>
      <c r="AJ137" s="34"/>
      <c r="AK137" s="34"/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  <c r="CF137" s="34"/>
      <c r="CG137" s="34"/>
      <c r="CH137" s="34"/>
      <c r="CI137" s="34"/>
      <c r="CJ137" s="34"/>
      <c r="CK137" s="34"/>
      <c r="CL137" s="34"/>
      <c r="CM137" s="34"/>
      <c r="CN137" s="34"/>
      <c r="CO137" s="34"/>
      <c r="CP137" s="34"/>
      <c r="CQ137" s="34"/>
      <c r="CR137" s="34"/>
      <c r="CS137" s="34"/>
      <c r="CT137" s="34"/>
      <c r="CU137" s="34"/>
      <c r="CV137" s="34"/>
      <c r="CW137" s="34"/>
      <c r="CX137" s="34"/>
      <c r="CY137" s="34"/>
      <c r="CZ137" s="34"/>
      <c r="DA137" s="34"/>
      <c r="DB137" s="34"/>
      <c r="DC137" s="34"/>
      <c r="DD137" s="34"/>
      <c r="DE137" s="34"/>
      <c r="DF137" s="34"/>
      <c r="DG137" s="34"/>
      <c r="DH137" s="34"/>
      <c r="DI137" s="34"/>
      <c r="DJ137" s="34"/>
      <c r="DK137" s="34"/>
      <c r="DL137" s="34"/>
      <c r="DM137" s="34"/>
      <c r="DN137" s="34"/>
      <c r="DO137" s="34"/>
      <c r="DP137" s="34"/>
      <c r="DQ137" s="34"/>
      <c r="DR137" s="34"/>
      <c r="DS137" s="34"/>
      <c r="DT137" s="34"/>
      <c r="DU137" s="34"/>
      <c r="DV137" s="34"/>
      <c r="DW137" s="34"/>
      <c r="DX137" s="34"/>
      <c r="DY137" s="34"/>
      <c r="DZ137" s="34"/>
      <c r="EA137" s="34"/>
      <c r="EB137" s="34"/>
      <c r="EC137" s="34"/>
      <c r="ED137" s="34"/>
      <c r="EE137" s="34"/>
    </row>
    <row r="138" spans="1:135" x14ac:dyDescent="0.4">
      <c r="A138" s="29" t="str">
        <f t="shared" si="135"/>
        <v/>
      </c>
      <c r="B138" s="34"/>
      <c r="C138" s="48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4"/>
      <c r="AJ138" s="34"/>
      <c r="AK138" s="34"/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  <c r="CF138" s="34"/>
      <c r="CG138" s="34"/>
      <c r="CH138" s="34"/>
      <c r="CI138" s="34"/>
      <c r="CJ138" s="34"/>
      <c r="CK138" s="34"/>
      <c r="CL138" s="34"/>
      <c r="CM138" s="34"/>
      <c r="CN138" s="34"/>
      <c r="CO138" s="34"/>
      <c r="CP138" s="34"/>
      <c r="CQ138" s="34"/>
      <c r="CR138" s="34"/>
      <c r="CS138" s="34"/>
      <c r="CT138" s="34"/>
      <c r="CU138" s="34"/>
      <c r="CV138" s="34"/>
      <c r="CW138" s="34"/>
      <c r="CX138" s="34"/>
      <c r="CY138" s="34"/>
      <c r="CZ138" s="34"/>
      <c r="DA138" s="34"/>
      <c r="DB138" s="34"/>
      <c r="DC138" s="34"/>
      <c r="DD138" s="34"/>
      <c r="DE138" s="34"/>
      <c r="DF138" s="34"/>
      <c r="DG138" s="34"/>
      <c r="DH138" s="34"/>
      <c r="DI138" s="34"/>
      <c r="DJ138" s="34"/>
      <c r="DK138" s="34"/>
      <c r="DL138" s="34"/>
      <c r="DM138" s="34"/>
      <c r="DN138" s="34"/>
      <c r="DO138" s="34"/>
      <c r="DP138" s="34"/>
      <c r="DQ138" s="34"/>
      <c r="DR138" s="34"/>
      <c r="DS138" s="34"/>
      <c r="DT138" s="34"/>
      <c r="DU138" s="34"/>
      <c r="DV138" s="34"/>
      <c r="DW138" s="34"/>
      <c r="DX138" s="34"/>
      <c r="DY138" s="34"/>
      <c r="DZ138" s="34"/>
      <c r="EA138" s="34"/>
      <c r="EB138" s="34"/>
      <c r="EC138" s="34"/>
      <c r="ED138" s="34"/>
      <c r="EE138" s="34"/>
    </row>
    <row r="139" spans="1:135" x14ac:dyDescent="0.4">
      <c r="A139" s="29" t="str">
        <f t="shared" si="135"/>
        <v/>
      </c>
      <c r="B139" s="34"/>
      <c r="C139" s="48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4"/>
      <c r="AJ139" s="34"/>
      <c r="AK139" s="34"/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  <c r="CF139" s="34"/>
      <c r="CG139" s="34"/>
      <c r="CH139" s="34"/>
      <c r="CI139" s="34"/>
      <c r="CJ139" s="34"/>
      <c r="CK139" s="34"/>
      <c r="CL139" s="34"/>
      <c r="CM139" s="34"/>
      <c r="CN139" s="34"/>
      <c r="CO139" s="34"/>
      <c r="CP139" s="34"/>
      <c r="CQ139" s="34"/>
      <c r="CR139" s="34"/>
      <c r="CS139" s="34"/>
      <c r="CT139" s="34"/>
      <c r="CU139" s="34"/>
      <c r="CV139" s="34"/>
      <c r="CW139" s="34"/>
      <c r="CX139" s="34"/>
      <c r="CY139" s="34"/>
      <c r="CZ139" s="34"/>
      <c r="DA139" s="34"/>
      <c r="DB139" s="34"/>
      <c r="DC139" s="34"/>
      <c r="DD139" s="34"/>
      <c r="DE139" s="34"/>
      <c r="DF139" s="34"/>
      <c r="DG139" s="34"/>
      <c r="DH139" s="34"/>
      <c r="DI139" s="34"/>
      <c r="DJ139" s="34"/>
      <c r="DK139" s="34"/>
      <c r="DL139" s="34"/>
      <c r="DM139" s="34"/>
      <c r="DN139" s="34"/>
      <c r="DO139" s="34"/>
      <c r="DP139" s="34"/>
      <c r="DQ139" s="34"/>
      <c r="DR139" s="34"/>
      <c r="DS139" s="34"/>
      <c r="DT139" s="34"/>
      <c r="DU139" s="34"/>
      <c r="DV139" s="34"/>
      <c r="DW139" s="34"/>
      <c r="DX139" s="34"/>
      <c r="DY139" s="34"/>
      <c r="DZ139" s="34"/>
      <c r="EA139" s="34"/>
      <c r="EB139" s="34"/>
      <c r="EC139" s="34"/>
      <c r="ED139" s="34"/>
      <c r="EE139" s="34"/>
    </row>
    <row r="140" spans="1:135" x14ac:dyDescent="0.4">
      <c r="A140" s="29" t="str">
        <f t="shared" si="135"/>
        <v/>
      </c>
      <c r="B140" s="34"/>
      <c r="C140" s="48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4"/>
      <c r="AJ140" s="34"/>
      <c r="AK140" s="34"/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  <c r="CF140" s="34"/>
      <c r="CG140" s="34"/>
      <c r="CH140" s="34"/>
      <c r="CI140" s="34"/>
      <c r="CJ140" s="34"/>
      <c r="CK140" s="34"/>
      <c r="CL140" s="34"/>
      <c r="CM140" s="34"/>
      <c r="CN140" s="34"/>
      <c r="CO140" s="34"/>
      <c r="CP140" s="34"/>
      <c r="CQ140" s="34"/>
      <c r="CR140" s="34"/>
      <c r="CS140" s="34"/>
      <c r="CT140" s="34"/>
      <c r="CU140" s="34"/>
      <c r="CV140" s="34"/>
      <c r="CW140" s="34"/>
      <c r="CX140" s="34"/>
      <c r="CY140" s="34"/>
      <c r="CZ140" s="34"/>
      <c r="DA140" s="34"/>
      <c r="DB140" s="34"/>
      <c r="DC140" s="34"/>
      <c r="DD140" s="34"/>
      <c r="DE140" s="34"/>
      <c r="DF140" s="34"/>
      <c r="DG140" s="34"/>
      <c r="DH140" s="34"/>
      <c r="DI140" s="34"/>
      <c r="DJ140" s="34"/>
      <c r="DK140" s="34"/>
      <c r="DL140" s="34"/>
      <c r="DM140" s="34"/>
      <c r="DN140" s="34"/>
      <c r="DO140" s="34"/>
      <c r="DP140" s="34"/>
      <c r="DQ140" s="34"/>
      <c r="DR140" s="34"/>
      <c r="DS140" s="34"/>
      <c r="DT140" s="34"/>
      <c r="DU140" s="34"/>
      <c r="DV140" s="34"/>
      <c r="DW140" s="34"/>
      <c r="DX140" s="34"/>
      <c r="DY140" s="34"/>
      <c r="DZ140" s="34"/>
      <c r="EA140" s="34"/>
      <c r="EB140" s="34"/>
      <c r="EC140" s="34"/>
      <c r="ED140" s="34"/>
      <c r="EE140" s="34"/>
    </row>
    <row r="141" spans="1:135" x14ac:dyDescent="0.4">
      <c r="A141" s="29" t="str">
        <f t="shared" si="135"/>
        <v/>
      </c>
      <c r="B141" s="34"/>
      <c r="C141" s="48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4"/>
      <c r="AJ141" s="34"/>
      <c r="AK141" s="34"/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  <c r="CF141" s="34"/>
      <c r="CG141" s="34"/>
      <c r="CH141" s="34"/>
      <c r="CI141" s="34"/>
      <c r="CJ141" s="34"/>
      <c r="CK141" s="34"/>
      <c r="CL141" s="34"/>
      <c r="CM141" s="34"/>
      <c r="CN141" s="34"/>
      <c r="CO141" s="34"/>
      <c r="CP141" s="34"/>
      <c r="CQ141" s="34"/>
      <c r="CR141" s="34"/>
      <c r="CS141" s="34"/>
      <c r="CT141" s="34"/>
      <c r="CU141" s="34"/>
      <c r="CV141" s="34"/>
      <c r="CW141" s="34"/>
      <c r="CX141" s="34"/>
      <c r="CY141" s="34"/>
      <c r="CZ141" s="34"/>
      <c r="DA141" s="34"/>
      <c r="DB141" s="34"/>
      <c r="DC141" s="34"/>
      <c r="DD141" s="34"/>
      <c r="DE141" s="34"/>
      <c r="DF141" s="34"/>
      <c r="DG141" s="34"/>
      <c r="DH141" s="34"/>
      <c r="DI141" s="34"/>
      <c r="DJ141" s="34"/>
      <c r="DK141" s="34"/>
      <c r="DL141" s="34"/>
      <c r="DM141" s="34"/>
      <c r="DN141" s="34"/>
      <c r="DO141" s="34"/>
      <c r="DP141" s="34"/>
      <c r="DQ141" s="34"/>
      <c r="DR141" s="34"/>
      <c r="DS141" s="34"/>
      <c r="DT141" s="34"/>
      <c r="DU141" s="34"/>
      <c r="DV141" s="34"/>
      <c r="DW141" s="34"/>
      <c r="DX141" s="34"/>
      <c r="DY141" s="34"/>
      <c r="DZ141" s="34"/>
      <c r="EA141" s="34"/>
      <c r="EB141" s="34"/>
      <c r="EC141" s="34"/>
      <c r="ED141" s="34"/>
      <c r="EE141" s="34"/>
    </row>
    <row r="142" spans="1:135" x14ac:dyDescent="0.4">
      <c r="A142" s="29" t="str">
        <f t="shared" si="135"/>
        <v/>
      </c>
      <c r="B142" s="34"/>
      <c r="C142" s="48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4"/>
      <c r="AJ142" s="34"/>
      <c r="AK142" s="34"/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  <c r="CF142" s="34"/>
      <c r="CG142" s="34"/>
      <c r="CH142" s="34"/>
      <c r="CI142" s="34"/>
      <c r="CJ142" s="34"/>
      <c r="CK142" s="34"/>
      <c r="CL142" s="34"/>
      <c r="CM142" s="34"/>
      <c r="CN142" s="34"/>
      <c r="CO142" s="34"/>
      <c r="CP142" s="34"/>
      <c r="CQ142" s="34"/>
      <c r="CR142" s="34"/>
      <c r="CS142" s="34"/>
      <c r="CT142" s="34"/>
      <c r="CU142" s="34"/>
      <c r="CV142" s="34"/>
      <c r="CW142" s="34"/>
      <c r="CX142" s="34"/>
      <c r="CY142" s="34"/>
      <c r="CZ142" s="34"/>
      <c r="DA142" s="34"/>
      <c r="DB142" s="34"/>
      <c r="DC142" s="34"/>
      <c r="DD142" s="34"/>
      <c r="DE142" s="34"/>
      <c r="DF142" s="34"/>
      <c r="DG142" s="34"/>
      <c r="DH142" s="34"/>
      <c r="DI142" s="34"/>
      <c r="DJ142" s="34"/>
      <c r="DK142" s="34"/>
      <c r="DL142" s="34"/>
      <c r="DM142" s="34"/>
      <c r="DN142" s="34"/>
      <c r="DO142" s="34"/>
      <c r="DP142" s="34"/>
      <c r="DQ142" s="34"/>
      <c r="DR142" s="34"/>
      <c r="DS142" s="34"/>
      <c r="DT142" s="34"/>
      <c r="DU142" s="34"/>
      <c r="DV142" s="34"/>
      <c r="DW142" s="34"/>
      <c r="DX142" s="34"/>
      <c r="DY142" s="34"/>
      <c r="DZ142" s="34"/>
      <c r="EA142" s="34"/>
      <c r="EB142" s="34"/>
      <c r="EC142" s="34"/>
      <c r="ED142" s="34"/>
      <c r="EE142" s="34"/>
    </row>
    <row r="143" spans="1:135" x14ac:dyDescent="0.4">
      <c r="A143" s="29" t="str">
        <f t="shared" si="135"/>
        <v/>
      </c>
      <c r="B143" s="34"/>
      <c r="C143" s="48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4"/>
      <c r="AJ143" s="34"/>
      <c r="AK143" s="34"/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  <c r="CF143" s="34"/>
      <c r="CG143" s="34"/>
      <c r="CH143" s="34"/>
      <c r="CI143" s="34"/>
      <c r="CJ143" s="34"/>
      <c r="CK143" s="34"/>
      <c r="CL143" s="34"/>
      <c r="CM143" s="34"/>
      <c r="CN143" s="34"/>
      <c r="CO143" s="34"/>
      <c r="CP143" s="34"/>
      <c r="CQ143" s="34"/>
      <c r="CR143" s="34"/>
      <c r="CS143" s="34"/>
      <c r="CT143" s="34"/>
      <c r="CU143" s="34"/>
      <c r="CV143" s="34"/>
      <c r="CW143" s="34"/>
      <c r="CX143" s="34"/>
      <c r="CY143" s="34"/>
      <c r="CZ143" s="34"/>
      <c r="DA143" s="34"/>
      <c r="DB143" s="34"/>
      <c r="DC143" s="34"/>
      <c r="DD143" s="34"/>
      <c r="DE143" s="34"/>
      <c r="DF143" s="34"/>
      <c r="DG143" s="34"/>
      <c r="DH143" s="34"/>
      <c r="DI143" s="34"/>
      <c r="DJ143" s="34"/>
      <c r="DK143" s="34"/>
      <c r="DL143" s="34"/>
      <c r="DM143" s="34"/>
      <c r="DN143" s="34"/>
      <c r="DO143" s="34"/>
      <c r="DP143" s="34"/>
      <c r="DQ143" s="34"/>
      <c r="DR143" s="34"/>
      <c r="DS143" s="34"/>
      <c r="DT143" s="34"/>
      <c r="DU143" s="34"/>
      <c r="DV143" s="34"/>
      <c r="DW143" s="34"/>
      <c r="DX143" s="34"/>
      <c r="DY143" s="34"/>
      <c r="DZ143" s="34"/>
      <c r="EA143" s="34"/>
      <c r="EB143" s="34"/>
      <c r="EC143" s="34"/>
      <c r="ED143" s="34"/>
      <c r="EE143" s="34"/>
    </row>
    <row r="144" spans="1:135" x14ac:dyDescent="0.4">
      <c r="A144" s="29" t="str">
        <f t="shared" si="135"/>
        <v/>
      </c>
      <c r="B144" s="34"/>
      <c r="C144" s="48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4"/>
      <c r="AJ144" s="34"/>
      <c r="AK144" s="34"/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  <c r="CF144" s="34"/>
      <c r="CG144" s="34"/>
      <c r="CH144" s="34"/>
      <c r="CI144" s="34"/>
      <c r="CJ144" s="34"/>
      <c r="CK144" s="34"/>
      <c r="CL144" s="34"/>
      <c r="CM144" s="34"/>
      <c r="CN144" s="34"/>
      <c r="CO144" s="34"/>
      <c r="CP144" s="34"/>
      <c r="CQ144" s="34"/>
      <c r="CR144" s="34"/>
      <c r="CS144" s="34"/>
      <c r="CT144" s="34"/>
      <c r="CU144" s="34"/>
      <c r="CV144" s="34"/>
      <c r="CW144" s="34"/>
      <c r="CX144" s="34"/>
      <c r="CY144" s="34"/>
      <c r="CZ144" s="34"/>
      <c r="DA144" s="34"/>
      <c r="DB144" s="34"/>
      <c r="DC144" s="34"/>
      <c r="DD144" s="34"/>
      <c r="DE144" s="34"/>
      <c r="DF144" s="34"/>
      <c r="DG144" s="34"/>
      <c r="DH144" s="34"/>
      <c r="DI144" s="34"/>
      <c r="DJ144" s="34"/>
      <c r="DK144" s="34"/>
      <c r="DL144" s="34"/>
      <c r="DM144" s="34"/>
      <c r="DN144" s="34"/>
      <c r="DO144" s="34"/>
      <c r="DP144" s="34"/>
      <c r="DQ144" s="34"/>
      <c r="DR144" s="34"/>
      <c r="DS144" s="34"/>
      <c r="DT144" s="34"/>
      <c r="DU144" s="34"/>
      <c r="DV144" s="34"/>
      <c r="DW144" s="34"/>
      <c r="DX144" s="34"/>
      <c r="DY144" s="34"/>
      <c r="DZ144" s="34"/>
      <c r="EA144" s="34"/>
      <c r="EB144" s="34"/>
      <c r="EC144" s="34"/>
      <c r="ED144" s="34"/>
      <c r="EE144" s="34"/>
    </row>
    <row r="145" spans="1:135" x14ac:dyDescent="0.4">
      <c r="A145" s="29" t="str">
        <f t="shared" si="135"/>
        <v/>
      </c>
      <c r="B145" s="34"/>
      <c r="C145" s="48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4"/>
      <c r="AJ145" s="34"/>
      <c r="AK145" s="34"/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  <c r="CF145" s="34"/>
      <c r="CG145" s="34"/>
      <c r="CH145" s="34"/>
      <c r="CI145" s="34"/>
      <c r="CJ145" s="34"/>
      <c r="CK145" s="34"/>
      <c r="CL145" s="34"/>
      <c r="CM145" s="34"/>
      <c r="CN145" s="34"/>
      <c r="CO145" s="34"/>
      <c r="CP145" s="34"/>
      <c r="CQ145" s="34"/>
      <c r="CR145" s="34"/>
      <c r="CS145" s="34"/>
      <c r="CT145" s="34"/>
      <c r="CU145" s="34"/>
      <c r="CV145" s="34"/>
      <c r="CW145" s="34"/>
      <c r="CX145" s="34"/>
      <c r="CY145" s="34"/>
      <c r="CZ145" s="34"/>
      <c r="DA145" s="34"/>
      <c r="DB145" s="34"/>
      <c r="DC145" s="34"/>
      <c r="DD145" s="34"/>
      <c r="DE145" s="34"/>
      <c r="DF145" s="34"/>
      <c r="DG145" s="34"/>
      <c r="DH145" s="34"/>
      <c r="DI145" s="34"/>
      <c r="DJ145" s="34"/>
      <c r="DK145" s="34"/>
      <c r="DL145" s="34"/>
      <c r="DM145" s="34"/>
      <c r="DN145" s="34"/>
      <c r="DO145" s="34"/>
      <c r="DP145" s="34"/>
      <c r="DQ145" s="34"/>
      <c r="DR145" s="34"/>
      <c r="DS145" s="34"/>
      <c r="DT145" s="34"/>
      <c r="DU145" s="34"/>
      <c r="DV145" s="34"/>
      <c r="DW145" s="34"/>
      <c r="DX145" s="34"/>
      <c r="DY145" s="34"/>
      <c r="DZ145" s="34"/>
      <c r="EA145" s="34"/>
      <c r="EB145" s="34"/>
      <c r="EC145" s="34"/>
      <c r="ED145" s="34"/>
      <c r="EE145" s="34"/>
    </row>
    <row r="146" spans="1:135" x14ac:dyDescent="0.4">
      <c r="A146" s="29" t="str">
        <f t="shared" si="135"/>
        <v/>
      </c>
      <c r="B146" s="34"/>
      <c r="C146" s="48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4"/>
      <c r="AJ146" s="34"/>
      <c r="AK146" s="34"/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  <c r="CF146" s="34"/>
      <c r="CG146" s="34"/>
      <c r="CH146" s="34"/>
      <c r="CI146" s="34"/>
      <c r="CJ146" s="34"/>
      <c r="CK146" s="34"/>
      <c r="CL146" s="34"/>
      <c r="CM146" s="34"/>
      <c r="CN146" s="34"/>
      <c r="CO146" s="34"/>
      <c r="CP146" s="34"/>
      <c r="CQ146" s="34"/>
      <c r="CR146" s="34"/>
      <c r="CS146" s="34"/>
      <c r="CT146" s="34"/>
      <c r="CU146" s="34"/>
      <c r="CV146" s="34"/>
      <c r="CW146" s="34"/>
      <c r="CX146" s="34"/>
      <c r="CY146" s="34"/>
      <c r="CZ146" s="34"/>
      <c r="DA146" s="34"/>
      <c r="DB146" s="34"/>
      <c r="DC146" s="34"/>
      <c r="DD146" s="34"/>
      <c r="DE146" s="34"/>
      <c r="DF146" s="34"/>
      <c r="DG146" s="34"/>
      <c r="DH146" s="34"/>
      <c r="DI146" s="34"/>
      <c r="DJ146" s="34"/>
      <c r="DK146" s="34"/>
      <c r="DL146" s="34"/>
      <c r="DM146" s="34"/>
      <c r="DN146" s="34"/>
      <c r="DO146" s="34"/>
      <c r="DP146" s="34"/>
      <c r="DQ146" s="34"/>
      <c r="DR146" s="34"/>
      <c r="DS146" s="34"/>
      <c r="DT146" s="34"/>
      <c r="DU146" s="34"/>
      <c r="DV146" s="34"/>
      <c r="DW146" s="34"/>
      <c r="DX146" s="34"/>
      <c r="DY146" s="34"/>
      <c r="DZ146" s="34"/>
      <c r="EA146" s="34"/>
      <c r="EB146" s="34"/>
      <c r="EC146" s="34"/>
      <c r="ED146" s="34"/>
      <c r="EE146" s="34"/>
    </row>
    <row r="147" spans="1:135" x14ac:dyDescent="0.4">
      <c r="A147" s="29" t="str">
        <f t="shared" si="135"/>
        <v/>
      </c>
      <c r="B147" s="34"/>
      <c r="C147" s="48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4"/>
      <c r="AJ147" s="34"/>
      <c r="AK147" s="34"/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  <c r="CF147" s="34"/>
      <c r="CG147" s="34"/>
      <c r="CH147" s="34"/>
      <c r="CI147" s="34"/>
      <c r="CJ147" s="34"/>
      <c r="CK147" s="34"/>
      <c r="CL147" s="34"/>
      <c r="CM147" s="34"/>
      <c r="CN147" s="34"/>
      <c r="CO147" s="34"/>
      <c r="CP147" s="34"/>
      <c r="CQ147" s="34"/>
      <c r="CR147" s="34"/>
      <c r="CS147" s="34"/>
      <c r="CT147" s="34"/>
      <c r="CU147" s="34"/>
      <c r="CV147" s="34"/>
      <c r="CW147" s="34"/>
      <c r="CX147" s="34"/>
      <c r="CY147" s="34"/>
      <c r="CZ147" s="34"/>
      <c r="DA147" s="34"/>
      <c r="DB147" s="34"/>
      <c r="DC147" s="34"/>
      <c r="DD147" s="34"/>
      <c r="DE147" s="34"/>
      <c r="DF147" s="34"/>
      <c r="DG147" s="34"/>
      <c r="DH147" s="34"/>
      <c r="DI147" s="34"/>
      <c r="DJ147" s="34"/>
      <c r="DK147" s="34"/>
      <c r="DL147" s="34"/>
      <c r="DM147" s="34"/>
      <c r="DN147" s="34"/>
      <c r="DO147" s="34"/>
      <c r="DP147" s="34"/>
      <c r="DQ147" s="34"/>
      <c r="DR147" s="34"/>
      <c r="DS147" s="34"/>
      <c r="DT147" s="34"/>
      <c r="DU147" s="34"/>
      <c r="DV147" s="34"/>
      <c r="DW147" s="34"/>
      <c r="DX147" s="34"/>
      <c r="DY147" s="34"/>
      <c r="DZ147" s="34"/>
      <c r="EA147" s="34"/>
      <c r="EB147" s="34"/>
      <c r="EC147" s="34"/>
      <c r="ED147" s="34"/>
      <c r="EE147" s="34"/>
    </row>
    <row r="148" spans="1:135" x14ac:dyDescent="0.4">
      <c r="A148" s="29" t="str">
        <f t="shared" si="135"/>
        <v/>
      </c>
      <c r="B148" s="34"/>
      <c r="C148" s="48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4"/>
      <c r="AJ148" s="34"/>
      <c r="AK148" s="34"/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  <c r="CF148" s="34"/>
      <c r="CG148" s="34"/>
      <c r="CH148" s="34"/>
      <c r="CI148" s="34"/>
      <c r="CJ148" s="34"/>
      <c r="CK148" s="34"/>
      <c r="CL148" s="34"/>
      <c r="CM148" s="34"/>
      <c r="CN148" s="34"/>
      <c r="CO148" s="34"/>
      <c r="CP148" s="34"/>
      <c r="CQ148" s="34"/>
      <c r="CR148" s="34"/>
      <c r="CS148" s="34"/>
      <c r="CT148" s="34"/>
      <c r="CU148" s="34"/>
      <c r="CV148" s="34"/>
      <c r="CW148" s="34"/>
      <c r="CX148" s="34"/>
      <c r="CY148" s="34"/>
      <c r="CZ148" s="34"/>
      <c r="DA148" s="34"/>
      <c r="DB148" s="34"/>
      <c r="DC148" s="34"/>
      <c r="DD148" s="34"/>
      <c r="DE148" s="34"/>
      <c r="DF148" s="34"/>
      <c r="DG148" s="34"/>
      <c r="DH148" s="34"/>
      <c r="DI148" s="34"/>
      <c r="DJ148" s="34"/>
      <c r="DK148" s="34"/>
      <c r="DL148" s="34"/>
      <c r="DM148" s="34"/>
      <c r="DN148" s="34"/>
      <c r="DO148" s="34"/>
      <c r="DP148" s="34"/>
      <c r="DQ148" s="34"/>
      <c r="DR148" s="34"/>
      <c r="DS148" s="34"/>
      <c r="DT148" s="34"/>
      <c r="DU148" s="34"/>
      <c r="DV148" s="34"/>
      <c r="DW148" s="34"/>
      <c r="DX148" s="34"/>
      <c r="DY148" s="34"/>
      <c r="DZ148" s="34"/>
      <c r="EA148" s="34"/>
      <c r="EB148" s="34"/>
      <c r="EC148" s="34"/>
      <c r="ED148" s="34"/>
      <c r="EE148" s="34"/>
    </row>
    <row r="149" spans="1:135" x14ac:dyDescent="0.4">
      <c r="A149" s="29" t="str">
        <f t="shared" si="135"/>
        <v/>
      </c>
      <c r="B149" s="34"/>
      <c r="C149" s="48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4"/>
      <c r="AJ149" s="34"/>
      <c r="AK149" s="34"/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  <c r="CF149" s="34"/>
      <c r="CG149" s="34"/>
      <c r="CH149" s="34"/>
      <c r="CI149" s="34"/>
      <c r="CJ149" s="34"/>
      <c r="CK149" s="34"/>
      <c r="CL149" s="34"/>
      <c r="CM149" s="34"/>
      <c r="CN149" s="34"/>
      <c r="CO149" s="34"/>
      <c r="CP149" s="34"/>
      <c r="CQ149" s="34"/>
      <c r="CR149" s="34"/>
      <c r="CS149" s="34"/>
      <c r="CT149" s="34"/>
      <c r="CU149" s="34"/>
      <c r="CV149" s="34"/>
      <c r="CW149" s="34"/>
      <c r="CX149" s="34"/>
      <c r="CY149" s="34"/>
      <c r="CZ149" s="34"/>
      <c r="DA149" s="34"/>
      <c r="DB149" s="34"/>
      <c r="DC149" s="34"/>
      <c r="DD149" s="34"/>
      <c r="DE149" s="34"/>
      <c r="DF149" s="34"/>
      <c r="DG149" s="34"/>
      <c r="DH149" s="34"/>
      <c r="DI149" s="34"/>
      <c r="DJ149" s="34"/>
      <c r="DK149" s="34"/>
      <c r="DL149" s="34"/>
      <c r="DM149" s="34"/>
      <c r="DN149" s="34"/>
      <c r="DO149" s="34"/>
      <c r="DP149" s="34"/>
      <c r="DQ149" s="34"/>
      <c r="DR149" s="34"/>
      <c r="DS149" s="34"/>
      <c r="DT149" s="34"/>
      <c r="DU149" s="34"/>
      <c r="DV149" s="34"/>
      <c r="DW149" s="34"/>
      <c r="DX149" s="34"/>
      <c r="DY149" s="34"/>
      <c r="DZ149" s="34"/>
      <c r="EA149" s="34"/>
      <c r="EB149" s="34"/>
      <c r="EC149" s="34"/>
      <c r="ED149" s="34"/>
      <c r="EE149" s="34"/>
    </row>
    <row r="150" spans="1:135" x14ac:dyDescent="0.4">
      <c r="A150" s="29" t="str">
        <f t="shared" si="135"/>
        <v/>
      </c>
      <c r="B150" s="34"/>
      <c r="C150" s="48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  <c r="CF150" s="34"/>
      <c r="CG150" s="34"/>
      <c r="CH150" s="34"/>
      <c r="CI150" s="34"/>
      <c r="CJ150" s="34"/>
      <c r="CK150" s="34"/>
      <c r="CL150" s="34"/>
      <c r="CM150" s="34"/>
      <c r="CN150" s="34"/>
      <c r="CO150" s="34"/>
      <c r="CP150" s="34"/>
      <c r="CQ150" s="34"/>
      <c r="CR150" s="34"/>
      <c r="CS150" s="34"/>
      <c r="CT150" s="34"/>
      <c r="CU150" s="34"/>
      <c r="CV150" s="34"/>
      <c r="CW150" s="34"/>
      <c r="CX150" s="34"/>
      <c r="CY150" s="34"/>
      <c r="CZ150" s="34"/>
      <c r="DA150" s="34"/>
      <c r="DB150" s="34"/>
      <c r="DC150" s="34"/>
      <c r="DD150" s="34"/>
      <c r="DE150" s="34"/>
      <c r="DF150" s="34"/>
      <c r="DG150" s="34"/>
      <c r="DH150" s="34"/>
      <c r="DI150" s="34"/>
      <c r="DJ150" s="34"/>
      <c r="DK150" s="34"/>
      <c r="DL150" s="34"/>
      <c r="DM150" s="34"/>
      <c r="DN150" s="34"/>
      <c r="DO150" s="34"/>
      <c r="DP150" s="34"/>
      <c r="DQ150" s="34"/>
      <c r="DR150" s="34"/>
      <c r="DS150" s="34"/>
      <c r="DT150" s="34"/>
      <c r="DU150" s="34"/>
      <c r="DV150" s="34"/>
      <c r="DW150" s="34"/>
      <c r="DX150" s="34"/>
      <c r="DY150" s="34"/>
      <c r="DZ150" s="34"/>
      <c r="EA150" s="34"/>
      <c r="EB150" s="34"/>
      <c r="EC150" s="34"/>
      <c r="ED150" s="34"/>
      <c r="EE150" s="34"/>
    </row>
    <row r="151" spans="1:135" x14ac:dyDescent="0.4">
      <c r="A151" s="29" t="str">
        <f t="shared" si="135"/>
        <v/>
      </c>
      <c r="B151" s="34"/>
      <c r="C151" s="48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4"/>
      <c r="AJ151" s="34"/>
      <c r="AK151" s="34"/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  <c r="CF151" s="34"/>
      <c r="CG151" s="34"/>
      <c r="CH151" s="34"/>
      <c r="CI151" s="34"/>
      <c r="CJ151" s="34"/>
      <c r="CK151" s="34"/>
      <c r="CL151" s="34"/>
      <c r="CM151" s="34"/>
      <c r="CN151" s="34"/>
      <c r="CO151" s="34"/>
      <c r="CP151" s="34"/>
      <c r="CQ151" s="34"/>
      <c r="CR151" s="34"/>
      <c r="CS151" s="34"/>
      <c r="CT151" s="34"/>
      <c r="CU151" s="34"/>
      <c r="CV151" s="34"/>
      <c r="CW151" s="34"/>
      <c r="CX151" s="34"/>
      <c r="CY151" s="34"/>
      <c r="CZ151" s="34"/>
      <c r="DA151" s="34"/>
      <c r="DB151" s="34"/>
      <c r="DC151" s="34"/>
      <c r="DD151" s="34"/>
      <c r="DE151" s="34"/>
      <c r="DF151" s="34"/>
      <c r="DG151" s="34"/>
      <c r="DH151" s="34"/>
      <c r="DI151" s="34"/>
      <c r="DJ151" s="34"/>
      <c r="DK151" s="34"/>
      <c r="DL151" s="34"/>
      <c r="DM151" s="34"/>
      <c r="DN151" s="34"/>
      <c r="DO151" s="34"/>
      <c r="DP151" s="34"/>
      <c r="DQ151" s="34"/>
      <c r="DR151" s="34"/>
      <c r="DS151" s="34"/>
      <c r="DT151" s="34"/>
      <c r="DU151" s="34"/>
      <c r="DV151" s="34"/>
      <c r="DW151" s="34"/>
      <c r="DX151" s="34"/>
      <c r="DY151" s="34"/>
      <c r="DZ151" s="34"/>
      <c r="EA151" s="34"/>
      <c r="EB151" s="34"/>
      <c r="EC151" s="34"/>
      <c r="ED151" s="34"/>
      <c r="EE151" s="34"/>
    </row>
    <row r="152" spans="1:135" x14ac:dyDescent="0.4">
      <c r="A152" s="29" t="str">
        <f t="shared" si="135"/>
        <v/>
      </c>
      <c r="B152" s="34"/>
      <c r="C152" s="48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4"/>
      <c r="AJ152" s="34"/>
      <c r="AK152" s="34"/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  <c r="CF152" s="34"/>
      <c r="CG152" s="34"/>
      <c r="CH152" s="34"/>
      <c r="CI152" s="34"/>
      <c r="CJ152" s="34"/>
      <c r="CK152" s="34"/>
      <c r="CL152" s="34"/>
      <c r="CM152" s="34"/>
      <c r="CN152" s="34"/>
      <c r="CO152" s="34"/>
      <c r="CP152" s="34"/>
      <c r="CQ152" s="34"/>
      <c r="CR152" s="34"/>
      <c r="CS152" s="34"/>
      <c r="CT152" s="34"/>
      <c r="CU152" s="34"/>
      <c r="CV152" s="34"/>
      <c r="CW152" s="34"/>
      <c r="CX152" s="34"/>
      <c r="CY152" s="34"/>
      <c r="CZ152" s="34"/>
      <c r="DA152" s="34"/>
      <c r="DB152" s="34"/>
      <c r="DC152" s="34"/>
      <c r="DD152" s="34"/>
      <c r="DE152" s="34"/>
      <c r="DF152" s="34"/>
      <c r="DG152" s="34"/>
      <c r="DH152" s="34"/>
      <c r="DI152" s="34"/>
      <c r="DJ152" s="34"/>
      <c r="DK152" s="34"/>
      <c r="DL152" s="34"/>
      <c r="DM152" s="34"/>
      <c r="DN152" s="34"/>
      <c r="DO152" s="34"/>
      <c r="DP152" s="34"/>
      <c r="DQ152" s="34"/>
      <c r="DR152" s="34"/>
      <c r="DS152" s="34"/>
      <c r="DT152" s="34"/>
      <c r="DU152" s="34"/>
      <c r="DV152" s="34"/>
      <c r="DW152" s="34"/>
      <c r="DX152" s="34"/>
      <c r="DY152" s="34"/>
      <c r="DZ152" s="34"/>
      <c r="EA152" s="34"/>
      <c r="EB152" s="34"/>
      <c r="EC152" s="34"/>
      <c r="ED152" s="34"/>
      <c r="EE152" s="34"/>
    </row>
    <row r="153" spans="1:135" x14ac:dyDescent="0.4">
      <c r="A153" s="29" t="str">
        <f t="shared" si="135"/>
        <v/>
      </c>
      <c r="B153" s="34"/>
      <c r="C153" s="48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4"/>
      <c r="AJ153" s="34"/>
      <c r="AK153" s="34"/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  <c r="CF153" s="34"/>
      <c r="CG153" s="34"/>
      <c r="CH153" s="34"/>
      <c r="CI153" s="34"/>
      <c r="CJ153" s="34"/>
      <c r="CK153" s="34"/>
      <c r="CL153" s="34"/>
      <c r="CM153" s="34"/>
      <c r="CN153" s="34"/>
      <c r="CO153" s="34"/>
      <c r="CP153" s="34"/>
      <c r="CQ153" s="34"/>
      <c r="CR153" s="34"/>
      <c r="CS153" s="34"/>
      <c r="CT153" s="34"/>
      <c r="CU153" s="34"/>
      <c r="CV153" s="34"/>
      <c r="CW153" s="34"/>
      <c r="CX153" s="34"/>
      <c r="CY153" s="34"/>
      <c r="CZ153" s="34"/>
      <c r="DA153" s="34"/>
      <c r="DB153" s="34"/>
      <c r="DC153" s="34"/>
      <c r="DD153" s="34"/>
      <c r="DE153" s="34"/>
      <c r="DF153" s="34"/>
      <c r="DG153" s="34"/>
      <c r="DH153" s="34"/>
      <c r="DI153" s="34"/>
      <c r="DJ153" s="34"/>
      <c r="DK153" s="34"/>
      <c r="DL153" s="34"/>
      <c r="DM153" s="34"/>
      <c r="DN153" s="34"/>
      <c r="DO153" s="34"/>
      <c r="DP153" s="34"/>
      <c r="DQ153" s="34"/>
      <c r="DR153" s="34"/>
      <c r="DS153" s="34"/>
      <c r="DT153" s="34"/>
      <c r="DU153" s="34"/>
      <c r="DV153" s="34"/>
      <c r="DW153" s="34"/>
      <c r="DX153" s="34"/>
      <c r="DY153" s="34"/>
      <c r="DZ153" s="34"/>
      <c r="EA153" s="34"/>
      <c r="EB153" s="34"/>
      <c r="EC153" s="34"/>
      <c r="ED153" s="34"/>
      <c r="EE153" s="34"/>
    </row>
    <row r="154" spans="1:135" x14ac:dyDescent="0.4">
      <c r="A154" s="29" t="str">
        <f t="shared" si="135"/>
        <v/>
      </c>
      <c r="B154" s="34"/>
      <c r="C154" s="48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4"/>
      <c r="AJ154" s="34"/>
      <c r="AK154" s="34"/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  <c r="CF154" s="34"/>
      <c r="CG154" s="34"/>
      <c r="CH154" s="34"/>
      <c r="CI154" s="34"/>
      <c r="CJ154" s="34"/>
      <c r="CK154" s="34"/>
      <c r="CL154" s="34"/>
      <c r="CM154" s="34"/>
      <c r="CN154" s="34"/>
      <c r="CO154" s="34"/>
      <c r="CP154" s="34"/>
      <c r="CQ154" s="34"/>
      <c r="CR154" s="34"/>
      <c r="CS154" s="34"/>
      <c r="CT154" s="34"/>
      <c r="CU154" s="34"/>
      <c r="CV154" s="34"/>
      <c r="CW154" s="34"/>
      <c r="CX154" s="34"/>
      <c r="CY154" s="34"/>
      <c r="CZ154" s="34"/>
      <c r="DA154" s="34"/>
      <c r="DB154" s="34"/>
      <c r="DC154" s="34"/>
      <c r="DD154" s="34"/>
      <c r="DE154" s="34"/>
      <c r="DF154" s="34"/>
      <c r="DG154" s="34"/>
      <c r="DH154" s="34"/>
      <c r="DI154" s="34"/>
      <c r="DJ154" s="34"/>
      <c r="DK154" s="34"/>
      <c r="DL154" s="34"/>
      <c r="DM154" s="34"/>
      <c r="DN154" s="34"/>
      <c r="DO154" s="34"/>
      <c r="DP154" s="34"/>
      <c r="DQ154" s="34"/>
      <c r="DR154" s="34"/>
      <c r="DS154" s="34"/>
      <c r="DT154" s="34"/>
      <c r="DU154" s="34"/>
      <c r="DV154" s="34"/>
      <c r="DW154" s="34"/>
      <c r="DX154" s="34"/>
      <c r="DY154" s="34"/>
      <c r="DZ154" s="34"/>
      <c r="EA154" s="34"/>
      <c r="EB154" s="34"/>
      <c r="EC154" s="34"/>
      <c r="ED154" s="34"/>
      <c r="EE154" s="34"/>
    </row>
    <row r="155" spans="1:135" x14ac:dyDescent="0.4">
      <c r="A155" s="29" t="str">
        <f t="shared" si="135"/>
        <v/>
      </c>
      <c r="B155" s="34"/>
      <c r="C155" s="48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4"/>
      <c r="AJ155" s="34"/>
      <c r="AK155" s="34"/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  <c r="CF155" s="34"/>
      <c r="CG155" s="34"/>
      <c r="CH155" s="34"/>
      <c r="CI155" s="34"/>
      <c r="CJ155" s="34"/>
      <c r="CK155" s="34"/>
      <c r="CL155" s="34"/>
      <c r="CM155" s="34"/>
      <c r="CN155" s="34"/>
      <c r="CO155" s="34"/>
      <c r="CP155" s="34"/>
      <c r="CQ155" s="34"/>
      <c r="CR155" s="34"/>
      <c r="CS155" s="34"/>
      <c r="CT155" s="34"/>
      <c r="CU155" s="34"/>
      <c r="CV155" s="34"/>
      <c r="CW155" s="34"/>
      <c r="CX155" s="34"/>
      <c r="CY155" s="34"/>
      <c r="CZ155" s="34"/>
      <c r="DA155" s="34"/>
      <c r="DB155" s="34"/>
      <c r="DC155" s="34"/>
      <c r="DD155" s="34"/>
      <c r="DE155" s="34"/>
      <c r="DF155" s="34"/>
      <c r="DG155" s="34"/>
      <c r="DH155" s="34"/>
      <c r="DI155" s="34"/>
      <c r="DJ155" s="34"/>
      <c r="DK155" s="34"/>
      <c r="DL155" s="34"/>
      <c r="DM155" s="34"/>
      <c r="DN155" s="34"/>
      <c r="DO155" s="34"/>
      <c r="DP155" s="34"/>
      <c r="DQ155" s="34"/>
      <c r="DR155" s="34"/>
      <c r="DS155" s="34"/>
      <c r="DT155" s="34"/>
      <c r="DU155" s="34"/>
      <c r="DV155" s="34"/>
      <c r="DW155" s="34"/>
      <c r="DX155" s="34"/>
      <c r="DY155" s="34"/>
      <c r="DZ155" s="34"/>
      <c r="EA155" s="34"/>
      <c r="EB155" s="34"/>
      <c r="EC155" s="34"/>
      <c r="ED155" s="34"/>
      <c r="EE155" s="34"/>
    </row>
    <row r="156" spans="1:135" x14ac:dyDescent="0.4">
      <c r="A156" s="29" t="str">
        <f t="shared" si="135"/>
        <v/>
      </c>
      <c r="B156" s="34"/>
      <c r="C156" s="48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4"/>
      <c r="AJ156" s="34"/>
      <c r="AK156" s="34"/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  <c r="CF156" s="34"/>
      <c r="CG156" s="34"/>
      <c r="CH156" s="34"/>
      <c r="CI156" s="34"/>
      <c r="CJ156" s="34"/>
      <c r="CK156" s="34"/>
      <c r="CL156" s="34"/>
      <c r="CM156" s="34"/>
      <c r="CN156" s="34"/>
      <c r="CO156" s="34"/>
      <c r="CP156" s="34"/>
      <c r="CQ156" s="34"/>
      <c r="CR156" s="34"/>
      <c r="CS156" s="34"/>
      <c r="CT156" s="34"/>
      <c r="CU156" s="34"/>
      <c r="CV156" s="34"/>
      <c r="CW156" s="34"/>
      <c r="CX156" s="34"/>
      <c r="CY156" s="34"/>
      <c r="CZ156" s="34"/>
      <c r="DA156" s="34"/>
      <c r="DB156" s="34"/>
      <c r="DC156" s="34"/>
      <c r="DD156" s="34"/>
      <c r="DE156" s="34"/>
      <c r="DF156" s="34"/>
      <c r="DG156" s="34"/>
      <c r="DH156" s="34"/>
      <c r="DI156" s="34"/>
      <c r="DJ156" s="34"/>
      <c r="DK156" s="34"/>
      <c r="DL156" s="34"/>
      <c r="DM156" s="34"/>
      <c r="DN156" s="34"/>
      <c r="DO156" s="34"/>
      <c r="DP156" s="34"/>
      <c r="DQ156" s="34"/>
      <c r="DR156" s="34"/>
      <c r="DS156" s="34"/>
      <c r="DT156" s="34"/>
      <c r="DU156" s="34"/>
      <c r="DV156" s="34"/>
      <c r="DW156" s="34"/>
      <c r="DX156" s="34"/>
      <c r="DY156" s="34"/>
      <c r="DZ156" s="34"/>
      <c r="EA156" s="34"/>
      <c r="EB156" s="34"/>
      <c r="EC156" s="34"/>
      <c r="ED156" s="34"/>
      <c r="EE156" s="34"/>
    </row>
    <row r="157" spans="1:135" x14ac:dyDescent="0.4">
      <c r="A157" s="29" t="str">
        <f t="shared" si="135"/>
        <v/>
      </c>
      <c r="B157" s="34"/>
      <c r="C157" s="48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4"/>
      <c r="AJ157" s="34"/>
      <c r="AK157" s="34"/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  <c r="CF157" s="34"/>
      <c r="CG157" s="34"/>
      <c r="CH157" s="34"/>
      <c r="CI157" s="34"/>
      <c r="CJ157" s="34"/>
      <c r="CK157" s="34"/>
      <c r="CL157" s="34"/>
      <c r="CM157" s="34"/>
      <c r="CN157" s="34"/>
      <c r="CO157" s="34"/>
      <c r="CP157" s="34"/>
      <c r="CQ157" s="34"/>
      <c r="CR157" s="34"/>
      <c r="CS157" s="34"/>
      <c r="CT157" s="34"/>
      <c r="CU157" s="34"/>
      <c r="CV157" s="34"/>
      <c r="CW157" s="34"/>
      <c r="CX157" s="34"/>
      <c r="CY157" s="34"/>
      <c r="CZ157" s="34"/>
      <c r="DA157" s="34"/>
      <c r="DB157" s="34"/>
      <c r="DC157" s="34"/>
      <c r="DD157" s="34"/>
      <c r="DE157" s="34"/>
      <c r="DF157" s="34"/>
      <c r="DG157" s="34"/>
      <c r="DH157" s="34"/>
      <c r="DI157" s="34"/>
      <c r="DJ157" s="34"/>
      <c r="DK157" s="34"/>
      <c r="DL157" s="34"/>
      <c r="DM157" s="34"/>
      <c r="DN157" s="34"/>
      <c r="DO157" s="34"/>
      <c r="DP157" s="34"/>
      <c r="DQ157" s="34"/>
      <c r="DR157" s="34"/>
      <c r="DS157" s="34"/>
      <c r="DT157" s="34"/>
      <c r="DU157" s="34"/>
      <c r="DV157" s="34"/>
      <c r="DW157" s="34"/>
      <c r="DX157" s="34"/>
      <c r="DY157" s="34"/>
      <c r="DZ157" s="34"/>
      <c r="EA157" s="34"/>
      <c r="EB157" s="34"/>
      <c r="EC157" s="34"/>
      <c r="ED157" s="34"/>
      <c r="EE157" s="34"/>
    </row>
    <row r="158" spans="1:135" x14ac:dyDescent="0.4">
      <c r="A158" s="29" t="str">
        <f t="shared" si="135"/>
        <v/>
      </c>
      <c r="B158" s="34"/>
      <c r="C158" s="48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4"/>
      <c r="AJ158" s="34"/>
      <c r="AK158" s="34"/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  <c r="CF158" s="34"/>
      <c r="CG158" s="34"/>
      <c r="CH158" s="34"/>
      <c r="CI158" s="34"/>
      <c r="CJ158" s="34"/>
      <c r="CK158" s="34"/>
      <c r="CL158" s="34"/>
      <c r="CM158" s="34"/>
      <c r="CN158" s="34"/>
      <c r="CO158" s="34"/>
      <c r="CP158" s="34"/>
      <c r="CQ158" s="34"/>
      <c r="CR158" s="34"/>
      <c r="CS158" s="34"/>
      <c r="CT158" s="34"/>
      <c r="CU158" s="34"/>
      <c r="CV158" s="34"/>
      <c r="CW158" s="34"/>
      <c r="CX158" s="34"/>
      <c r="CY158" s="34"/>
      <c r="CZ158" s="34"/>
      <c r="DA158" s="34"/>
      <c r="DB158" s="34"/>
      <c r="DC158" s="34"/>
      <c r="DD158" s="34"/>
      <c r="DE158" s="34"/>
      <c r="DF158" s="34"/>
      <c r="DG158" s="34"/>
      <c r="DH158" s="34"/>
      <c r="DI158" s="34"/>
      <c r="DJ158" s="34"/>
      <c r="DK158" s="34"/>
      <c r="DL158" s="34"/>
      <c r="DM158" s="34"/>
      <c r="DN158" s="34"/>
      <c r="DO158" s="34"/>
      <c r="DP158" s="34"/>
      <c r="DQ158" s="34"/>
      <c r="DR158" s="34"/>
      <c r="DS158" s="34"/>
      <c r="DT158" s="34"/>
      <c r="DU158" s="34"/>
      <c r="DV158" s="34"/>
      <c r="DW158" s="34"/>
      <c r="DX158" s="34"/>
      <c r="DY158" s="34"/>
      <c r="DZ158" s="34"/>
      <c r="EA158" s="34"/>
      <c r="EB158" s="34"/>
      <c r="EC158" s="34"/>
      <c r="ED158" s="34"/>
      <c r="EE158" s="34"/>
    </row>
    <row r="159" spans="1:135" x14ac:dyDescent="0.4">
      <c r="A159" s="29" t="str">
        <f t="shared" si="135"/>
        <v/>
      </c>
      <c r="B159" s="34"/>
      <c r="C159" s="48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4"/>
      <c r="AJ159" s="34"/>
      <c r="AK159" s="34"/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  <c r="CF159" s="34"/>
      <c r="CG159" s="34"/>
      <c r="CH159" s="34"/>
      <c r="CI159" s="34"/>
      <c r="CJ159" s="34"/>
      <c r="CK159" s="34"/>
      <c r="CL159" s="34"/>
      <c r="CM159" s="34"/>
      <c r="CN159" s="34"/>
      <c r="CO159" s="34"/>
      <c r="CP159" s="34"/>
      <c r="CQ159" s="34"/>
      <c r="CR159" s="34"/>
      <c r="CS159" s="34"/>
      <c r="CT159" s="34"/>
      <c r="CU159" s="34"/>
      <c r="CV159" s="34"/>
      <c r="CW159" s="34"/>
      <c r="CX159" s="34"/>
      <c r="CY159" s="34"/>
      <c r="CZ159" s="34"/>
      <c r="DA159" s="34"/>
      <c r="DB159" s="34"/>
      <c r="DC159" s="34"/>
      <c r="DD159" s="34"/>
      <c r="DE159" s="34"/>
      <c r="DF159" s="34"/>
      <c r="DG159" s="34"/>
      <c r="DH159" s="34"/>
      <c r="DI159" s="34"/>
      <c r="DJ159" s="34"/>
      <c r="DK159" s="34"/>
      <c r="DL159" s="34"/>
      <c r="DM159" s="34"/>
      <c r="DN159" s="34"/>
      <c r="DO159" s="34"/>
      <c r="DP159" s="34"/>
      <c r="DQ159" s="34"/>
      <c r="DR159" s="34"/>
      <c r="DS159" s="34"/>
      <c r="DT159" s="34"/>
      <c r="DU159" s="34"/>
      <c r="DV159" s="34"/>
      <c r="DW159" s="34"/>
      <c r="DX159" s="34"/>
      <c r="DY159" s="34"/>
      <c r="DZ159" s="34"/>
      <c r="EA159" s="34"/>
      <c r="EB159" s="34"/>
      <c r="EC159" s="34"/>
      <c r="ED159" s="34"/>
      <c r="EE159" s="34"/>
    </row>
    <row r="160" spans="1:135" x14ac:dyDescent="0.4">
      <c r="A160" s="29" t="str">
        <f t="shared" si="135"/>
        <v/>
      </c>
      <c r="B160" s="34"/>
      <c r="C160" s="48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4"/>
      <c r="AJ160" s="34"/>
      <c r="AK160" s="34"/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  <c r="CF160" s="34"/>
      <c r="CG160" s="34"/>
      <c r="CH160" s="34"/>
      <c r="CI160" s="34"/>
      <c r="CJ160" s="34"/>
      <c r="CK160" s="34"/>
      <c r="CL160" s="34"/>
      <c r="CM160" s="34"/>
      <c r="CN160" s="34"/>
      <c r="CO160" s="34"/>
      <c r="CP160" s="34"/>
      <c r="CQ160" s="34"/>
      <c r="CR160" s="34"/>
      <c r="CS160" s="34"/>
      <c r="CT160" s="34"/>
      <c r="CU160" s="34"/>
      <c r="CV160" s="34"/>
      <c r="CW160" s="34"/>
      <c r="CX160" s="34"/>
      <c r="CY160" s="34"/>
      <c r="CZ160" s="34"/>
      <c r="DA160" s="34"/>
      <c r="DB160" s="34"/>
      <c r="DC160" s="34"/>
      <c r="DD160" s="34"/>
      <c r="DE160" s="34"/>
      <c r="DF160" s="34"/>
      <c r="DG160" s="34"/>
      <c r="DH160" s="34"/>
      <c r="DI160" s="34"/>
      <c r="DJ160" s="34"/>
      <c r="DK160" s="34"/>
      <c r="DL160" s="34"/>
      <c r="DM160" s="34"/>
      <c r="DN160" s="34"/>
      <c r="DO160" s="34"/>
      <c r="DP160" s="34"/>
      <c r="DQ160" s="34"/>
      <c r="DR160" s="34"/>
      <c r="DS160" s="34"/>
      <c r="DT160" s="34"/>
      <c r="DU160" s="34"/>
      <c r="DV160" s="34"/>
      <c r="DW160" s="34"/>
      <c r="DX160" s="34"/>
      <c r="DY160" s="34"/>
      <c r="DZ160" s="34"/>
      <c r="EA160" s="34"/>
      <c r="EB160" s="34"/>
      <c r="EC160" s="34"/>
      <c r="ED160" s="34"/>
      <c r="EE160" s="34"/>
    </row>
    <row r="161" spans="1:135" x14ac:dyDescent="0.4">
      <c r="A161" s="29" t="str">
        <f t="shared" si="135"/>
        <v/>
      </c>
      <c r="B161" s="34"/>
      <c r="C161" s="48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4"/>
      <c r="AJ161" s="34"/>
      <c r="AK161" s="34"/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  <c r="CF161" s="34"/>
      <c r="CG161" s="34"/>
      <c r="CH161" s="34"/>
      <c r="CI161" s="34"/>
      <c r="CJ161" s="34"/>
      <c r="CK161" s="34"/>
      <c r="CL161" s="34"/>
      <c r="CM161" s="34"/>
      <c r="CN161" s="34"/>
      <c r="CO161" s="34"/>
      <c r="CP161" s="34"/>
      <c r="CQ161" s="34"/>
      <c r="CR161" s="34"/>
      <c r="CS161" s="34"/>
      <c r="CT161" s="34"/>
      <c r="CU161" s="34"/>
      <c r="CV161" s="34"/>
      <c r="CW161" s="34"/>
      <c r="CX161" s="34"/>
      <c r="CY161" s="34"/>
      <c r="CZ161" s="34"/>
      <c r="DA161" s="34"/>
      <c r="DB161" s="34"/>
      <c r="DC161" s="34"/>
      <c r="DD161" s="34"/>
      <c r="DE161" s="34"/>
      <c r="DF161" s="34"/>
      <c r="DG161" s="34"/>
      <c r="DH161" s="34"/>
      <c r="DI161" s="34"/>
      <c r="DJ161" s="34"/>
      <c r="DK161" s="34"/>
      <c r="DL161" s="34"/>
      <c r="DM161" s="34"/>
      <c r="DN161" s="34"/>
      <c r="DO161" s="34"/>
      <c r="DP161" s="34"/>
      <c r="DQ161" s="34"/>
      <c r="DR161" s="34"/>
      <c r="DS161" s="34"/>
      <c r="DT161" s="34"/>
      <c r="DU161" s="34"/>
      <c r="DV161" s="34"/>
      <c r="DW161" s="34"/>
      <c r="DX161" s="34"/>
      <c r="DY161" s="34"/>
      <c r="DZ161" s="34"/>
      <c r="EA161" s="34"/>
      <c r="EB161" s="34"/>
      <c r="EC161" s="34"/>
      <c r="ED161" s="34"/>
      <c r="EE161" s="34"/>
    </row>
    <row r="162" spans="1:135" x14ac:dyDescent="0.4">
      <c r="A162" s="29" t="str">
        <f t="shared" si="135"/>
        <v/>
      </c>
      <c r="B162" s="34"/>
      <c r="C162" s="48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4"/>
      <c r="AJ162" s="34"/>
      <c r="AK162" s="34"/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  <c r="CF162" s="34"/>
      <c r="CG162" s="34"/>
      <c r="CH162" s="34"/>
      <c r="CI162" s="34"/>
      <c r="CJ162" s="34"/>
      <c r="CK162" s="34"/>
      <c r="CL162" s="34"/>
      <c r="CM162" s="34"/>
      <c r="CN162" s="34"/>
      <c r="CO162" s="34"/>
      <c r="CP162" s="34"/>
      <c r="CQ162" s="34"/>
      <c r="CR162" s="34"/>
      <c r="CS162" s="34"/>
      <c r="CT162" s="34"/>
      <c r="CU162" s="34"/>
      <c r="CV162" s="34"/>
      <c r="CW162" s="34"/>
      <c r="CX162" s="34"/>
      <c r="CY162" s="34"/>
      <c r="CZ162" s="34"/>
      <c r="DA162" s="34"/>
      <c r="DB162" s="34"/>
      <c r="DC162" s="34"/>
      <c r="DD162" s="34"/>
      <c r="DE162" s="34"/>
      <c r="DF162" s="34"/>
      <c r="DG162" s="34"/>
      <c r="DH162" s="34"/>
      <c r="DI162" s="34"/>
      <c r="DJ162" s="34"/>
      <c r="DK162" s="34"/>
      <c r="DL162" s="34"/>
      <c r="DM162" s="34"/>
      <c r="DN162" s="34"/>
      <c r="DO162" s="34"/>
      <c r="DP162" s="34"/>
      <c r="DQ162" s="34"/>
      <c r="DR162" s="34"/>
      <c r="DS162" s="34"/>
      <c r="DT162" s="34"/>
      <c r="DU162" s="34"/>
      <c r="DV162" s="34"/>
      <c r="DW162" s="34"/>
      <c r="DX162" s="34"/>
      <c r="DY162" s="34"/>
      <c r="DZ162" s="34"/>
      <c r="EA162" s="34"/>
      <c r="EB162" s="34"/>
      <c r="EC162" s="34"/>
      <c r="ED162" s="34"/>
      <c r="EE162" s="34"/>
    </row>
    <row r="163" spans="1:135" x14ac:dyDescent="0.4">
      <c r="A163" s="29" t="str">
        <f t="shared" si="135"/>
        <v/>
      </c>
      <c r="B163" s="34"/>
      <c r="C163" s="48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4"/>
      <c r="AJ163" s="34"/>
      <c r="AK163" s="34"/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  <c r="CF163" s="34"/>
      <c r="CG163" s="34"/>
      <c r="CH163" s="34"/>
      <c r="CI163" s="34"/>
      <c r="CJ163" s="34"/>
      <c r="CK163" s="34"/>
      <c r="CL163" s="34"/>
      <c r="CM163" s="34"/>
      <c r="CN163" s="34"/>
      <c r="CO163" s="34"/>
      <c r="CP163" s="34"/>
      <c r="CQ163" s="34"/>
      <c r="CR163" s="34"/>
      <c r="CS163" s="34"/>
      <c r="CT163" s="34"/>
      <c r="CU163" s="34"/>
      <c r="CV163" s="34"/>
      <c r="CW163" s="34"/>
      <c r="CX163" s="34"/>
      <c r="CY163" s="34"/>
      <c r="CZ163" s="34"/>
      <c r="DA163" s="34"/>
      <c r="DB163" s="34"/>
      <c r="DC163" s="34"/>
      <c r="DD163" s="34"/>
      <c r="DE163" s="34"/>
      <c r="DF163" s="34"/>
      <c r="DG163" s="34"/>
      <c r="DH163" s="34"/>
      <c r="DI163" s="34"/>
      <c r="DJ163" s="34"/>
      <c r="DK163" s="34"/>
      <c r="DL163" s="34"/>
      <c r="DM163" s="34"/>
      <c r="DN163" s="34"/>
      <c r="DO163" s="34"/>
      <c r="DP163" s="34"/>
      <c r="DQ163" s="34"/>
      <c r="DR163" s="34"/>
      <c r="DS163" s="34"/>
      <c r="DT163" s="34"/>
      <c r="DU163" s="34"/>
      <c r="DV163" s="34"/>
      <c r="DW163" s="34"/>
      <c r="DX163" s="34"/>
      <c r="DY163" s="34"/>
      <c r="DZ163" s="34"/>
      <c r="EA163" s="34"/>
      <c r="EB163" s="34"/>
      <c r="EC163" s="34"/>
      <c r="ED163" s="34"/>
      <c r="EE163" s="34"/>
    </row>
    <row r="164" spans="1:135" x14ac:dyDescent="0.4">
      <c r="A164" s="29" t="str">
        <f t="shared" si="135"/>
        <v/>
      </c>
      <c r="B164" s="34"/>
      <c r="C164" s="48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4"/>
      <c r="AJ164" s="34"/>
      <c r="AK164" s="34"/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  <c r="CF164" s="34"/>
      <c r="CG164" s="34"/>
      <c r="CH164" s="34"/>
      <c r="CI164" s="34"/>
      <c r="CJ164" s="34"/>
      <c r="CK164" s="34"/>
      <c r="CL164" s="34"/>
      <c r="CM164" s="34"/>
      <c r="CN164" s="34"/>
      <c r="CO164" s="34"/>
      <c r="CP164" s="34"/>
      <c r="CQ164" s="34"/>
      <c r="CR164" s="34"/>
      <c r="CS164" s="34"/>
      <c r="CT164" s="34"/>
      <c r="CU164" s="34"/>
      <c r="CV164" s="34"/>
      <c r="CW164" s="34"/>
      <c r="CX164" s="34"/>
      <c r="CY164" s="34"/>
      <c r="CZ164" s="34"/>
      <c r="DA164" s="34"/>
      <c r="DB164" s="34"/>
      <c r="DC164" s="34"/>
      <c r="DD164" s="34"/>
      <c r="DE164" s="34"/>
      <c r="DF164" s="34"/>
      <c r="DG164" s="34"/>
      <c r="DH164" s="34"/>
      <c r="DI164" s="34"/>
      <c r="DJ164" s="34"/>
      <c r="DK164" s="34"/>
      <c r="DL164" s="34"/>
      <c r="DM164" s="34"/>
      <c r="DN164" s="34"/>
      <c r="DO164" s="34"/>
      <c r="DP164" s="34"/>
      <c r="DQ164" s="34"/>
      <c r="DR164" s="34"/>
      <c r="DS164" s="34"/>
      <c r="DT164" s="34"/>
      <c r="DU164" s="34"/>
      <c r="DV164" s="34"/>
      <c r="DW164" s="34"/>
      <c r="DX164" s="34"/>
      <c r="DY164" s="34"/>
      <c r="DZ164" s="34"/>
      <c r="EA164" s="34"/>
      <c r="EB164" s="34"/>
      <c r="EC164" s="34"/>
      <c r="ED164" s="34"/>
      <c r="EE164" s="34"/>
    </row>
    <row r="165" spans="1:135" x14ac:dyDescent="0.4">
      <c r="A165" s="29" t="str">
        <f t="shared" si="135"/>
        <v/>
      </c>
      <c r="B165" s="34"/>
      <c r="C165" s="48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4"/>
      <c r="AJ165" s="34"/>
      <c r="AK165" s="34"/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  <c r="CF165" s="34"/>
      <c r="CG165" s="34"/>
      <c r="CH165" s="34"/>
      <c r="CI165" s="34"/>
      <c r="CJ165" s="34"/>
      <c r="CK165" s="34"/>
      <c r="CL165" s="34"/>
      <c r="CM165" s="34"/>
      <c r="CN165" s="34"/>
      <c r="CO165" s="34"/>
      <c r="CP165" s="34"/>
      <c r="CQ165" s="34"/>
      <c r="CR165" s="34"/>
      <c r="CS165" s="34"/>
      <c r="CT165" s="34"/>
      <c r="CU165" s="34"/>
      <c r="CV165" s="34"/>
      <c r="CW165" s="34"/>
      <c r="CX165" s="34"/>
      <c r="CY165" s="34"/>
      <c r="CZ165" s="34"/>
      <c r="DA165" s="34"/>
      <c r="DB165" s="34"/>
      <c r="DC165" s="34"/>
      <c r="DD165" s="34"/>
      <c r="DE165" s="34"/>
      <c r="DF165" s="34"/>
      <c r="DG165" s="34"/>
      <c r="DH165" s="34"/>
      <c r="DI165" s="34"/>
      <c r="DJ165" s="34"/>
      <c r="DK165" s="34"/>
      <c r="DL165" s="34"/>
      <c r="DM165" s="34"/>
      <c r="DN165" s="34"/>
      <c r="DO165" s="34"/>
      <c r="DP165" s="34"/>
      <c r="DQ165" s="34"/>
      <c r="DR165" s="34"/>
      <c r="DS165" s="34"/>
      <c r="DT165" s="34"/>
      <c r="DU165" s="34"/>
      <c r="DV165" s="34"/>
      <c r="DW165" s="34"/>
      <c r="DX165" s="34"/>
      <c r="DY165" s="34"/>
      <c r="DZ165" s="34"/>
      <c r="EA165" s="34"/>
      <c r="EB165" s="34"/>
      <c r="EC165" s="34"/>
      <c r="ED165" s="34"/>
      <c r="EE165" s="34"/>
    </row>
    <row r="166" spans="1:135" x14ac:dyDescent="0.4">
      <c r="A166" s="29" t="str">
        <f t="shared" si="135"/>
        <v/>
      </c>
      <c r="B166" s="34"/>
      <c r="C166" s="48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4"/>
      <c r="AJ166" s="34"/>
      <c r="AK166" s="34"/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  <c r="CF166" s="34"/>
      <c r="CG166" s="34"/>
      <c r="CH166" s="34"/>
      <c r="CI166" s="34"/>
      <c r="CJ166" s="34"/>
      <c r="CK166" s="34"/>
      <c r="CL166" s="34"/>
      <c r="CM166" s="34"/>
      <c r="CN166" s="34"/>
      <c r="CO166" s="34"/>
      <c r="CP166" s="34"/>
      <c r="CQ166" s="34"/>
      <c r="CR166" s="34"/>
      <c r="CS166" s="34"/>
      <c r="CT166" s="34"/>
      <c r="CU166" s="34"/>
      <c r="CV166" s="34"/>
      <c r="CW166" s="34"/>
      <c r="CX166" s="34"/>
      <c r="CY166" s="34"/>
      <c r="CZ166" s="34"/>
      <c r="DA166" s="34"/>
      <c r="DB166" s="34"/>
      <c r="DC166" s="34"/>
      <c r="DD166" s="34"/>
      <c r="DE166" s="34"/>
      <c r="DF166" s="34"/>
      <c r="DG166" s="34"/>
      <c r="DH166" s="34"/>
      <c r="DI166" s="34"/>
      <c r="DJ166" s="34"/>
      <c r="DK166" s="34"/>
      <c r="DL166" s="34"/>
      <c r="DM166" s="34"/>
      <c r="DN166" s="34"/>
      <c r="DO166" s="34"/>
      <c r="DP166" s="34"/>
      <c r="DQ166" s="34"/>
      <c r="DR166" s="34"/>
      <c r="DS166" s="34"/>
      <c r="DT166" s="34"/>
      <c r="DU166" s="34"/>
      <c r="DV166" s="34"/>
      <c r="DW166" s="34"/>
      <c r="DX166" s="34"/>
      <c r="DY166" s="34"/>
      <c r="DZ166" s="34"/>
      <c r="EA166" s="34"/>
      <c r="EB166" s="34"/>
      <c r="EC166" s="34"/>
      <c r="ED166" s="34"/>
      <c r="EE166" s="34"/>
    </row>
    <row r="167" spans="1:135" x14ac:dyDescent="0.4">
      <c r="A167" s="29" t="str">
        <f t="shared" si="135"/>
        <v/>
      </c>
      <c r="B167" s="34"/>
      <c r="C167" s="48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4"/>
      <c r="AJ167" s="34"/>
      <c r="AK167" s="34"/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  <c r="CF167" s="34"/>
      <c r="CG167" s="34"/>
      <c r="CH167" s="34"/>
      <c r="CI167" s="34"/>
      <c r="CJ167" s="34"/>
      <c r="CK167" s="34"/>
      <c r="CL167" s="34"/>
      <c r="CM167" s="34"/>
      <c r="CN167" s="34"/>
      <c r="CO167" s="34"/>
      <c r="CP167" s="34"/>
      <c r="CQ167" s="34"/>
      <c r="CR167" s="34"/>
      <c r="CS167" s="34"/>
      <c r="CT167" s="34"/>
      <c r="CU167" s="34"/>
      <c r="CV167" s="34"/>
      <c r="CW167" s="34"/>
      <c r="CX167" s="34"/>
      <c r="CY167" s="34"/>
      <c r="CZ167" s="34"/>
      <c r="DA167" s="34"/>
      <c r="DB167" s="34"/>
      <c r="DC167" s="34"/>
      <c r="DD167" s="34"/>
      <c r="DE167" s="34"/>
      <c r="DF167" s="34"/>
      <c r="DG167" s="34"/>
      <c r="DH167" s="34"/>
      <c r="DI167" s="34"/>
      <c r="DJ167" s="34"/>
      <c r="DK167" s="34"/>
      <c r="DL167" s="34"/>
      <c r="DM167" s="34"/>
      <c r="DN167" s="34"/>
      <c r="DO167" s="34"/>
      <c r="DP167" s="34"/>
      <c r="DQ167" s="34"/>
      <c r="DR167" s="34"/>
      <c r="DS167" s="34"/>
      <c r="DT167" s="34"/>
      <c r="DU167" s="34"/>
      <c r="DV167" s="34"/>
      <c r="DW167" s="34"/>
      <c r="DX167" s="34"/>
      <c r="DY167" s="34"/>
      <c r="DZ167" s="34"/>
      <c r="EA167" s="34"/>
      <c r="EB167" s="34"/>
      <c r="EC167" s="34"/>
      <c r="ED167" s="34"/>
      <c r="EE167" s="34"/>
    </row>
    <row r="168" spans="1:135" x14ac:dyDescent="0.4">
      <c r="A168" s="29" t="str">
        <f t="shared" si="135"/>
        <v/>
      </c>
      <c r="B168" s="34"/>
      <c r="C168" s="48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4"/>
      <c r="AJ168" s="34"/>
      <c r="AK168" s="34"/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  <c r="CF168" s="34"/>
      <c r="CG168" s="34"/>
      <c r="CH168" s="34"/>
      <c r="CI168" s="34"/>
      <c r="CJ168" s="34"/>
      <c r="CK168" s="34"/>
      <c r="CL168" s="34"/>
      <c r="CM168" s="34"/>
      <c r="CN168" s="34"/>
      <c r="CO168" s="34"/>
      <c r="CP168" s="34"/>
      <c r="CQ168" s="34"/>
      <c r="CR168" s="34"/>
      <c r="CS168" s="34"/>
      <c r="CT168" s="34"/>
      <c r="CU168" s="34"/>
      <c r="CV168" s="34"/>
      <c r="CW168" s="34"/>
      <c r="CX168" s="34"/>
      <c r="CY168" s="34"/>
      <c r="CZ168" s="34"/>
      <c r="DA168" s="34"/>
      <c r="DB168" s="34"/>
      <c r="DC168" s="34"/>
      <c r="DD168" s="34"/>
      <c r="DE168" s="34"/>
      <c r="DF168" s="34"/>
      <c r="DG168" s="34"/>
      <c r="DH168" s="34"/>
      <c r="DI168" s="34"/>
      <c r="DJ168" s="34"/>
      <c r="DK168" s="34"/>
      <c r="DL168" s="34"/>
      <c r="DM168" s="34"/>
      <c r="DN168" s="34"/>
      <c r="DO168" s="34"/>
      <c r="DP168" s="34"/>
      <c r="DQ168" s="34"/>
      <c r="DR168" s="34"/>
      <c r="DS168" s="34"/>
      <c r="DT168" s="34"/>
      <c r="DU168" s="34"/>
      <c r="DV168" s="34"/>
      <c r="DW168" s="34"/>
      <c r="DX168" s="34"/>
      <c r="DY168" s="34"/>
      <c r="DZ168" s="34"/>
      <c r="EA168" s="34"/>
      <c r="EB168" s="34"/>
      <c r="EC168" s="34"/>
      <c r="ED168" s="34"/>
      <c r="EE168" s="34"/>
    </row>
    <row r="169" spans="1:135" x14ac:dyDescent="0.4">
      <c r="A169" s="29" t="str">
        <f t="shared" si="135"/>
        <v/>
      </c>
      <c r="B169" s="34"/>
      <c r="C169" s="48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4"/>
      <c r="AJ169" s="34"/>
      <c r="AK169" s="34"/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  <c r="CF169" s="34"/>
      <c r="CG169" s="34"/>
      <c r="CH169" s="34"/>
      <c r="CI169" s="34"/>
      <c r="CJ169" s="34"/>
      <c r="CK169" s="34"/>
      <c r="CL169" s="34"/>
      <c r="CM169" s="34"/>
      <c r="CN169" s="34"/>
      <c r="CO169" s="34"/>
      <c r="CP169" s="34"/>
      <c r="CQ169" s="34"/>
      <c r="CR169" s="34"/>
      <c r="CS169" s="34"/>
      <c r="CT169" s="34"/>
      <c r="CU169" s="34"/>
      <c r="CV169" s="34"/>
      <c r="CW169" s="34"/>
      <c r="CX169" s="34"/>
      <c r="CY169" s="34"/>
      <c r="CZ169" s="34"/>
      <c r="DA169" s="34"/>
      <c r="DB169" s="34"/>
      <c r="DC169" s="34"/>
      <c r="DD169" s="34"/>
      <c r="DE169" s="34"/>
      <c r="DF169" s="34"/>
      <c r="DG169" s="34"/>
      <c r="DH169" s="34"/>
      <c r="DI169" s="34"/>
      <c r="DJ169" s="34"/>
      <c r="DK169" s="34"/>
      <c r="DL169" s="34"/>
      <c r="DM169" s="34"/>
      <c r="DN169" s="34"/>
      <c r="DO169" s="34"/>
      <c r="DP169" s="34"/>
      <c r="DQ169" s="34"/>
      <c r="DR169" s="34"/>
      <c r="DS169" s="34"/>
      <c r="DT169" s="34"/>
      <c r="DU169" s="34"/>
      <c r="DV169" s="34"/>
      <c r="DW169" s="34"/>
      <c r="DX169" s="34"/>
      <c r="DY169" s="34"/>
      <c r="DZ169" s="34"/>
      <c r="EA169" s="34"/>
      <c r="EB169" s="34"/>
      <c r="EC169" s="34"/>
      <c r="ED169" s="34"/>
      <c r="EE169" s="34"/>
    </row>
    <row r="170" spans="1:135" x14ac:dyDescent="0.4">
      <c r="A170" s="29" t="str">
        <f t="shared" si="135"/>
        <v/>
      </c>
      <c r="B170" s="34"/>
      <c r="C170" s="48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4"/>
      <c r="AJ170" s="34"/>
      <c r="AK170" s="34"/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  <c r="CF170" s="34"/>
      <c r="CG170" s="34"/>
      <c r="CH170" s="34"/>
      <c r="CI170" s="34"/>
      <c r="CJ170" s="34"/>
      <c r="CK170" s="34"/>
      <c r="CL170" s="34"/>
      <c r="CM170" s="34"/>
      <c r="CN170" s="34"/>
      <c r="CO170" s="34"/>
      <c r="CP170" s="34"/>
      <c r="CQ170" s="34"/>
      <c r="CR170" s="34"/>
      <c r="CS170" s="34"/>
      <c r="CT170" s="34"/>
      <c r="CU170" s="34"/>
      <c r="CV170" s="34"/>
      <c r="CW170" s="34"/>
      <c r="CX170" s="34"/>
      <c r="CY170" s="34"/>
      <c r="CZ170" s="34"/>
      <c r="DA170" s="34"/>
      <c r="DB170" s="34"/>
      <c r="DC170" s="34"/>
      <c r="DD170" s="34"/>
      <c r="DE170" s="34"/>
      <c r="DF170" s="34"/>
      <c r="DG170" s="34"/>
      <c r="DH170" s="34"/>
      <c r="DI170" s="34"/>
      <c r="DJ170" s="34"/>
      <c r="DK170" s="34"/>
      <c r="DL170" s="34"/>
      <c r="DM170" s="34"/>
      <c r="DN170" s="34"/>
      <c r="DO170" s="34"/>
      <c r="DP170" s="34"/>
      <c r="DQ170" s="34"/>
      <c r="DR170" s="34"/>
      <c r="DS170" s="34"/>
      <c r="DT170" s="34"/>
      <c r="DU170" s="34"/>
      <c r="DV170" s="34"/>
      <c r="DW170" s="34"/>
      <c r="DX170" s="34"/>
      <c r="DY170" s="34"/>
      <c r="DZ170" s="34"/>
      <c r="EA170" s="34"/>
      <c r="EB170" s="34"/>
      <c r="EC170" s="34"/>
      <c r="ED170" s="34"/>
      <c r="EE170" s="34"/>
    </row>
    <row r="171" spans="1:135" x14ac:dyDescent="0.4">
      <c r="A171" s="29" t="str">
        <f t="shared" si="135"/>
        <v/>
      </c>
      <c r="B171" s="34"/>
      <c r="C171" s="48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4"/>
      <c r="AJ171" s="34"/>
      <c r="AK171" s="34"/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  <c r="CF171" s="34"/>
      <c r="CG171" s="34"/>
      <c r="CH171" s="34"/>
      <c r="CI171" s="34"/>
      <c r="CJ171" s="34"/>
      <c r="CK171" s="34"/>
      <c r="CL171" s="34"/>
      <c r="CM171" s="34"/>
      <c r="CN171" s="34"/>
      <c r="CO171" s="34"/>
      <c r="CP171" s="34"/>
      <c r="CQ171" s="34"/>
      <c r="CR171" s="34"/>
      <c r="CS171" s="34"/>
      <c r="CT171" s="34"/>
      <c r="CU171" s="34"/>
      <c r="CV171" s="34"/>
      <c r="CW171" s="34"/>
      <c r="CX171" s="34"/>
      <c r="CY171" s="34"/>
      <c r="CZ171" s="34"/>
      <c r="DA171" s="34"/>
      <c r="DB171" s="34"/>
      <c r="DC171" s="34"/>
      <c r="DD171" s="34"/>
      <c r="DE171" s="34"/>
      <c r="DF171" s="34"/>
      <c r="DG171" s="34"/>
      <c r="DH171" s="34"/>
      <c r="DI171" s="34"/>
      <c r="DJ171" s="34"/>
      <c r="DK171" s="34"/>
      <c r="DL171" s="34"/>
      <c r="DM171" s="34"/>
      <c r="DN171" s="34"/>
      <c r="DO171" s="34"/>
      <c r="DP171" s="34"/>
      <c r="DQ171" s="34"/>
      <c r="DR171" s="34"/>
      <c r="DS171" s="34"/>
      <c r="DT171" s="34"/>
      <c r="DU171" s="34"/>
      <c r="DV171" s="34"/>
      <c r="DW171" s="34"/>
      <c r="DX171" s="34"/>
      <c r="DY171" s="34"/>
      <c r="DZ171" s="34"/>
      <c r="EA171" s="34"/>
      <c r="EB171" s="34"/>
      <c r="EC171" s="34"/>
      <c r="ED171" s="34"/>
      <c r="EE171" s="34"/>
    </row>
    <row r="172" spans="1:135" x14ac:dyDescent="0.4">
      <c r="A172" s="29" t="str">
        <f t="shared" si="135"/>
        <v/>
      </c>
      <c r="B172" s="34"/>
      <c r="C172" s="48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  <c r="CF172" s="34"/>
      <c r="CG172" s="34"/>
      <c r="CH172" s="34"/>
      <c r="CI172" s="34"/>
      <c r="CJ172" s="34"/>
      <c r="CK172" s="34"/>
      <c r="CL172" s="34"/>
      <c r="CM172" s="34"/>
      <c r="CN172" s="34"/>
      <c r="CO172" s="34"/>
      <c r="CP172" s="34"/>
      <c r="CQ172" s="34"/>
      <c r="CR172" s="34"/>
      <c r="CS172" s="34"/>
      <c r="CT172" s="34"/>
      <c r="CU172" s="34"/>
      <c r="CV172" s="34"/>
      <c r="CW172" s="34"/>
      <c r="CX172" s="34"/>
      <c r="CY172" s="34"/>
      <c r="CZ172" s="34"/>
      <c r="DA172" s="34"/>
      <c r="DB172" s="34"/>
      <c r="DC172" s="34"/>
      <c r="DD172" s="34"/>
      <c r="DE172" s="34"/>
      <c r="DF172" s="34"/>
      <c r="DG172" s="34"/>
      <c r="DH172" s="34"/>
      <c r="DI172" s="34"/>
      <c r="DJ172" s="34"/>
      <c r="DK172" s="34"/>
      <c r="DL172" s="34"/>
      <c r="DM172" s="34"/>
      <c r="DN172" s="34"/>
      <c r="DO172" s="34"/>
      <c r="DP172" s="34"/>
      <c r="DQ172" s="34"/>
      <c r="DR172" s="34"/>
      <c r="DS172" s="34"/>
      <c r="DT172" s="34"/>
      <c r="DU172" s="34"/>
      <c r="DV172" s="34"/>
      <c r="DW172" s="34"/>
      <c r="DX172" s="34"/>
      <c r="DY172" s="34"/>
      <c r="DZ172" s="34"/>
      <c r="EA172" s="34"/>
      <c r="EB172" s="34"/>
      <c r="EC172" s="34"/>
      <c r="ED172" s="34"/>
      <c r="EE172" s="34"/>
    </row>
    <row r="173" spans="1:135" x14ac:dyDescent="0.4">
      <c r="A173" s="29" t="str">
        <f t="shared" si="135"/>
        <v/>
      </c>
      <c r="B173" s="34"/>
      <c r="C173" s="48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4"/>
      <c r="AJ173" s="34"/>
      <c r="AK173" s="34"/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  <c r="CF173" s="34"/>
      <c r="CG173" s="34"/>
      <c r="CH173" s="34"/>
      <c r="CI173" s="34"/>
      <c r="CJ173" s="34"/>
      <c r="CK173" s="34"/>
      <c r="CL173" s="34"/>
      <c r="CM173" s="34"/>
      <c r="CN173" s="34"/>
      <c r="CO173" s="34"/>
      <c r="CP173" s="34"/>
      <c r="CQ173" s="34"/>
      <c r="CR173" s="34"/>
      <c r="CS173" s="34"/>
      <c r="CT173" s="34"/>
      <c r="CU173" s="34"/>
      <c r="CV173" s="34"/>
      <c r="CW173" s="34"/>
      <c r="CX173" s="34"/>
      <c r="CY173" s="34"/>
      <c r="CZ173" s="34"/>
      <c r="DA173" s="34"/>
      <c r="DB173" s="34"/>
      <c r="DC173" s="34"/>
      <c r="DD173" s="34"/>
      <c r="DE173" s="34"/>
      <c r="DF173" s="34"/>
      <c r="DG173" s="34"/>
      <c r="DH173" s="34"/>
      <c r="DI173" s="34"/>
      <c r="DJ173" s="34"/>
      <c r="DK173" s="34"/>
      <c r="DL173" s="34"/>
      <c r="DM173" s="34"/>
      <c r="DN173" s="34"/>
      <c r="DO173" s="34"/>
      <c r="DP173" s="34"/>
      <c r="DQ173" s="34"/>
      <c r="DR173" s="34"/>
      <c r="DS173" s="34"/>
      <c r="DT173" s="34"/>
      <c r="DU173" s="34"/>
      <c r="DV173" s="34"/>
      <c r="DW173" s="34"/>
      <c r="DX173" s="34"/>
      <c r="DY173" s="34"/>
      <c r="DZ173" s="34"/>
      <c r="EA173" s="34"/>
      <c r="EB173" s="34"/>
      <c r="EC173" s="34"/>
      <c r="ED173" s="34"/>
      <c r="EE173" s="34"/>
    </row>
    <row r="174" spans="1:135" x14ac:dyDescent="0.4">
      <c r="A174" s="29" t="str">
        <f t="shared" si="135"/>
        <v/>
      </c>
      <c r="B174" s="34"/>
      <c r="C174" s="48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4"/>
      <c r="AJ174" s="34"/>
      <c r="AK174" s="34"/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  <c r="CF174" s="34"/>
      <c r="CG174" s="34"/>
      <c r="CH174" s="34"/>
      <c r="CI174" s="34"/>
      <c r="CJ174" s="34"/>
      <c r="CK174" s="34"/>
      <c r="CL174" s="34"/>
      <c r="CM174" s="34"/>
      <c r="CN174" s="34"/>
      <c r="CO174" s="34"/>
      <c r="CP174" s="34"/>
      <c r="CQ174" s="34"/>
      <c r="CR174" s="34"/>
      <c r="CS174" s="34"/>
      <c r="CT174" s="34"/>
      <c r="CU174" s="34"/>
      <c r="CV174" s="34"/>
      <c r="CW174" s="34"/>
      <c r="CX174" s="34"/>
      <c r="CY174" s="34"/>
      <c r="CZ174" s="34"/>
      <c r="DA174" s="34"/>
      <c r="DB174" s="34"/>
      <c r="DC174" s="34"/>
      <c r="DD174" s="34"/>
      <c r="DE174" s="34"/>
      <c r="DF174" s="34"/>
      <c r="DG174" s="34"/>
      <c r="DH174" s="34"/>
      <c r="DI174" s="34"/>
      <c r="DJ174" s="34"/>
      <c r="DK174" s="34"/>
      <c r="DL174" s="34"/>
      <c r="DM174" s="34"/>
      <c r="DN174" s="34"/>
      <c r="DO174" s="34"/>
      <c r="DP174" s="34"/>
      <c r="DQ174" s="34"/>
      <c r="DR174" s="34"/>
      <c r="DS174" s="34"/>
      <c r="DT174" s="34"/>
      <c r="DU174" s="34"/>
      <c r="DV174" s="34"/>
      <c r="DW174" s="34"/>
      <c r="DX174" s="34"/>
      <c r="DY174" s="34"/>
      <c r="DZ174" s="34"/>
      <c r="EA174" s="34"/>
      <c r="EB174" s="34"/>
      <c r="EC174" s="34"/>
      <c r="ED174" s="34"/>
      <c r="EE174" s="34"/>
    </row>
    <row r="175" spans="1:135" x14ac:dyDescent="0.4">
      <c r="A175" s="29" t="str">
        <f t="shared" si="135"/>
        <v/>
      </c>
      <c r="B175" s="34"/>
      <c r="C175" s="48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4"/>
      <c r="AJ175" s="34"/>
      <c r="AK175" s="34"/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  <c r="CF175" s="34"/>
      <c r="CG175" s="34"/>
      <c r="CH175" s="34"/>
      <c r="CI175" s="34"/>
      <c r="CJ175" s="34"/>
      <c r="CK175" s="34"/>
      <c r="CL175" s="34"/>
      <c r="CM175" s="34"/>
      <c r="CN175" s="34"/>
      <c r="CO175" s="34"/>
      <c r="CP175" s="34"/>
      <c r="CQ175" s="34"/>
      <c r="CR175" s="34"/>
      <c r="CS175" s="34"/>
      <c r="CT175" s="34"/>
      <c r="CU175" s="34"/>
      <c r="CV175" s="34"/>
      <c r="CW175" s="34"/>
      <c r="CX175" s="34"/>
      <c r="CY175" s="34"/>
      <c r="CZ175" s="34"/>
      <c r="DA175" s="34"/>
      <c r="DB175" s="34"/>
      <c r="DC175" s="34"/>
      <c r="DD175" s="34"/>
      <c r="DE175" s="34"/>
      <c r="DF175" s="34"/>
      <c r="DG175" s="34"/>
      <c r="DH175" s="34"/>
      <c r="DI175" s="34"/>
      <c r="DJ175" s="34"/>
      <c r="DK175" s="34"/>
      <c r="DL175" s="34"/>
      <c r="DM175" s="34"/>
      <c r="DN175" s="34"/>
      <c r="DO175" s="34"/>
      <c r="DP175" s="34"/>
      <c r="DQ175" s="34"/>
      <c r="DR175" s="34"/>
      <c r="DS175" s="34"/>
      <c r="DT175" s="34"/>
      <c r="DU175" s="34"/>
      <c r="DV175" s="34"/>
      <c r="DW175" s="34"/>
      <c r="DX175" s="34"/>
      <c r="DY175" s="34"/>
      <c r="DZ175" s="34"/>
      <c r="EA175" s="34"/>
      <c r="EB175" s="34"/>
      <c r="EC175" s="34"/>
      <c r="ED175" s="34"/>
      <c r="EE175" s="34"/>
    </row>
    <row r="176" spans="1:135" x14ac:dyDescent="0.4">
      <c r="A176" s="29" t="str">
        <f t="shared" si="135"/>
        <v/>
      </c>
      <c r="B176" s="34"/>
      <c r="C176" s="48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4"/>
      <c r="AJ176" s="34"/>
      <c r="AK176" s="34"/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  <c r="CF176" s="34"/>
      <c r="CG176" s="34"/>
      <c r="CH176" s="34"/>
      <c r="CI176" s="34"/>
      <c r="CJ176" s="34"/>
      <c r="CK176" s="34"/>
      <c r="CL176" s="34"/>
      <c r="CM176" s="34"/>
      <c r="CN176" s="34"/>
      <c r="CO176" s="34"/>
      <c r="CP176" s="34"/>
      <c r="CQ176" s="34"/>
      <c r="CR176" s="34"/>
      <c r="CS176" s="34"/>
      <c r="CT176" s="34"/>
      <c r="CU176" s="34"/>
      <c r="CV176" s="34"/>
      <c r="CW176" s="34"/>
      <c r="CX176" s="34"/>
      <c r="CY176" s="34"/>
      <c r="CZ176" s="34"/>
      <c r="DA176" s="34"/>
      <c r="DB176" s="34"/>
      <c r="DC176" s="34"/>
      <c r="DD176" s="34"/>
      <c r="DE176" s="34"/>
      <c r="DF176" s="34"/>
      <c r="DG176" s="34"/>
      <c r="DH176" s="34"/>
      <c r="DI176" s="34"/>
      <c r="DJ176" s="34"/>
      <c r="DK176" s="34"/>
      <c r="DL176" s="34"/>
      <c r="DM176" s="34"/>
      <c r="DN176" s="34"/>
      <c r="DO176" s="34"/>
      <c r="DP176" s="34"/>
      <c r="DQ176" s="34"/>
      <c r="DR176" s="34"/>
      <c r="DS176" s="34"/>
      <c r="DT176" s="34"/>
      <c r="DU176" s="34"/>
      <c r="DV176" s="34"/>
      <c r="DW176" s="34"/>
      <c r="DX176" s="34"/>
      <c r="DY176" s="34"/>
      <c r="DZ176" s="34"/>
      <c r="EA176" s="34"/>
      <c r="EB176" s="34"/>
      <c r="EC176" s="34"/>
      <c r="ED176" s="34"/>
      <c r="EE176" s="34"/>
    </row>
    <row r="177" spans="1:135" x14ac:dyDescent="0.4">
      <c r="A177" s="29" t="str">
        <f t="shared" si="135"/>
        <v/>
      </c>
      <c r="B177" s="34"/>
      <c r="C177" s="48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4"/>
      <c r="AJ177" s="34"/>
      <c r="AK177" s="34"/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  <c r="CF177" s="34"/>
      <c r="CG177" s="34"/>
      <c r="CH177" s="34"/>
      <c r="CI177" s="34"/>
      <c r="CJ177" s="34"/>
      <c r="CK177" s="34"/>
      <c r="CL177" s="34"/>
      <c r="CM177" s="34"/>
      <c r="CN177" s="34"/>
      <c r="CO177" s="34"/>
      <c r="CP177" s="34"/>
      <c r="CQ177" s="34"/>
      <c r="CR177" s="34"/>
      <c r="CS177" s="34"/>
      <c r="CT177" s="34"/>
      <c r="CU177" s="34"/>
      <c r="CV177" s="34"/>
      <c r="CW177" s="34"/>
      <c r="CX177" s="34"/>
      <c r="CY177" s="34"/>
      <c r="CZ177" s="34"/>
      <c r="DA177" s="34"/>
      <c r="DB177" s="34"/>
      <c r="DC177" s="34"/>
      <c r="DD177" s="34"/>
      <c r="DE177" s="34"/>
      <c r="DF177" s="34"/>
      <c r="DG177" s="34"/>
      <c r="DH177" s="34"/>
      <c r="DI177" s="34"/>
      <c r="DJ177" s="34"/>
      <c r="DK177" s="34"/>
      <c r="DL177" s="34"/>
      <c r="DM177" s="34"/>
      <c r="DN177" s="34"/>
      <c r="DO177" s="34"/>
      <c r="DP177" s="34"/>
      <c r="DQ177" s="34"/>
      <c r="DR177" s="34"/>
      <c r="DS177" s="34"/>
      <c r="DT177" s="34"/>
      <c r="DU177" s="34"/>
      <c r="DV177" s="34"/>
      <c r="DW177" s="34"/>
      <c r="DX177" s="34"/>
      <c r="DY177" s="34"/>
      <c r="DZ177" s="34"/>
      <c r="EA177" s="34"/>
      <c r="EB177" s="34"/>
      <c r="EC177" s="34"/>
      <c r="ED177" s="34"/>
      <c r="EE177" s="34"/>
    </row>
    <row r="178" spans="1:135" x14ac:dyDescent="0.4">
      <c r="A178" s="29" t="str">
        <f t="shared" si="135"/>
        <v/>
      </c>
      <c r="B178" s="34"/>
      <c r="C178" s="48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4"/>
      <c r="AJ178" s="34"/>
      <c r="AK178" s="34"/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  <c r="CF178" s="34"/>
      <c r="CG178" s="34"/>
      <c r="CH178" s="34"/>
      <c r="CI178" s="34"/>
      <c r="CJ178" s="34"/>
      <c r="CK178" s="34"/>
      <c r="CL178" s="34"/>
      <c r="CM178" s="34"/>
      <c r="CN178" s="34"/>
      <c r="CO178" s="34"/>
      <c r="CP178" s="34"/>
      <c r="CQ178" s="34"/>
      <c r="CR178" s="34"/>
      <c r="CS178" s="34"/>
      <c r="CT178" s="34"/>
      <c r="CU178" s="34"/>
      <c r="CV178" s="34"/>
      <c r="CW178" s="34"/>
      <c r="CX178" s="34"/>
      <c r="CY178" s="34"/>
      <c r="CZ178" s="34"/>
      <c r="DA178" s="34"/>
      <c r="DB178" s="34"/>
      <c r="DC178" s="34"/>
      <c r="DD178" s="34"/>
      <c r="DE178" s="34"/>
      <c r="DF178" s="34"/>
      <c r="DG178" s="34"/>
      <c r="DH178" s="34"/>
      <c r="DI178" s="34"/>
      <c r="DJ178" s="34"/>
      <c r="DK178" s="34"/>
      <c r="DL178" s="34"/>
      <c r="DM178" s="34"/>
      <c r="DN178" s="34"/>
      <c r="DO178" s="34"/>
      <c r="DP178" s="34"/>
      <c r="DQ178" s="34"/>
      <c r="DR178" s="34"/>
      <c r="DS178" s="34"/>
      <c r="DT178" s="34"/>
      <c r="DU178" s="34"/>
      <c r="DV178" s="34"/>
      <c r="DW178" s="34"/>
      <c r="DX178" s="34"/>
      <c r="DY178" s="34"/>
      <c r="DZ178" s="34"/>
      <c r="EA178" s="34"/>
      <c r="EB178" s="34"/>
      <c r="EC178" s="34"/>
      <c r="ED178" s="34"/>
      <c r="EE178" s="34"/>
    </row>
    <row r="179" spans="1:135" x14ac:dyDescent="0.4">
      <c r="A179" s="29" t="str">
        <f t="shared" si="135"/>
        <v/>
      </c>
      <c r="B179" s="34"/>
      <c r="C179" s="48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4"/>
      <c r="AJ179" s="34"/>
      <c r="AK179" s="34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  <c r="CF179" s="34"/>
      <c r="CG179" s="34"/>
      <c r="CH179" s="34"/>
      <c r="CI179" s="34"/>
      <c r="CJ179" s="34"/>
      <c r="CK179" s="34"/>
      <c r="CL179" s="34"/>
      <c r="CM179" s="34"/>
      <c r="CN179" s="34"/>
      <c r="CO179" s="34"/>
      <c r="CP179" s="34"/>
      <c r="CQ179" s="34"/>
      <c r="CR179" s="34"/>
      <c r="CS179" s="34"/>
      <c r="CT179" s="34"/>
      <c r="CU179" s="34"/>
      <c r="CV179" s="34"/>
      <c r="CW179" s="34"/>
      <c r="CX179" s="34"/>
      <c r="CY179" s="34"/>
      <c r="CZ179" s="34"/>
      <c r="DA179" s="34"/>
      <c r="DB179" s="34"/>
      <c r="DC179" s="34"/>
      <c r="DD179" s="34"/>
      <c r="DE179" s="34"/>
      <c r="DF179" s="34"/>
      <c r="DG179" s="34"/>
      <c r="DH179" s="34"/>
      <c r="DI179" s="34"/>
      <c r="DJ179" s="34"/>
      <c r="DK179" s="34"/>
      <c r="DL179" s="34"/>
      <c r="DM179" s="34"/>
      <c r="DN179" s="34"/>
      <c r="DO179" s="34"/>
      <c r="DP179" s="34"/>
      <c r="DQ179" s="34"/>
      <c r="DR179" s="34"/>
      <c r="DS179" s="34"/>
      <c r="DT179" s="34"/>
      <c r="DU179" s="34"/>
      <c r="DV179" s="34"/>
      <c r="DW179" s="34"/>
      <c r="DX179" s="34"/>
      <c r="DY179" s="34"/>
      <c r="DZ179" s="34"/>
      <c r="EA179" s="34"/>
      <c r="EB179" s="34"/>
      <c r="EC179" s="34"/>
      <c r="ED179" s="34"/>
      <c r="EE179" s="34"/>
    </row>
    <row r="180" spans="1:135" x14ac:dyDescent="0.4">
      <c r="A180" s="29" t="str">
        <f t="shared" si="135"/>
        <v/>
      </c>
      <c r="B180" s="34"/>
      <c r="C180" s="48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4"/>
      <c r="AJ180" s="34"/>
      <c r="AK180" s="34"/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  <c r="CF180" s="34"/>
      <c r="CG180" s="34"/>
      <c r="CH180" s="34"/>
      <c r="CI180" s="34"/>
      <c r="CJ180" s="34"/>
      <c r="CK180" s="34"/>
      <c r="CL180" s="34"/>
      <c r="CM180" s="34"/>
      <c r="CN180" s="34"/>
      <c r="CO180" s="34"/>
      <c r="CP180" s="34"/>
      <c r="CQ180" s="34"/>
      <c r="CR180" s="34"/>
      <c r="CS180" s="34"/>
      <c r="CT180" s="34"/>
      <c r="CU180" s="34"/>
      <c r="CV180" s="34"/>
      <c r="CW180" s="34"/>
      <c r="CX180" s="34"/>
      <c r="CY180" s="34"/>
      <c r="CZ180" s="34"/>
      <c r="DA180" s="34"/>
      <c r="DB180" s="34"/>
      <c r="DC180" s="34"/>
      <c r="DD180" s="34"/>
      <c r="DE180" s="34"/>
      <c r="DF180" s="34"/>
      <c r="DG180" s="34"/>
      <c r="DH180" s="34"/>
      <c r="DI180" s="34"/>
      <c r="DJ180" s="34"/>
      <c r="DK180" s="34"/>
      <c r="DL180" s="34"/>
      <c r="DM180" s="34"/>
      <c r="DN180" s="34"/>
      <c r="DO180" s="34"/>
      <c r="DP180" s="34"/>
      <c r="DQ180" s="34"/>
      <c r="DR180" s="34"/>
      <c r="DS180" s="34"/>
      <c r="DT180" s="34"/>
      <c r="DU180" s="34"/>
      <c r="DV180" s="34"/>
      <c r="DW180" s="34"/>
      <c r="DX180" s="34"/>
      <c r="DY180" s="34"/>
      <c r="DZ180" s="34"/>
      <c r="EA180" s="34"/>
      <c r="EB180" s="34"/>
      <c r="EC180" s="34"/>
      <c r="ED180" s="34"/>
      <c r="EE180" s="34"/>
    </row>
    <row r="181" spans="1:135" x14ac:dyDescent="0.4">
      <c r="A181" s="29" t="str">
        <f t="shared" si="135"/>
        <v/>
      </c>
      <c r="B181" s="34"/>
      <c r="C181" s="48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4"/>
      <c r="AJ181" s="34"/>
      <c r="AK181" s="34"/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  <c r="CF181" s="34"/>
      <c r="CG181" s="34"/>
      <c r="CH181" s="34"/>
      <c r="CI181" s="34"/>
      <c r="CJ181" s="34"/>
      <c r="CK181" s="34"/>
      <c r="CL181" s="34"/>
      <c r="CM181" s="34"/>
      <c r="CN181" s="34"/>
      <c r="CO181" s="34"/>
      <c r="CP181" s="34"/>
      <c r="CQ181" s="34"/>
      <c r="CR181" s="34"/>
      <c r="CS181" s="34"/>
      <c r="CT181" s="34"/>
      <c r="CU181" s="34"/>
      <c r="CV181" s="34"/>
      <c r="CW181" s="34"/>
      <c r="CX181" s="34"/>
      <c r="CY181" s="34"/>
      <c r="CZ181" s="34"/>
      <c r="DA181" s="34"/>
      <c r="DB181" s="34"/>
      <c r="DC181" s="34"/>
      <c r="DD181" s="34"/>
      <c r="DE181" s="34"/>
      <c r="DF181" s="34"/>
      <c r="DG181" s="34"/>
      <c r="DH181" s="34"/>
      <c r="DI181" s="34"/>
      <c r="DJ181" s="34"/>
      <c r="DK181" s="34"/>
      <c r="DL181" s="34"/>
      <c r="DM181" s="34"/>
      <c r="DN181" s="34"/>
      <c r="DO181" s="34"/>
      <c r="DP181" s="34"/>
      <c r="DQ181" s="34"/>
      <c r="DR181" s="34"/>
      <c r="DS181" s="34"/>
      <c r="DT181" s="34"/>
      <c r="DU181" s="34"/>
      <c r="DV181" s="34"/>
      <c r="DW181" s="34"/>
      <c r="DX181" s="34"/>
      <c r="DY181" s="34"/>
      <c r="DZ181" s="34"/>
      <c r="EA181" s="34"/>
      <c r="EB181" s="34"/>
      <c r="EC181" s="34"/>
      <c r="ED181" s="34"/>
      <c r="EE181" s="34"/>
    </row>
    <row r="182" spans="1:135" x14ac:dyDescent="0.4">
      <c r="A182" s="29" t="str">
        <f t="shared" si="135"/>
        <v/>
      </c>
      <c r="B182" s="34"/>
      <c r="C182" s="48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4"/>
      <c r="AJ182" s="34"/>
      <c r="AK182" s="34"/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  <c r="CF182" s="34"/>
      <c r="CG182" s="34"/>
      <c r="CH182" s="34"/>
      <c r="CI182" s="34"/>
      <c r="CJ182" s="34"/>
      <c r="CK182" s="34"/>
      <c r="CL182" s="34"/>
      <c r="CM182" s="34"/>
      <c r="CN182" s="34"/>
      <c r="CO182" s="34"/>
      <c r="CP182" s="34"/>
      <c r="CQ182" s="34"/>
      <c r="CR182" s="34"/>
      <c r="CS182" s="34"/>
      <c r="CT182" s="34"/>
      <c r="CU182" s="34"/>
      <c r="CV182" s="34"/>
      <c r="CW182" s="34"/>
      <c r="CX182" s="34"/>
      <c r="CY182" s="34"/>
      <c r="CZ182" s="34"/>
      <c r="DA182" s="34"/>
      <c r="DB182" s="34"/>
      <c r="DC182" s="34"/>
      <c r="DD182" s="34"/>
      <c r="DE182" s="34"/>
      <c r="DF182" s="34"/>
      <c r="DG182" s="34"/>
      <c r="DH182" s="34"/>
      <c r="DI182" s="34"/>
      <c r="DJ182" s="34"/>
      <c r="DK182" s="34"/>
      <c r="DL182" s="34"/>
      <c r="DM182" s="34"/>
      <c r="DN182" s="34"/>
      <c r="DO182" s="34"/>
      <c r="DP182" s="34"/>
      <c r="DQ182" s="34"/>
      <c r="DR182" s="34"/>
      <c r="DS182" s="34"/>
      <c r="DT182" s="34"/>
      <c r="DU182" s="34"/>
      <c r="DV182" s="34"/>
      <c r="DW182" s="34"/>
      <c r="DX182" s="34"/>
      <c r="DY182" s="34"/>
      <c r="DZ182" s="34"/>
      <c r="EA182" s="34"/>
      <c r="EB182" s="34"/>
      <c r="EC182" s="34"/>
      <c r="ED182" s="34"/>
      <c r="EE182" s="34"/>
    </row>
    <row r="183" spans="1:135" x14ac:dyDescent="0.4">
      <c r="A183" s="29" t="str">
        <f t="shared" si="135"/>
        <v/>
      </c>
      <c r="B183" s="34"/>
      <c r="C183" s="48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4"/>
      <c r="AJ183" s="34"/>
      <c r="AK183" s="34"/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  <c r="CF183" s="34"/>
      <c r="CG183" s="34"/>
      <c r="CH183" s="34"/>
      <c r="CI183" s="34"/>
      <c r="CJ183" s="34"/>
      <c r="CK183" s="34"/>
      <c r="CL183" s="34"/>
      <c r="CM183" s="34"/>
      <c r="CN183" s="34"/>
      <c r="CO183" s="34"/>
      <c r="CP183" s="34"/>
      <c r="CQ183" s="34"/>
      <c r="CR183" s="34"/>
      <c r="CS183" s="34"/>
      <c r="CT183" s="34"/>
      <c r="CU183" s="34"/>
      <c r="CV183" s="34"/>
      <c r="CW183" s="34"/>
      <c r="CX183" s="34"/>
      <c r="CY183" s="34"/>
      <c r="CZ183" s="34"/>
      <c r="DA183" s="34"/>
      <c r="DB183" s="34"/>
      <c r="DC183" s="34"/>
      <c r="DD183" s="34"/>
      <c r="DE183" s="34"/>
      <c r="DF183" s="34"/>
      <c r="DG183" s="34"/>
      <c r="DH183" s="34"/>
      <c r="DI183" s="34"/>
      <c r="DJ183" s="34"/>
      <c r="DK183" s="34"/>
      <c r="DL183" s="34"/>
      <c r="DM183" s="34"/>
      <c r="DN183" s="34"/>
      <c r="DO183" s="34"/>
      <c r="DP183" s="34"/>
      <c r="DQ183" s="34"/>
      <c r="DR183" s="34"/>
      <c r="DS183" s="34"/>
      <c r="DT183" s="34"/>
      <c r="DU183" s="34"/>
      <c r="DV183" s="34"/>
      <c r="DW183" s="34"/>
      <c r="DX183" s="34"/>
      <c r="DY183" s="34"/>
      <c r="DZ183" s="34"/>
      <c r="EA183" s="34"/>
      <c r="EB183" s="34"/>
      <c r="EC183" s="34"/>
      <c r="ED183" s="34"/>
      <c r="EE183" s="34"/>
    </row>
    <row r="184" spans="1:135" x14ac:dyDescent="0.4">
      <c r="A184" s="29" t="str">
        <f t="shared" si="135"/>
        <v/>
      </c>
      <c r="B184" s="34"/>
      <c r="C184" s="48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4"/>
      <c r="AJ184" s="34"/>
      <c r="AK184" s="34"/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  <c r="CF184" s="34"/>
      <c r="CG184" s="34"/>
      <c r="CH184" s="34"/>
      <c r="CI184" s="34"/>
      <c r="CJ184" s="34"/>
      <c r="CK184" s="34"/>
      <c r="CL184" s="34"/>
      <c r="CM184" s="34"/>
      <c r="CN184" s="34"/>
      <c r="CO184" s="34"/>
      <c r="CP184" s="34"/>
      <c r="CQ184" s="34"/>
      <c r="CR184" s="34"/>
      <c r="CS184" s="34"/>
      <c r="CT184" s="34"/>
      <c r="CU184" s="34"/>
      <c r="CV184" s="34"/>
      <c r="CW184" s="34"/>
      <c r="CX184" s="34"/>
      <c r="CY184" s="34"/>
      <c r="CZ184" s="34"/>
      <c r="DA184" s="34"/>
      <c r="DB184" s="34"/>
      <c r="DC184" s="34"/>
      <c r="DD184" s="34"/>
      <c r="DE184" s="34"/>
      <c r="DF184" s="34"/>
      <c r="DG184" s="34"/>
      <c r="DH184" s="34"/>
      <c r="DI184" s="34"/>
      <c r="DJ184" s="34"/>
      <c r="DK184" s="34"/>
      <c r="DL184" s="34"/>
      <c r="DM184" s="34"/>
      <c r="DN184" s="34"/>
      <c r="DO184" s="34"/>
      <c r="DP184" s="34"/>
      <c r="DQ184" s="34"/>
      <c r="DR184" s="34"/>
      <c r="DS184" s="34"/>
      <c r="DT184" s="34"/>
      <c r="DU184" s="34"/>
      <c r="DV184" s="34"/>
      <c r="DW184" s="34"/>
      <c r="DX184" s="34"/>
      <c r="DY184" s="34"/>
      <c r="DZ184" s="34"/>
      <c r="EA184" s="34"/>
      <c r="EB184" s="34"/>
      <c r="EC184" s="34"/>
      <c r="ED184" s="34"/>
      <c r="EE184" s="34"/>
    </row>
    <row r="185" spans="1:135" x14ac:dyDescent="0.4">
      <c r="A185" s="29" t="str">
        <f t="shared" si="135"/>
        <v/>
      </c>
      <c r="B185" s="34"/>
      <c r="C185" s="48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4"/>
      <c r="AJ185" s="34"/>
      <c r="AK185" s="34"/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  <c r="CF185" s="34"/>
      <c r="CG185" s="34"/>
      <c r="CH185" s="34"/>
      <c r="CI185" s="34"/>
      <c r="CJ185" s="34"/>
      <c r="CK185" s="34"/>
      <c r="CL185" s="34"/>
      <c r="CM185" s="34"/>
      <c r="CN185" s="34"/>
      <c r="CO185" s="34"/>
      <c r="CP185" s="34"/>
      <c r="CQ185" s="34"/>
      <c r="CR185" s="34"/>
      <c r="CS185" s="34"/>
      <c r="CT185" s="34"/>
      <c r="CU185" s="34"/>
      <c r="CV185" s="34"/>
      <c r="CW185" s="34"/>
      <c r="CX185" s="34"/>
      <c r="CY185" s="34"/>
      <c r="CZ185" s="34"/>
      <c r="DA185" s="34"/>
      <c r="DB185" s="34"/>
      <c r="DC185" s="34"/>
      <c r="DD185" s="34"/>
      <c r="DE185" s="34"/>
      <c r="DF185" s="34"/>
      <c r="DG185" s="34"/>
      <c r="DH185" s="34"/>
      <c r="DI185" s="34"/>
      <c r="DJ185" s="34"/>
      <c r="DK185" s="34"/>
      <c r="DL185" s="34"/>
      <c r="DM185" s="34"/>
      <c r="DN185" s="34"/>
      <c r="DO185" s="34"/>
      <c r="DP185" s="34"/>
      <c r="DQ185" s="34"/>
      <c r="DR185" s="34"/>
      <c r="DS185" s="34"/>
      <c r="DT185" s="34"/>
      <c r="DU185" s="34"/>
      <c r="DV185" s="34"/>
      <c r="DW185" s="34"/>
      <c r="DX185" s="34"/>
      <c r="DY185" s="34"/>
      <c r="DZ185" s="34"/>
      <c r="EA185" s="34"/>
      <c r="EB185" s="34"/>
      <c r="EC185" s="34"/>
      <c r="ED185" s="34"/>
      <c r="EE185" s="34"/>
    </row>
    <row r="186" spans="1:135" x14ac:dyDescent="0.4">
      <c r="A186" s="29" t="str">
        <f t="shared" si="135"/>
        <v/>
      </c>
      <c r="B186" s="34"/>
      <c r="C186" s="48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4"/>
      <c r="AJ186" s="34"/>
      <c r="AK186" s="34"/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  <c r="CF186" s="34"/>
      <c r="CG186" s="34"/>
      <c r="CH186" s="34"/>
      <c r="CI186" s="34"/>
      <c r="CJ186" s="34"/>
      <c r="CK186" s="34"/>
      <c r="CL186" s="34"/>
      <c r="CM186" s="34"/>
      <c r="CN186" s="34"/>
      <c r="CO186" s="34"/>
      <c r="CP186" s="34"/>
      <c r="CQ186" s="34"/>
      <c r="CR186" s="34"/>
      <c r="CS186" s="34"/>
      <c r="CT186" s="34"/>
      <c r="CU186" s="34"/>
      <c r="CV186" s="34"/>
      <c r="CW186" s="34"/>
      <c r="CX186" s="34"/>
      <c r="CY186" s="34"/>
      <c r="CZ186" s="34"/>
      <c r="DA186" s="34"/>
      <c r="DB186" s="34"/>
      <c r="DC186" s="34"/>
      <c r="DD186" s="34"/>
      <c r="DE186" s="34"/>
      <c r="DF186" s="34"/>
      <c r="DG186" s="34"/>
      <c r="DH186" s="34"/>
      <c r="DI186" s="34"/>
      <c r="DJ186" s="34"/>
      <c r="DK186" s="34"/>
      <c r="DL186" s="34"/>
      <c r="DM186" s="34"/>
      <c r="DN186" s="34"/>
      <c r="DO186" s="34"/>
      <c r="DP186" s="34"/>
      <c r="DQ186" s="34"/>
      <c r="DR186" s="34"/>
      <c r="DS186" s="34"/>
      <c r="DT186" s="34"/>
      <c r="DU186" s="34"/>
      <c r="DV186" s="34"/>
      <c r="DW186" s="34"/>
      <c r="DX186" s="34"/>
      <c r="DY186" s="34"/>
      <c r="DZ186" s="34"/>
      <c r="EA186" s="34"/>
      <c r="EB186" s="34"/>
      <c r="EC186" s="34"/>
      <c r="ED186" s="34"/>
      <c r="EE186" s="34"/>
    </row>
    <row r="187" spans="1:135" x14ac:dyDescent="0.4">
      <c r="A187" s="29" t="str">
        <f t="shared" si="135"/>
        <v/>
      </c>
      <c r="B187" s="34"/>
      <c r="C187" s="48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4"/>
      <c r="AJ187" s="34"/>
      <c r="AK187" s="34"/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  <c r="CF187" s="34"/>
      <c r="CG187" s="34"/>
      <c r="CH187" s="34"/>
      <c r="CI187" s="34"/>
      <c r="CJ187" s="34"/>
      <c r="CK187" s="34"/>
      <c r="CL187" s="34"/>
      <c r="CM187" s="34"/>
      <c r="CN187" s="34"/>
      <c r="CO187" s="34"/>
      <c r="CP187" s="34"/>
      <c r="CQ187" s="34"/>
      <c r="CR187" s="34"/>
      <c r="CS187" s="34"/>
      <c r="CT187" s="34"/>
      <c r="CU187" s="34"/>
      <c r="CV187" s="34"/>
      <c r="CW187" s="34"/>
      <c r="CX187" s="34"/>
      <c r="CY187" s="34"/>
      <c r="CZ187" s="34"/>
      <c r="DA187" s="34"/>
      <c r="DB187" s="34"/>
      <c r="DC187" s="34"/>
      <c r="DD187" s="34"/>
      <c r="DE187" s="34"/>
      <c r="DF187" s="34"/>
      <c r="DG187" s="34"/>
      <c r="DH187" s="34"/>
      <c r="DI187" s="34"/>
      <c r="DJ187" s="34"/>
      <c r="DK187" s="34"/>
      <c r="DL187" s="34"/>
      <c r="DM187" s="34"/>
      <c r="DN187" s="34"/>
      <c r="DO187" s="34"/>
      <c r="DP187" s="34"/>
      <c r="DQ187" s="34"/>
      <c r="DR187" s="34"/>
      <c r="DS187" s="34"/>
      <c r="DT187" s="34"/>
      <c r="DU187" s="34"/>
      <c r="DV187" s="34"/>
      <c r="DW187" s="34"/>
      <c r="DX187" s="34"/>
      <c r="DY187" s="34"/>
      <c r="DZ187" s="34"/>
      <c r="EA187" s="34"/>
      <c r="EB187" s="34"/>
      <c r="EC187" s="34"/>
      <c r="ED187" s="34"/>
      <c r="EE187" s="34"/>
    </row>
    <row r="188" spans="1:135" x14ac:dyDescent="0.4">
      <c r="A188" s="29" t="str">
        <f t="shared" si="135"/>
        <v/>
      </c>
      <c r="B188" s="34"/>
      <c r="C188" s="48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4"/>
      <c r="AJ188" s="34"/>
      <c r="AK188" s="34"/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  <c r="CF188" s="34"/>
      <c r="CG188" s="34"/>
      <c r="CH188" s="34"/>
      <c r="CI188" s="34"/>
      <c r="CJ188" s="34"/>
      <c r="CK188" s="34"/>
      <c r="CL188" s="34"/>
      <c r="CM188" s="34"/>
      <c r="CN188" s="34"/>
      <c r="CO188" s="34"/>
      <c r="CP188" s="34"/>
      <c r="CQ188" s="34"/>
      <c r="CR188" s="34"/>
      <c r="CS188" s="34"/>
      <c r="CT188" s="34"/>
      <c r="CU188" s="34"/>
      <c r="CV188" s="34"/>
      <c r="CW188" s="34"/>
      <c r="CX188" s="34"/>
      <c r="CY188" s="34"/>
      <c r="CZ188" s="34"/>
      <c r="DA188" s="34"/>
      <c r="DB188" s="34"/>
      <c r="DC188" s="34"/>
      <c r="DD188" s="34"/>
      <c r="DE188" s="34"/>
      <c r="DF188" s="34"/>
      <c r="DG188" s="34"/>
      <c r="DH188" s="34"/>
      <c r="DI188" s="34"/>
      <c r="DJ188" s="34"/>
      <c r="DK188" s="34"/>
      <c r="DL188" s="34"/>
      <c r="DM188" s="34"/>
      <c r="DN188" s="34"/>
      <c r="DO188" s="34"/>
      <c r="DP188" s="34"/>
      <c r="DQ188" s="34"/>
      <c r="DR188" s="34"/>
      <c r="DS188" s="34"/>
      <c r="DT188" s="34"/>
      <c r="DU188" s="34"/>
      <c r="DV188" s="34"/>
      <c r="DW188" s="34"/>
      <c r="DX188" s="34"/>
      <c r="DY188" s="34"/>
      <c r="DZ188" s="34"/>
      <c r="EA188" s="34"/>
      <c r="EB188" s="34"/>
      <c r="EC188" s="34"/>
      <c r="ED188" s="34"/>
      <c r="EE188" s="34"/>
    </row>
    <row r="189" spans="1:135" x14ac:dyDescent="0.4">
      <c r="A189" s="29" t="str">
        <f t="shared" si="135"/>
        <v/>
      </c>
      <c r="B189" s="34"/>
      <c r="C189" s="48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4"/>
      <c r="AJ189" s="34"/>
      <c r="AK189" s="34"/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  <c r="CF189" s="34"/>
      <c r="CG189" s="34"/>
      <c r="CH189" s="34"/>
      <c r="CI189" s="34"/>
      <c r="CJ189" s="34"/>
      <c r="CK189" s="34"/>
      <c r="CL189" s="34"/>
      <c r="CM189" s="34"/>
      <c r="CN189" s="34"/>
      <c r="CO189" s="34"/>
      <c r="CP189" s="34"/>
      <c r="CQ189" s="34"/>
      <c r="CR189" s="34"/>
      <c r="CS189" s="34"/>
      <c r="CT189" s="34"/>
      <c r="CU189" s="34"/>
      <c r="CV189" s="34"/>
      <c r="CW189" s="34"/>
      <c r="CX189" s="34"/>
      <c r="CY189" s="34"/>
      <c r="CZ189" s="34"/>
      <c r="DA189" s="34"/>
      <c r="DB189" s="34"/>
      <c r="DC189" s="34"/>
      <c r="DD189" s="34"/>
      <c r="DE189" s="34"/>
      <c r="DF189" s="34"/>
      <c r="DG189" s="34"/>
      <c r="DH189" s="34"/>
      <c r="DI189" s="34"/>
      <c r="DJ189" s="34"/>
      <c r="DK189" s="34"/>
      <c r="DL189" s="34"/>
      <c r="DM189" s="34"/>
      <c r="DN189" s="34"/>
      <c r="DO189" s="34"/>
      <c r="DP189" s="34"/>
      <c r="DQ189" s="34"/>
      <c r="DR189" s="34"/>
      <c r="DS189" s="34"/>
      <c r="DT189" s="34"/>
      <c r="DU189" s="34"/>
      <c r="DV189" s="34"/>
      <c r="DW189" s="34"/>
      <c r="DX189" s="34"/>
      <c r="DY189" s="34"/>
      <c r="DZ189" s="34"/>
      <c r="EA189" s="34"/>
      <c r="EB189" s="34"/>
      <c r="EC189" s="34"/>
      <c r="ED189" s="34"/>
      <c r="EE189" s="34"/>
    </row>
    <row r="190" spans="1:135" x14ac:dyDescent="0.4">
      <c r="A190" s="29" t="str">
        <f t="shared" si="135"/>
        <v/>
      </c>
      <c r="B190" s="34"/>
      <c r="C190" s="48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4"/>
      <c r="AJ190" s="34"/>
      <c r="AK190" s="34"/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  <c r="CF190" s="34"/>
      <c r="CG190" s="34"/>
      <c r="CH190" s="34"/>
      <c r="CI190" s="34"/>
      <c r="CJ190" s="34"/>
      <c r="CK190" s="34"/>
      <c r="CL190" s="34"/>
      <c r="CM190" s="34"/>
      <c r="CN190" s="34"/>
      <c r="CO190" s="34"/>
      <c r="CP190" s="34"/>
      <c r="CQ190" s="34"/>
      <c r="CR190" s="34"/>
      <c r="CS190" s="34"/>
      <c r="CT190" s="34"/>
      <c r="CU190" s="34"/>
      <c r="CV190" s="34"/>
      <c r="CW190" s="34"/>
      <c r="CX190" s="34"/>
      <c r="CY190" s="34"/>
      <c r="CZ190" s="34"/>
      <c r="DA190" s="34"/>
      <c r="DB190" s="34"/>
      <c r="DC190" s="34"/>
      <c r="DD190" s="34"/>
      <c r="DE190" s="34"/>
      <c r="DF190" s="34"/>
      <c r="DG190" s="34"/>
      <c r="DH190" s="34"/>
      <c r="DI190" s="34"/>
      <c r="DJ190" s="34"/>
      <c r="DK190" s="34"/>
      <c r="DL190" s="34"/>
      <c r="DM190" s="34"/>
      <c r="DN190" s="34"/>
      <c r="DO190" s="34"/>
      <c r="DP190" s="34"/>
      <c r="DQ190" s="34"/>
      <c r="DR190" s="34"/>
      <c r="DS190" s="34"/>
      <c r="DT190" s="34"/>
      <c r="DU190" s="34"/>
      <c r="DV190" s="34"/>
      <c r="DW190" s="34"/>
      <c r="DX190" s="34"/>
      <c r="DY190" s="34"/>
      <c r="DZ190" s="34"/>
      <c r="EA190" s="34"/>
      <c r="EB190" s="34"/>
      <c r="EC190" s="34"/>
      <c r="ED190" s="34"/>
      <c r="EE190" s="34"/>
    </row>
    <row r="191" spans="1:135" x14ac:dyDescent="0.4">
      <c r="A191" s="29" t="str">
        <f t="shared" si="135"/>
        <v/>
      </c>
      <c r="B191" s="34"/>
      <c r="C191" s="48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4"/>
      <c r="AJ191" s="34"/>
      <c r="AK191" s="34"/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  <c r="CF191" s="34"/>
      <c r="CG191" s="34"/>
      <c r="CH191" s="34"/>
      <c r="CI191" s="34"/>
      <c r="CJ191" s="34"/>
      <c r="CK191" s="34"/>
      <c r="CL191" s="34"/>
      <c r="CM191" s="34"/>
      <c r="CN191" s="34"/>
      <c r="CO191" s="34"/>
      <c r="CP191" s="34"/>
      <c r="CQ191" s="34"/>
      <c r="CR191" s="34"/>
      <c r="CS191" s="34"/>
      <c r="CT191" s="34"/>
      <c r="CU191" s="34"/>
      <c r="CV191" s="34"/>
      <c r="CW191" s="34"/>
      <c r="CX191" s="34"/>
      <c r="CY191" s="34"/>
      <c r="CZ191" s="34"/>
      <c r="DA191" s="34"/>
      <c r="DB191" s="34"/>
      <c r="DC191" s="34"/>
      <c r="DD191" s="34"/>
      <c r="DE191" s="34"/>
      <c r="DF191" s="34"/>
      <c r="DG191" s="34"/>
      <c r="DH191" s="34"/>
      <c r="DI191" s="34"/>
      <c r="DJ191" s="34"/>
      <c r="DK191" s="34"/>
      <c r="DL191" s="34"/>
      <c r="DM191" s="34"/>
      <c r="DN191" s="34"/>
      <c r="DO191" s="34"/>
      <c r="DP191" s="34"/>
      <c r="DQ191" s="34"/>
      <c r="DR191" s="34"/>
      <c r="DS191" s="34"/>
      <c r="DT191" s="34"/>
      <c r="DU191" s="34"/>
      <c r="DV191" s="34"/>
      <c r="DW191" s="34"/>
      <c r="DX191" s="34"/>
      <c r="DY191" s="34"/>
      <c r="DZ191" s="34"/>
      <c r="EA191" s="34"/>
      <c r="EB191" s="34"/>
      <c r="EC191" s="34"/>
      <c r="ED191" s="34"/>
      <c r="EE191" s="34"/>
    </row>
    <row r="192" spans="1:135" x14ac:dyDescent="0.4">
      <c r="A192" s="29" t="str">
        <f t="shared" si="135"/>
        <v/>
      </c>
      <c r="B192" s="34"/>
      <c r="C192" s="48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4"/>
      <c r="AJ192" s="34"/>
      <c r="AK192" s="34"/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  <c r="CF192" s="34"/>
      <c r="CG192" s="34"/>
      <c r="CH192" s="34"/>
      <c r="CI192" s="34"/>
      <c r="CJ192" s="34"/>
      <c r="CK192" s="34"/>
      <c r="CL192" s="34"/>
      <c r="CM192" s="34"/>
      <c r="CN192" s="34"/>
      <c r="CO192" s="34"/>
      <c r="CP192" s="34"/>
      <c r="CQ192" s="34"/>
      <c r="CR192" s="34"/>
      <c r="CS192" s="34"/>
      <c r="CT192" s="34"/>
      <c r="CU192" s="34"/>
      <c r="CV192" s="34"/>
      <c r="CW192" s="34"/>
      <c r="CX192" s="34"/>
      <c r="CY192" s="34"/>
      <c r="CZ192" s="34"/>
      <c r="DA192" s="34"/>
      <c r="DB192" s="34"/>
      <c r="DC192" s="34"/>
      <c r="DD192" s="34"/>
      <c r="DE192" s="34"/>
      <c r="DF192" s="34"/>
      <c r="DG192" s="34"/>
      <c r="DH192" s="34"/>
      <c r="DI192" s="34"/>
      <c r="DJ192" s="34"/>
      <c r="DK192" s="34"/>
      <c r="DL192" s="34"/>
      <c r="DM192" s="34"/>
      <c r="DN192" s="34"/>
      <c r="DO192" s="34"/>
      <c r="DP192" s="34"/>
      <c r="DQ192" s="34"/>
      <c r="DR192" s="34"/>
      <c r="DS192" s="34"/>
      <c r="DT192" s="34"/>
      <c r="DU192" s="34"/>
      <c r="DV192" s="34"/>
      <c r="DW192" s="34"/>
      <c r="DX192" s="34"/>
      <c r="DY192" s="34"/>
      <c r="DZ192" s="34"/>
      <c r="EA192" s="34"/>
      <c r="EB192" s="34"/>
      <c r="EC192" s="34"/>
      <c r="ED192" s="34"/>
      <c r="EE192" s="34"/>
    </row>
    <row r="193" spans="1:135" x14ac:dyDescent="0.4">
      <c r="A193" s="29" t="str">
        <f t="shared" si="135"/>
        <v/>
      </c>
      <c r="B193" s="34"/>
      <c r="C193" s="48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4"/>
      <c r="AJ193" s="34"/>
      <c r="AK193" s="34"/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  <c r="CF193" s="34"/>
      <c r="CG193" s="34"/>
      <c r="CH193" s="34"/>
      <c r="CI193" s="34"/>
      <c r="CJ193" s="34"/>
      <c r="CK193" s="34"/>
      <c r="CL193" s="34"/>
      <c r="CM193" s="34"/>
      <c r="CN193" s="34"/>
      <c r="CO193" s="34"/>
      <c r="CP193" s="34"/>
      <c r="CQ193" s="34"/>
      <c r="CR193" s="34"/>
      <c r="CS193" s="34"/>
      <c r="CT193" s="34"/>
      <c r="CU193" s="34"/>
      <c r="CV193" s="34"/>
      <c r="CW193" s="34"/>
      <c r="CX193" s="34"/>
      <c r="CY193" s="34"/>
      <c r="CZ193" s="34"/>
      <c r="DA193" s="34"/>
      <c r="DB193" s="34"/>
      <c r="DC193" s="34"/>
      <c r="DD193" s="34"/>
      <c r="DE193" s="34"/>
      <c r="DF193" s="34"/>
      <c r="DG193" s="34"/>
      <c r="DH193" s="34"/>
      <c r="DI193" s="34"/>
      <c r="DJ193" s="34"/>
      <c r="DK193" s="34"/>
      <c r="DL193" s="34"/>
      <c r="DM193" s="34"/>
      <c r="DN193" s="34"/>
      <c r="DO193" s="34"/>
      <c r="DP193" s="34"/>
      <c r="DQ193" s="34"/>
      <c r="DR193" s="34"/>
      <c r="DS193" s="34"/>
      <c r="DT193" s="34"/>
      <c r="DU193" s="34"/>
      <c r="DV193" s="34"/>
      <c r="DW193" s="34"/>
      <c r="DX193" s="34"/>
      <c r="DY193" s="34"/>
      <c r="DZ193" s="34"/>
      <c r="EA193" s="34"/>
      <c r="EB193" s="34"/>
      <c r="EC193" s="34"/>
      <c r="ED193" s="34"/>
      <c r="EE193" s="34"/>
    </row>
    <row r="194" spans="1:135" x14ac:dyDescent="0.4">
      <c r="A194" s="29" t="str">
        <f t="shared" si="135"/>
        <v/>
      </c>
      <c r="B194" s="34"/>
      <c r="C194" s="48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  <c r="CF194" s="34"/>
      <c r="CG194" s="34"/>
      <c r="CH194" s="34"/>
      <c r="CI194" s="34"/>
      <c r="CJ194" s="34"/>
      <c r="CK194" s="34"/>
      <c r="CL194" s="34"/>
      <c r="CM194" s="34"/>
      <c r="CN194" s="34"/>
      <c r="CO194" s="34"/>
      <c r="CP194" s="34"/>
      <c r="CQ194" s="34"/>
      <c r="CR194" s="34"/>
      <c r="CS194" s="34"/>
      <c r="CT194" s="34"/>
      <c r="CU194" s="34"/>
      <c r="CV194" s="34"/>
      <c r="CW194" s="34"/>
      <c r="CX194" s="34"/>
      <c r="CY194" s="34"/>
      <c r="CZ194" s="34"/>
      <c r="DA194" s="34"/>
      <c r="DB194" s="34"/>
      <c r="DC194" s="34"/>
      <c r="DD194" s="34"/>
      <c r="DE194" s="34"/>
      <c r="DF194" s="34"/>
      <c r="DG194" s="34"/>
      <c r="DH194" s="34"/>
      <c r="DI194" s="34"/>
      <c r="DJ194" s="34"/>
      <c r="DK194" s="34"/>
      <c r="DL194" s="34"/>
      <c r="DM194" s="34"/>
      <c r="DN194" s="34"/>
      <c r="DO194" s="34"/>
      <c r="DP194" s="34"/>
      <c r="DQ194" s="34"/>
      <c r="DR194" s="34"/>
      <c r="DS194" s="34"/>
      <c r="DT194" s="34"/>
      <c r="DU194" s="34"/>
      <c r="DV194" s="34"/>
      <c r="DW194" s="34"/>
      <c r="DX194" s="34"/>
      <c r="DY194" s="34"/>
      <c r="DZ194" s="34"/>
      <c r="EA194" s="34"/>
      <c r="EB194" s="34"/>
      <c r="EC194" s="34"/>
      <c r="ED194" s="34"/>
      <c r="EE194" s="34"/>
    </row>
    <row r="195" spans="1:135" x14ac:dyDescent="0.4">
      <c r="A195" s="29" t="str">
        <f t="shared" si="135"/>
        <v/>
      </c>
      <c r="B195" s="34"/>
      <c r="C195" s="48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  <c r="CF195" s="34"/>
      <c r="CG195" s="34"/>
      <c r="CH195" s="34"/>
      <c r="CI195" s="34"/>
      <c r="CJ195" s="34"/>
      <c r="CK195" s="34"/>
      <c r="CL195" s="34"/>
      <c r="CM195" s="34"/>
      <c r="CN195" s="34"/>
      <c r="CO195" s="34"/>
      <c r="CP195" s="34"/>
      <c r="CQ195" s="34"/>
      <c r="CR195" s="34"/>
      <c r="CS195" s="34"/>
      <c r="CT195" s="34"/>
      <c r="CU195" s="34"/>
      <c r="CV195" s="34"/>
      <c r="CW195" s="34"/>
      <c r="CX195" s="34"/>
      <c r="CY195" s="34"/>
      <c r="CZ195" s="34"/>
      <c r="DA195" s="34"/>
      <c r="DB195" s="34"/>
      <c r="DC195" s="34"/>
      <c r="DD195" s="34"/>
      <c r="DE195" s="34"/>
      <c r="DF195" s="34"/>
      <c r="DG195" s="34"/>
      <c r="DH195" s="34"/>
      <c r="DI195" s="34"/>
      <c r="DJ195" s="34"/>
      <c r="DK195" s="34"/>
      <c r="DL195" s="34"/>
      <c r="DM195" s="34"/>
      <c r="DN195" s="34"/>
      <c r="DO195" s="34"/>
      <c r="DP195" s="34"/>
      <c r="DQ195" s="34"/>
      <c r="DR195" s="34"/>
      <c r="DS195" s="34"/>
      <c r="DT195" s="34"/>
      <c r="DU195" s="34"/>
      <c r="DV195" s="34"/>
      <c r="DW195" s="34"/>
      <c r="DX195" s="34"/>
      <c r="DY195" s="34"/>
      <c r="DZ195" s="34"/>
      <c r="EA195" s="34"/>
      <c r="EB195" s="34"/>
      <c r="EC195" s="34"/>
      <c r="ED195" s="34"/>
      <c r="EE195" s="34"/>
    </row>
    <row r="196" spans="1:135" x14ac:dyDescent="0.4">
      <c r="A196" s="29" t="str">
        <f t="shared" si="135"/>
        <v/>
      </c>
      <c r="B196" s="34"/>
      <c r="C196" s="48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  <c r="CF196" s="34"/>
      <c r="CG196" s="34"/>
      <c r="CH196" s="34"/>
      <c r="CI196" s="34"/>
      <c r="CJ196" s="34"/>
      <c r="CK196" s="34"/>
      <c r="CL196" s="34"/>
      <c r="CM196" s="34"/>
      <c r="CN196" s="34"/>
      <c r="CO196" s="34"/>
      <c r="CP196" s="34"/>
      <c r="CQ196" s="34"/>
      <c r="CR196" s="34"/>
      <c r="CS196" s="34"/>
      <c r="CT196" s="34"/>
      <c r="CU196" s="34"/>
      <c r="CV196" s="34"/>
      <c r="CW196" s="34"/>
      <c r="CX196" s="34"/>
      <c r="CY196" s="34"/>
      <c r="CZ196" s="34"/>
      <c r="DA196" s="34"/>
      <c r="DB196" s="34"/>
      <c r="DC196" s="34"/>
      <c r="DD196" s="34"/>
      <c r="DE196" s="34"/>
      <c r="DF196" s="34"/>
      <c r="DG196" s="34"/>
      <c r="DH196" s="34"/>
      <c r="DI196" s="34"/>
      <c r="DJ196" s="34"/>
      <c r="DK196" s="34"/>
      <c r="DL196" s="34"/>
      <c r="DM196" s="34"/>
      <c r="DN196" s="34"/>
      <c r="DO196" s="34"/>
      <c r="DP196" s="34"/>
      <c r="DQ196" s="34"/>
      <c r="DR196" s="34"/>
      <c r="DS196" s="34"/>
      <c r="DT196" s="34"/>
      <c r="DU196" s="34"/>
      <c r="DV196" s="34"/>
      <c r="DW196" s="34"/>
      <c r="DX196" s="34"/>
      <c r="DY196" s="34"/>
      <c r="DZ196" s="34"/>
      <c r="EA196" s="34"/>
      <c r="EB196" s="34"/>
      <c r="EC196" s="34"/>
      <c r="ED196" s="34"/>
      <c r="EE196" s="34"/>
    </row>
    <row r="197" spans="1:135" x14ac:dyDescent="0.4">
      <c r="A197" s="29" t="str">
        <f t="shared" si="135"/>
        <v/>
      </c>
      <c r="B197" s="34"/>
      <c r="C197" s="48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  <c r="CF197" s="34"/>
      <c r="CG197" s="34"/>
      <c r="CH197" s="34"/>
      <c r="CI197" s="34"/>
      <c r="CJ197" s="34"/>
      <c r="CK197" s="34"/>
      <c r="CL197" s="34"/>
      <c r="CM197" s="34"/>
      <c r="CN197" s="34"/>
      <c r="CO197" s="34"/>
      <c r="CP197" s="34"/>
      <c r="CQ197" s="34"/>
      <c r="CR197" s="34"/>
      <c r="CS197" s="34"/>
      <c r="CT197" s="34"/>
      <c r="CU197" s="34"/>
      <c r="CV197" s="34"/>
      <c r="CW197" s="34"/>
      <c r="CX197" s="34"/>
      <c r="CY197" s="34"/>
      <c r="CZ197" s="34"/>
      <c r="DA197" s="34"/>
      <c r="DB197" s="34"/>
      <c r="DC197" s="34"/>
      <c r="DD197" s="34"/>
      <c r="DE197" s="34"/>
      <c r="DF197" s="34"/>
      <c r="DG197" s="34"/>
      <c r="DH197" s="34"/>
      <c r="DI197" s="34"/>
      <c r="DJ197" s="34"/>
      <c r="DK197" s="34"/>
      <c r="DL197" s="34"/>
      <c r="DM197" s="34"/>
      <c r="DN197" s="34"/>
      <c r="DO197" s="34"/>
      <c r="DP197" s="34"/>
      <c r="DQ197" s="34"/>
      <c r="DR197" s="34"/>
      <c r="DS197" s="34"/>
      <c r="DT197" s="34"/>
      <c r="DU197" s="34"/>
      <c r="DV197" s="34"/>
      <c r="DW197" s="34"/>
      <c r="DX197" s="34"/>
      <c r="DY197" s="34"/>
      <c r="DZ197" s="34"/>
      <c r="EA197" s="34"/>
      <c r="EB197" s="34"/>
      <c r="EC197" s="34"/>
      <c r="ED197" s="34"/>
      <c r="EE197" s="34"/>
    </row>
    <row r="198" spans="1:135" x14ac:dyDescent="0.4">
      <c r="A198" s="29" t="str">
        <f t="shared" si="135"/>
        <v/>
      </c>
      <c r="B198" s="34"/>
      <c r="C198" s="48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  <c r="CF198" s="34"/>
      <c r="CG198" s="34"/>
      <c r="CH198" s="34"/>
      <c r="CI198" s="34"/>
      <c r="CJ198" s="34"/>
      <c r="CK198" s="34"/>
      <c r="CL198" s="34"/>
      <c r="CM198" s="34"/>
      <c r="CN198" s="34"/>
      <c r="CO198" s="34"/>
      <c r="CP198" s="34"/>
      <c r="CQ198" s="34"/>
      <c r="CR198" s="34"/>
      <c r="CS198" s="34"/>
      <c r="CT198" s="34"/>
      <c r="CU198" s="34"/>
      <c r="CV198" s="34"/>
      <c r="CW198" s="34"/>
      <c r="CX198" s="34"/>
      <c r="CY198" s="34"/>
      <c r="CZ198" s="34"/>
      <c r="DA198" s="34"/>
      <c r="DB198" s="34"/>
      <c r="DC198" s="34"/>
      <c r="DD198" s="34"/>
      <c r="DE198" s="34"/>
      <c r="DF198" s="34"/>
      <c r="DG198" s="34"/>
      <c r="DH198" s="34"/>
      <c r="DI198" s="34"/>
      <c r="DJ198" s="34"/>
      <c r="DK198" s="34"/>
      <c r="DL198" s="34"/>
      <c r="DM198" s="34"/>
      <c r="DN198" s="34"/>
      <c r="DO198" s="34"/>
      <c r="DP198" s="34"/>
      <c r="DQ198" s="34"/>
      <c r="DR198" s="34"/>
      <c r="DS198" s="34"/>
      <c r="DT198" s="34"/>
      <c r="DU198" s="34"/>
      <c r="DV198" s="34"/>
      <c r="DW198" s="34"/>
      <c r="DX198" s="34"/>
      <c r="DY198" s="34"/>
      <c r="DZ198" s="34"/>
      <c r="EA198" s="34"/>
      <c r="EB198" s="34"/>
      <c r="EC198" s="34"/>
      <c r="ED198" s="34"/>
      <c r="EE198" s="34"/>
    </row>
    <row r="199" spans="1:135" x14ac:dyDescent="0.4">
      <c r="A199" s="29" t="str">
        <f t="shared" si="135"/>
        <v/>
      </c>
      <c r="B199" s="34"/>
      <c r="C199" s="48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  <c r="CF199" s="34"/>
      <c r="CG199" s="34"/>
      <c r="CH199" s="34"/>
      <c r="CI199" s="34"/>
      <c r="CJ199" s="34"/>
      <c r="CK199" s="34"/>
      <c r="CL199" s="34"/>
      <c r="CM199" s="34"/>
      <c r="CN199" s="34"/>
      <c r="CO199" s="34"/>
      <c r="CP199" s="34"/>
      <c r="CQ199" s="34"/>
      <c r="CR199" s="34"/>
      <c r="CS199" s="34"/>
      <c r="CT199" s="34"/>
      <c r="CU199" s="34"/>
      <c r="CV199" s="34"/>
      <c r="CW199" s="34"/>
      <c r="CX199" s="34"/>
      <c r="CY199" s="34"/>
      <c r="CZ199" s="34"/>
      <c r="DA199" s="34"/>
      <c r="DB199" s="34"/>
      <c r="DC199" s="34"/>
      <c r="DD199" s="34"/>
      <c r="DE199" s="34"/>
      <c r="DF199" s="34"/>
      <c r="DG199" s="34"/>
      <c r="DH199" s="34"/>
      <c r="DI199" s="34"/>
      <c r="DJ199" s="34"/>
      <c r="DK199" s="34"/>
      <c r="DL199" s="34"/>
      <c r="DM199" s="34"/>
      <c r="DN199" s="34"/>
      <c r="DO199" s="34"/>
      <c r="DP199" s="34"/>
      <c r="DQ199" s="34"/>
      <c r="DR199" s="34"/>
      <c r="DS199" s="34"/>
      <c r="DT199" s="34"/>
      <c r="DU199" s="34"/>
      <c r="DV199" s="34"/>
      <c r="DW199" s="34"/>
      <c r="DX199" s="34"/>
      <c r="DY199" s="34"/>
      <c r="DZ199" s="34"/>
      <c r="EA199" s="34"/>
      <c r="EB199" s="34"/>
      <c r="EC199" s="34"/>
      <c r="ED199" s="34"/>
      <c r="EE199" s="34"/>
    </row>
    <row r="200" spans="1:135" x14ac:dyDescent="0.4">
      <c r="A200" s="29" t="str">
        <f t="shared" si="135"/>
        <v/>
      </c>
      <c r="B200" s="34"/>
      <c r="C200" s="48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  <c r="CF200" s="34"/>
      <c r="CG200" s="34"/>
      <c r="CH200" s="34"/>
      <c r="CI200" s="34"/>
      <c r="CJ200" s="34"/>
      <c r="CK200" s="34"/>
      <c r="CL200" s="34"/>
      <c r="CM200" s="34"/>
      <c r="CN200" s="34"/>
      <c r="CO200" s="34"/>
      <c r="CP200" s="34"/>
      <c r="CQ200" s="34"/>
      <c r="CR200" s="34"/>
      <c r="CS200" s="34"/>
      <c r="CT200" s="34"/>
      <c r="CU200" s="34"/>
      <c r="CV200" s="34"/>
      <c r="CW200" s="34"/>
      <c r="CX200" s="34"/>
      <c r="CY200" s="34"/>
      <c r="CZ200" s="34"/>
      <c r="DA200" s="34"/>
      <c r="DB200" s="34"/>
      <c r="DC200" s="34"/>
      <c r="DD200" s="34"/>
      <c r="DE200" s="34"/>
      <c r="DF200" s="34"/>
      <c r="DG200" s="34"/>
      <c r="DH200" s="34"/>
      <c r="DI200" s="34"/>
      <c r="DJ200" s="34"/>
      <c r="DK200" s="34"/>
      <c r="DL200" s="34"/>
      <c r="DM200" s="34"/>
      <c r="DN200" s="34"/>
      <c r="DO200" s="34"/>
      <c r="DP200" s="34"/>
      <c r="DQ200" s="34"/>
      <c r="DR200" s="34"/>
      <c r="DS200" s="34"/>
      <c r="DT200" s="34"/>
      <c r="DU200" s="34"/>
      <c r="DV200" s="34"/>
      <c r="DW200" s="34"/>
      <c r="DX200" s="34"/>
      <c r="DY200" s="34"/>
      <c r="DZ200" s="34"/>
      <c r="EA200" s="34"/>
      <c r="EB200" s="34"/>
      <c r="EC200" s="34"/>
      <c r="ED200" s="34"/>
      <c r="EE200" s="34"/>
    </row>
    <row r="201" spans="1:135" ht="6.75" customHeight="1" x14ac:dyDescent="0.4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  <c r="BJ201" s="6"/>
      <c r="BK201" s="6"/>
      <c r="BL201" s="6"/>
      <c r="BM201" s="6"/>
      <c r="BN201" s="6"/>
      <c r="BO201" s="6"/>
      <c r="BP201" s="6"/>
      <c r="BQ201" s="6"/>
      <c r="BR201" s="6"/>
      <c r="BS201" s="6"/>
      <c r="BT201" s="6"/>
      <c r="BU201" s="6"/>
      <c r="BV201" s="6"/>
      <c r="BW201" s="6"/>
      <c r="BX201" s="6"/>
      <c r="BY201" s="6"/>
      <c r="BZ201" s="6"/>
      <c r="CA201" s="6"/>
      <c r="CB201" s="6"/>
      <c r="CC201" s="6"/>
      <c r="CD201" s="6"/>
      <c r="CE201" s="6"/>
      <c r="CF201" s="6"/>
      <c r="CG201" s="6"/>
      <c r="CH201" s="6"/>
      <c r="CI201" s="6"/>
      <c r="CJ201" s="6"/>
      <c r="CK201" s="6"/>
      <c r="CL201" s="6"/>
      <c r="CM201" s="6"/>
      <c r="CN201" s="6"/>
      <c r="CO201" s="6"/>
      <c r="CP201" s="6"/>
      <c r="CQ201" s="6"/>
      <c r="CR201" s="6"/>
      <c r="CS201" s="6"/>
      <c r="CT201" s="6"/>
      <c r="CU201" s="6"/>
      <c r="CV201" s="6"/>
      <c r="CW201" s="6"/>
      <c r="CX201" s="6"/>
      <c r="CY201" s="6"/>
      <c r="CZ201" s="6"/>
      <c r="DA201" s="6"/>
      <c r="DB201" s="6"/>
      <c r="DC201" s="6"/>
      <c r="DD201" s="6"/>
      <c r="DE201" s="6"/>
      <c r="DF201" s="6"/>
      <c r="DG201" s="6"/>
      <c r="DH201" s="6"/>
      <c r="DI201" s="6"/>
      <c r="DJ201" s="6"/>
      <c r="DK201" s="6"/>
      <c r="DL201" s="6"/>
      <c r="DM201" s="6"/>
      <c r="DN201" s="6"/>
      <c r="DO201" s="6"/>
      <c r="DP201" s="6"/>
      <c r="DQ201" s="6"/>
      <c r="DR201" s="6"/>
      <c r="DS201" s="6"/>
      <c r="DT201" s="6"/>
      <c r="DU201" s="6"/>
      <c r="DV201" s="6"/>
      <c r="DW201" s="6"/>
      <c r="DX201" s="6"/>
      <c r="DY201" s="6"/>
      <c r="DZ201" s="6"/>
      <c r="EA201" s="6"/>
      <c r="EB201" s="6"/>
      <c r="EC201" s="6"/>
      <c r="ED201" s="6"/>
      <c r="EE201" s="6"/>
    </row>
    <row r="202" spans="1:135" ht="14.6" customHeight="1" x14ac:dyDescent="0.4">
      <c r="B202" s="51" t="s">
        <v>53</v>
      </c>
      <c r="C202" s="51"/>
      <c r="D202" s="51"/>
      <c r="E202" s="51"/>
      <c r="F202" s="51"/>
      <c r="G202" s="51"/>
    </row>
    <row r="203" spans="1:135" x14ac:dyDescent="0.4">
      <c r="B203" s="51"/>
      <c r="C203" s="51"/>
      <c r="D203" s="51"/>
      <c r="E203" s="51"/>
      <c r="F203" s="51"/>
      <c r="G203" s="51"/>
    </row>
  </sheetData>
  <sheetProtection algorithmName="SHA-512" hashValue="zJvhs/VXK5lAiMXeq7tAGQmHKTJEYlfxvPwUVKW1aNWp9yUPPYVPN9hkSz8jBXHRypOlkjCehnNFKkSIMDRJ/g==" saltValue="lMqYzVoJGcEckgXwFAeRcg==" spinCount="100000" sheet="1" selectLockedCells="1"/>
  <mergeCells count="2">
    <mergeCell ref="H4:M4"/>
    <mergeCell ref="B202:G203"/>
  </mergeCells>
  <conditionalFormatting sqref="B202">
    <cfRule type="notContainsBlanks" dxfId="9" priority="1">
      <formula>LEN(TRIM(B202))&gt;0</formula>
    </cfRule>
  </conditionalFormatting>
  <conditionalFormatting sqref="C8:C200">
    <cfRule type="expression" priority="13">
      <formula>$C$2="Blank"</formula>
    </cfRule>
    <cfRule type="expression" dxfId="8" priority="14">
      <formula>$C$2="Summer"</formula>
    </cfRule>
    <cfRule type="expression" dxfId="7" priority="15">
      <formula>$C$2="Winter"</formula>
    </cfRule>
    <cfRule type="expression" dxfId="6" priority="16">
      <formula>$C$2="Autumn"</formula>
    </cfRule>
    <cfRule type="expression" dxfId="5" priority="17">
      <formula>$C$2="Spring"</formula>
    </cfRule>
  </conditionalFormatting>
  <conditionalFormatting sqref="C7:EE7">
    <cfRule type="expression" dxfId="4" priority="33" stopIfTrue="1">
      <formula>$C$2="Winter"</formula>
    </cfRule>
    <cfRule type="expression" dxfId="3" priority="34" stopIfTrue="1">
      <formula>$C$2="Autumn"</formula>
    </cfRule>
    <cfRule type="expression" dxfId="2" priority="35" stopIfTrue="1">
      <formula>$C$2="Summer"</formula>
    </cfRule>
    <cfRule type="expression" dxfId="1" priority="36" stopIfTrue="1">
      <formula>$C$2="Spring"</formula>
    </cfRule>
    <cfRule type="expression" priority="37" stopIfTrue="1">
      <formula>$C$2="Blank"</formula>
    </cfRule>
  </conditionalFormatting>
  <conditionalFormatting sqref="H4">
    <cfRule type="notContainsBlanks" dxfId="0" priority="2">
      <formula>LEN(TRIM(H4))&gt;0</formula>
    </cfRule>
  </conditionalFormatting>
  <pageMargins left="0.70866141732283472" right="0.70866141732283472" top="0.74803149606299213" bottom="0.74803149606299213" header="0.31496062992125984" footer="0.31496062992125984"/>
  <pageSetup paperSize="8" scale="13" orientation="landscape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AD393-7A2C-4774-89F1-E1920EC75AEB}">
  <sheetPr>
    <tabColor rgb="FFCCFF99"/>
    <pageSetUpPr fitToPage="1"/>
  </sheetPr>
  <dimension ref="B3:B5"/>
  <sheetViews>
    <sheetView workbookViewId="0"/>
  </sheetViews>
  <sheetFormatPr defaultRowHeight="14.6" x14ac:dyDescent="0.4"/>
  <sheetData>
    <row r="3" spans="2:2" x14ac:dyDescent="0.4">
      <c r="B3" t="s">
        <v>66</v>
      </c>
    </row>
    <row r="5" spans="2:2" x14ac:dyDescent="0.4">
      <c r="B5" s="33" t="s">
        <v>67</v>
      </c>
    </row>
  </sheetData>
  <sheetProtection algorithmName="SHA-512" hashValue="hzRk2/jEVz4KO4av5gH/rf6ZmRnHBnhsQqqTZhIvqJULUUnyDvs3hyZOlnVIxZqWWS1mYZuEgUj46oR0s4nINg==" saltValue="LqafbIxonyi+XizmzgBudg==" spinCount="100000" sheet="1" selectLockedCells="1" selectUnlockedCells="1"/>
  <hyperlinks>
    <hyperlink ref="B5" r:id="rId1" xr:uid="{84E4AC3A-9A5E-452E-B5DA-77B29B1CD303}"/>
  </hyperlinks>
  <pageMargins left="0.70866141732283472" right="0.70866141732283472" top="0.74803149606299213" bottom="0.74803149606299213" header="0.31496062992125984" footer="0.31496062992125984"/>
  <pageSetup paperSize="8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Set-up</vt:lpstr>
      <vt:lpstr>Lists</vt:lpstr>
      <vt:lpstr>Dashboard</vt:lpstr>
      <vt:lpstr>Raw</vt:lpstr>
      <vt:lpstr>Contact</vt:lpstr>
      <vt:lpstr>Colours</vt:lpstr>
      <vt:lpstr>Contact!Print_Area</vt:lpstr>
      <vt:lpstr>Dashboard!Print_Area</vt:lpstr>
      <vt:lpstr>Lists!Print_Area</vt:lpstr>
      <vt:lpstr>Raw!Print_Area</vt:lpstr>
      <vt:lpstr>'Set-up'!Print_Area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Veera S</dc:creator>
  <cp:lastModifiedBy>Veera S</cp:lastModifiedBy>
  <cp:lastPrinted>2025-10-29T12:59:41Z</cp:lastPrinted>
  <dcterms:created xsi:type="dcterms:W3CDTF">2025-10-27T12:55:33Z</dcterms:created>
  <dcterms:modified xsi:type="dcterms:W3CDTF">2025-10-29T13:15:15Z</dcterms:modified>
</cp:coreProperties>
</file>