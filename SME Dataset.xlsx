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STAJA\Documents\Portfolio\"/>
    </mc:Choice>
  </mc:AlternateContent>
  <xr:revisionPtr revIDLastSave="0" documentId="13_ncr:1_{48E7F501-F8E9-4976-B5A7-F91C72022F21}" xr6:coauthVersionLast="47" xr6:coauthVersionMax="47" xr10:uidLastSave="{00000000-0000-0000-0000-000000000000}"/>
  <bookViews>
    <workbookView xWindow="-103" yWindow="-103" windowWidth="16663" windowHeight="9463" xr2:uid="{B67F4F44-D51B-43B3-8F48-E7518AE98DE5}"/>
  </bookViews>
  <sheets>
    <sheet name="Set-up" sheetId="1" r:id="rId1"/>
    <sheet name="Lists" sheetId="2" r:id="rId2"/>
    <sheet name="Dashboard" sheetId="3" r:id="rId3"/>
    <sheet name="Raw" sheetId="4" r:id="rId4"/>
    <sheet name="Contact" sheetId="5" r:id="rId5"/>
  </sheets>
  <definedNames>
    <definedName name="_xlnm._FilterDatabase" localSheetId="2" hidden="1">Dashboard!$B$7:$B$8</definedName>
    <definedName name="Colours" comment="This is where you will see the selected colour scheme. ">'Set-up'!$D$2:$G$2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E12" i="4" l="1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D13" i="4"/>
  <c r="B70" i="3"/>
  <c r="B50" i="3"/>
  <c r="B30" i="3"/>
  <c r="B10" i="3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8" i="4"/>
  <c r="D7" i="2"/>
  <c r="E11" i="2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D10" i="4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AX8" i="4" s="1"/>
  <c r="AY8" i="4" s="1"/>
  <c r="AZ8" i="4" s="1"/>
  <c r="BA8" i="4" s="1"/>
  <c r="BB8" i="4" s="1"/>
  <c r="BC8" i="4" s="1"/>
  <c r="BD8" i="4" s="1"/>
  <c r="BE8" i="4" s="1"/>
  <c r="BF8" i="4" s="1"/>
  <c r="BG8" i="4" s="1"/>
  <c r="BH8" i="4" s="1"/>
  <c r="BI8" i="4" s="1"/>
  <c r="BJ8" i="4" s="1"/>
  <c r="BK8" i="4" s="1"/>
  <c r="BL8" i="4" s="1"/>
  <c r="BM8" i="4" s="1"/>
  <c r="BN8" i="4" s="1"/>
  <c r="BO8" i="4" s="1"/>
  <c r="BP8" i="4" s="1"/>
  <c r="BQ8" i="4" s="1"/>
  <c r="BR8" i="4" s="1"/>
  <c r="BS8" i="4" s="1"/>
  <c r="BT8" i="4" s="1"/>
  <c r="BU8" i="4" s="1"/>
  <c r="BV8" i="4" s="1"/>
  <c r="BW8" i="4" s="1"/>
  <c r="BX8" i="4" s="1"/>
  <c r="BY8" i="4" s="1"/>
  <c r="BZ8" i="4" s="1"/>
  <c r="CA8" i="4" s="1"/>
  <c r="CB8" i="4" s="1"/>
  <c r="CC8" i="4" s="1"/>
  <c r="CD8" i="4" s="1"/>
  <c r="CE8" i="4" s="1"/>
  <c r="CF8" i="4" s="1"/>
  <c r="CG8" i="4" s="1"/>
  <c r="CH8" i="4" s="1"/>
  <c r="CI8" i="4" s="1"/>
  <c r="CJ8" i="4" s="1"/>
  <c r="CK8" i="4" s="1"/>
  <c r="CL8" i="4" s="1"/>
  <c r="CM8" i="4" s="1"/>
  <c r="CN8" i="4" s="1"/>
  <c r="CO8" i="4" s="1"/>
  <c r="CP8" i="4" s="1"/>
  <c r="CQ8" i="4" s="1"/>
  <c r="CR8" i="4" s="1"/>
  <c r="CS8" i="4" s="1"/>
  <c r="CT8" i="4" s="1"/>
  <c r="CU8" i="4" s="1"/>
  <c r="CV8" i="4" s="1"/>
  <c r="CW8" i="4" s="1"/>
  <c r="CX8" i="4" s="1"/>
  <c r="CY8" i="4" s="1"/>
  <c r="CZ8" i="4" s="1"/>
  <c r="DA8" i="4" s="1"/>
  <c r="DB8" i="4" s="1"/>
  <c r="DC8" i="4" s="1"/>
  <c r="DD8" i="4" s="1"/>
  <c r="DE8" i="4" s="1"/>
  <c r="DF8" i="4" s="1"/>
  <c r="DG8" i="4" s="1"/>
  <c r="DH8" i="4" s="1"/>
  <c r="DI8" i="4" s="1"/>
  <c r="DJ8" i="4" s="1"/>
  <c r="DK8" i="4" s="1"/>
  <c r="DL8" i="4" s="1"/>
  <c r="DM8" i="4" s="1"/>
  <c r="DN8" i="4" s="1"/>
  <c r="DO8" i="4" s="1"/>
  <c r="DP8" i="4" s="1"/>
  <c r="DQ8" i="4" s="1"/>
  <c r="DR8" i="4" s="1"/>
  <c r="DS8" i="4" s="1"/>
  <c r="DT8" i="4" s="1"/>
  <c r="DU8" i="4" s="1"/>
  <c r="DV8" i="4" s="1"/>
  <c r="DW8" i="4" s="1"/>
  <c r="DX8" i="4" s="1"/>
  <c r="DY8" i="4" s="1"/>
  <c r="DZ8" i="4" s="1"/>
  <c r="EA8" i="4" s="1"/>
  <c r="EB8" i="4" s="1"/>
  <c r="EC8" i="4" s="1"/>
  <c r="ED8" i="4" s="1"/>
  <c r="EE8" i="4" s="1"/>
  <c r="EE9" i="4" s="1"/>
  <c r="EA9" i="4" l="1"/>
  <c r="F11" i="2"/>
  <c r="F26" i="2"/>
  <c r="F22" i="2"/>
  <c r="F18" i="2"/>
  <c r="F14" i="2"/>
  <c r="F23" i="2"/>
  <c r="F15" i="2"/>
  <c r="F13" i="2"/>
  <c r="F19" i="2"/>
  <c r="F25" i="2"/>
  <c r="F21" i="2"/>
  <c r="F17" i="2"/>
  <c r="F24" i="2"/>
  <c r="F20" i="2"/>
  <c r="F16" i="2"/>
  <c r="F12" i="2"/>
  <c r="EB9" i="4"/>
  <c r="DX9" i="4"/>
  <c r="DT9" i="4"/>
  <c r="DP9" i="4"/>
  <c r="DL9" i="4"/>
  <c r="DH9" i="4"/>
  <c r="DD9" i="4"/>
  <c r="CZ9" i="4"/>
  <c r="CV9" i="4"/>
  <c r="CR9" i="4"/>
  <c r="CN9" i="4"/>
  <c r="CJ9" i="4"/>
  <c r="CF9" i="4"/>
  <c r="CB9" i="4"/>
  <c r="BX9" i="4"/>
  <c r="BT9" i="4"/>
  <c r="BP9" i="4"/>
  <c r="BL9" i="4"/>
  <c r="BH9" i="4"/>
  <c r="BD9" i="4"/>
  <c r="AZ9" i="4"/>
  <c r="AV9" i="4"/>
  <c r="AR9" i="4"/>
  <c r="AN9" i="4"/>
  <c r="AJ9" i="4"/>
  <c r="AF9" i="4"/>
  <c r="AB9" i="4"/>
  <c r="X9" i="4"/>
  <c r="T9" i="4"/>
  <c r="P9" i="4"/>
  <c r="L9" i="4"/>
  <c r="H9" i="4"/>
  <c r="DY9" i="4"/>
  <c r="DQ9" i="4"/>
  <c r="DM9" i="4"/>
  <c r="DE9" i="4"/>
  <c r="CW9" i="4"/>
  <c r="CO9" i="4"/>
  <c r="CG9" i="4"/>
  <c r="BY9" i="4"/>
  <c r="BQ9" i="4"/>
  <c r="BI9" i="4"/>
  <c r="BA9" i="4"/>
  <c r="AS9" i="4"/>
  <c r="AG9" i="4"/>
  <c r="G9" i="4"/>
  <c r="EC9" i="4"/>
  <c r="DU9" i="4"/>
  <c r="DI9" i="4"/>
  <c r="DA9" i="4"/>
  <c r="CS9" i="4"/>
  <c r="CK9" i="4"/>
  <c r="CC9" i="4"/>
  <c r="BU9" i="4"/>
  <c r="BM9" i="4"/>
  <c r="BE9" i="4"/>
  <c r="AW9" i="4"/>
  <c r="AO9" i="4"/>
  <c r="AK9" i="4"/>
  <c r="AC9" i="4"/>
  <c r="Y9" i="4"/>
  <c r="U9" i="4"/>
  <c r="Q9" i="4"/>
  <c r="M9" i="4"/>
  <c r="I9" i="4"/>
  <c r="DW9" i="4"/>
  <c r="DS9" i="4"/>
  <c r="DO9" i="4"/>
  <c r="DK9" i="4"/>
  <c r="DG9" i="4"/>
  <c r="DC9" i="4"/>
  <c r="CY9" i="4"/>
  <c r="CU9" i="4"/>
  <c r="CQ9" i="4"/>
  <c r="CM9" i="4"/>
  <c r="CI9" i="4"/>
  <c r="CE9" i="4"/>
  <c r="CA9" i="4"/>
  <c r="BW9" i="4"/>
  <c r="BS9" i="4"/>
  <c r="BO9" i="4"/>
  <c r="BK9" i="4"/>
  <c r="BG9" i="4"/>
  <c r="BC9" i="4"/>
  <c r="AY9" i="4"/>
  <c r="AU9" i="4"/>
  <c r="AQ9" i="4"/>
  <c r="AM9" i="4"/>
  <c r="AI9" i="4"/>
  <c r="AE9" i="4"/>
  <c r="AA9" i="4"/>
  <c r="W9" i="4"/>
  <c r="S9" i="4"/>
  <c r="O9" i="4"/>
  <c r="K9" i="4"/>
  <c r="ED9" i="4"/>
  <c r="DZ9" i="4"/>
  <c r="DV9" i="4"/>
  <c r="DR9" i="4"/>
  <c r="DN9" i="4"/>
  <c r="DJ9" i="4"/>
  <c r="DF9" i="4"/>
  <c r="DB9" i="4"/>
  <c r="CX9" i="4"/>
  <c r="CT9" i="4"/>
  <c r="CP9" i="4"/>
  <c r="CL9" i="4"/>
  <c r="CH9" i="4"/>
  <c r="CD9" i="4"/>
  <c r="BZ9" i="4"/>
  <c r="BV9" i="4"/>
  <c r="BR9" i="4"/>
  <c r="BN9" i="4"/>
  <c r="BJ9" i="4"/>
  <c r="BF9" i="4"/>
  <c r="BB9" i="4"/>
  <c r="AX9" i="4"/>
  <c r="AT9" i="4"/>
  <c r="AP9" i="4"/>
  <c r="AL9" i="4"/>
  <c r="AH9" i="4"/>
  <c r="AD9" i="4"/>
  <c r="Z9" i="4"/>
  <c r="V9" i="4"/>
  <c r="R9" i="4"/>
  <c r="N9" i="4"/>
  <c r="J9" i="4"/>
  <c r="F9" i="4"/>
  <c r="E9" i="4"/>
  <c r="D9" i="4"/>
  <c r="E6" i="4"/>
  <c r="C6" i="4"/>
  <c r="C2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D39" i="4" a="1"/>
  <c r="D39" i="4" s="1"/>
  <c r="E39" i="4" a="1"/>
  <c r="E39" i="4" s="1"/>
  <c r="F39" i="4" a="1"/>
  <c r="F39" i="4" s="1"/>
  <c r="G39" i="4" a="1"/>
  <c r="G39" i="4" s="1"/>
  <c r="H39" i="4" a="1"/>
  <c r="H39" i="4" s="1"/>
  <c r="I39" i="4" a="1"/>
  <c r="I39" i="4" s="1"/>
  <c r="J39" i="4" a="1"/>
  <c r="J39" i="4" s="1"/>
  <c r="K39" i="4" a="1"/>
  <c r="K39" i="4" s="1"/>
  <c r="L39" i="4" a="1"/>
  <c r="L39" i="4" s="1"/>
  <c r="M39" i="4" a="1"/>
  <c r="M39" i="4" s="1"/>
  <c r="N39" i="4" a="1"/>
  <c r="N39" i="4" s="1"/>
  <c r="O39" i="4" a="1"/>
  <c r="O39" i="4" s="1"/>
  <c r="P39" i="4" a="1"/>
  <c r="P39" i="4" s="1"/>
  <c r="Q39" i="4" a="1"/>
  <c r="Q39" i="4" s="1"/>
  <c r="R39" i="4" a="1"/>
  <c r="R39" i="4" s="1"/>
  <c r="S39" i="4" a="1"/>
  <c r="S39" i="4" s="1"/>
  <c r="T39" i="4" a="1"/>
  <c r="T39" i="4" s="1"/>
  <c r="U39" i="4" a="1"/>
  <c r="U39" i="4" s="1"/>
  <c r="V39" i="4" a="1"/>
  <c r="V39" i="4" s="1"/>
  <c r="W39" i="4" a="1"/>
  <c r="W39" i="4" s="1"/>
  <c r="X39" i="4" a="1"/>
  <c r="X39" i="4" s="1"/>
  <c r="Y39" i="4" a="1"/>
  <c r="Y39" i="4" s="1"/>
  <c r="Z39" i="4" a="1"/>
  <c r="Z39" i="4" s="1"/>
  <c r="AA39" i="4" a="1"/>
  <c r="AA39" i="4" s="1"/>
  <c r="AB39" i="4" a="1"/>
  <c r="AB39" i="4" s="1"/>
  <c r="AC39" i="4" a="1"/>
  <c r="AC39" i="4" s="1"/>
  <c r="AD39" i="4" a="1"/>
  <c r="AD39" i="4" s="1"/>
  <c r="AE39" i="4" a="1"/>
  <c r="AE39" i="4" s="1"/>
  <c r="AF39" i="4" a="1"/>
  <c r="AF39" i="4" s="1"/>
  <c r="AG39" i="4" a="1"/>
  <c r="AG39" i="4" s="1"/>
  <c r="AH39" i="4" a="1"/>
  <c r="AH39" i="4" s="1"/>
  <c r="AI39" i="4" a="1"/>
  <c r="AI39" i="4" s="1"/>
  <c r="AJ39" i="4" a="1"/>
  <c r="AJ39" i="4" s="1"/>
  <c r="AK39" i="4" a="1"/>
  <c r="AK39" i="4" s="1"/>
  <c r="AL39" i="4" a="1"/>
  <c r="AL39" i="4" s="1"/>
  <c r="AM39" i="4" a="1"/>
  <c r="AM39" i="4" s="1"/>
  <c r="AN39" i="4" a="1"/>
  <c r="AN39" i="4" s="1"/>
  <c r="AO39" i="4" a="1"/>
  <c r="AO39" i="4" s="1"/>
  <c r="AP39" i="4" a="1"/>
  <c r="AP39" i="4" s="1"/>
  <c r="AQ39" i="4" a="1"/>
  <c r="AQ39" i="4" s="1"/>
  <c r="AR39" i="4" a="1"/>
  <c r="AR39" i="4" s="1"/>
  <c r="AS39" i="4" a="1"/>
  <c r="AS39" i="4" s="1"/>
  <c r="AT39" i="4" a="1"/>
  <c r="AT39" i="4" s="1"/>
  <c r="AU39" i="4" a="1"/>
  <c r="AU39" i="4" s="1"/>
  <c r="AV39" i="4" a="1"/>
  <c r="AV39" i="4" s="1"/>
  <c r="AW39" i="4" a="1"/>
  <c r="AW39" i="4" s="1"/>
  <c r="AX39" i="4" a="1"/>
  <c r="AX39" i="4" s="1"/>
  <c r="AY39" i="4" a="1"/>
  <c r="AY39" i="4" s="1"/>
  <c r="AZ39" i="4" a="1"/>
  <c r="AZ39" i="4" s="1"/>
  <c r="BA39" i="4" a="1"/>
  <c r="BA39" i="4" s="1"/>
  <c r="BB39" i="4" a="1"/>
  <c r="BB39" i="4" s="1"/>
  <c r="BC39" i="4" a="1"/>
  <c r="BC39" i="4" s="1"/>
  <c r="BD39" i="4" a="1"/>
  <c r="BD39" i="4" s="1"/>
  <c r="BE39" i="4" a="1"/>
  <c r="BE39" i="4" s="1"/>
  <c r="BF39" i="4" a="1"/>
  <c r="BF39" i="4" s="1"/>
  <c r="BG39" i="4" a="1"/>
  <c r="BG39" i="4" s="1"/>
  <c r="BH39" i="4" a="1"/>
  <c r="BH39" i="4" s="1"/>
  <c r="BI39" i="4" a="1"/>
  <c r="BI39" i="4" s="1"/>
  <c r="BJ39" i="4" a="1"/>
  <c r="BJ39" i="4" s="1"/>
  <c r="BK39" i="4" a="1"/>
  <c r="BK39" i="4" s="1"/>
  <c r="BL39" i="4" a="1"/>
  <c r="BL39" i="4" s="1"/>
  <c r="BM39" i="4" a="1"/>
  <c r="BM39" i="4" s="1"/>
  <c r="BN39" i="4" a="1"/>
  <c r="BN39" i="4" s="1"/>
  <c r="BO39" i="4" a="1"/>
  <c r="BO39" i="4" s="1"/>
  <c r="BP39" i="4" a="1"/>
  <c r="BP39" i="4" s="1"/>
  <c r="BQ39" i="4" a="1"/>
  <c r="BQ39" i="4" s="1"/>
  <c r="BR39" i="4" a="1"/>
  <c r="BR39" i="4" s="1"/>
  <c r="BS39" i="4" a="1"/>
  <c r="BS39" i="4" s="1"/>
  <c r="BT39" i="4" a="1"/>
  <c r="BT39" i="4" s="1"/>
  <c r="BU39" i="4" a="1"/>
  <c r="BU39" i="4" s="1"/>
  <c r="BV39" i="4" a="1"/>
  <c r="BV39" i="4" s="1"/>
  <c r="BW39" i="4" a="1"/>
  <c r="BW39" i="4" s="1"/>
  <c r="BX39" i="4" a="1"/>
  <c r="BX39" i="4" s="1"/>
  <c r="BY39" i="4" a="1"/>
  <c r="BY39" i="4" s="1"/>
  <c r="BZ39" i="4" a="1"/>
  <c r="BZ39" i="4" s="1"/>
  <c r="CA39" i="4" a="1"/>
  <c r="CA39" i="4" s="1"/>
  <c r="CB39" i="4" a="1"/>
  <c r="CB39" i="4" s="1"/>
  <c r="CC39" i="4" a="1"/>
  <c r="CC39" i="4" s="1"/>
  <c r="CD39" i="4" a="1"/>
  <c r="CD39" i="4" s="1"/>
  <c r="CE39" i="4" a="1"/>
  <c r="CE39" i="4" s="1"/>
  <c r="CF39" i="4" a="1"/>
  <c r="CF39" i="4" s="1"/>
  <c r="CG39" i="4" a="1"/>
  <c r="CG39" i="4" s="1"/>
  <c r="CH39" i="4" a="1"/>
  <c r="CH39" i="4" s="1"/>
  <c r="CI39" i="4" a="1"/>
  <c r="CI39" i="4" s="1"/>
  <c r="CJ39" i="4" a="1"/>
  <c r="CJ39" i="4" s="1"/>
  <c r="CK39" i="4" a="1"/>
  <c r="CK39" i="4" s="1"/>
  <c r="CL39" i="4" a="1"/>
  <c r="CL39" i="4" s="1"/>
  <c r="CM39" i="4" a="1"/>
  <c r="CM39" i="4" s="1"/>
  <c r="CN39" i="4" a="1"/>
  <c r="CN39" i="4" s="1"/>
  <c r="CO39" i="4" a="1"/>
  <c r="CO39" i="4" s="1"/>
  <c r="CP39" i="4" a="1"/>
  <c r="CP39" i="4" s="1"/>
  <c r="CQ39" i="4" a="1"/>
  <c r="CQ39" i="4" s="1"/>
  <c r="CR39" i="4" a="1"/>
  <c r="CR39" i="4" s="1"/>
  <c r="CS39" i="4" a="1"/>
  <c r="CS39" i="4" s="1"/>
  <c r="CT39" i="4" a="1"/>
  <c r="CT39" i="4" s="1"/>
  <c r="CU39" i="4" a="1"/>
  <c r="CU39" i="4" s="1"/>
  <c r="CV39" i="4" a="1"/>
  <c r="CV39" i="4" s="1"/>
  <c r="CW39" i="4" a="1"/>
  <c r="CW39" i="4" s="1"/>
  <c r="CX39" i="4" a="1"/>
  <c r="CX39" i="4" s="1"/>
  <c r="CY39" i="4" a="1"/>
  <c r="CY39" i="4" s="1"/>
  <c r="CZ39" i="4" a="1"/>
  <c r="CZ39" i="4" s="1"/>
  <c r="DA39" i="4" a="1"/>
  <c r="DA39" i="4" s="1"/>
  <c r="DB39" i="4" a="1"/>
  <c r="DB39" i="4" s="1"/>
  <c r="DC39" i="4" a="1"/>
  <c r="DC39" i="4" s="1"/>
  <c r="DD39" i="4" a="1"/>
  <c r="DD39" i="4" s="1"/>
  <c r="DE39" i="4" a="1"/>
  <c r="DE39" i="4" s="1"/>
  <c r="DF39" i="4" a="1"/>
  <c r="DF39" i="4" s="1"/>
  <c r="DG39" i="4" a="1"/>
  <c r="DG39" i="4" s="1"/>
  <c r="DH39" i="4" a="1"/>
  <c r="DH39" i="4" s="1"/>
  <c r="DI39" i="4" a="1"/>
  <c r="DI39" i="4" s="1"/>
  <c r="DJ39" i="4" a="1"/>
  <c r="DJ39" i="4" s="1"/>
  <c r="DK39" i="4" a="1"/>
  <c r="DK39" i="4" s="1"/>
  <c r="DL39" i="4" a="1"/>
  <c r="DL39" i="4" s="1"/>
  <c r="DM39" i="4" a="1"/>
  <c r="DM39" i="4" s="1"/>
  <c r="DN39" i="4" a="1"/>
  <c r="DN39" i="4" s="1"/>
  <c r="DO39" i="4"/>
  <c r="DP39" i="4" a="1"/>
  <c r="DP39" i="4" s="1"/>
  <c r="DQ39" i="4" a="1"/>
  <c r="DQ39" i="4" s="1"/>
  <c r="DR39" i="4" a="1"/>
  <c r="DR39" i="4" s="1"/>
  <c r="DS39" i="4" a="1"/>
  <c r="DS39" i="4" s="1"/>
  <c r="DT39" i="4" a="1"/>
  <c r="DT39" i="4" s="1"/>
  <c r="DU39" i="4" a="1"/>
  <c r="DU39" i="4" s="1"/>
  <c r="DV39" i="4" a="1"/>
  <c r="DV39" i="4" s="1"/>
  <c r="DW39" i="4" a="1"/>
  <c r="DW39" i="4" s="1"/>
  <c r="DX39" i="4" a="1"/>
  <c r="DX39" i="4" s="1"/>
  <c r="DY39" i="4" a="1"/>
  <c r="DY39" i="4" s="1"/>
  <c r="DZ39" i="4" a="1"/>
  <c r="DZ39" i="4" s="1"/>
  <c r="EA39" i="4" a="1"/>
  <c r="EA39" i="4" s="1"/>
  <c r="EB39" i="4" a="1"/>
  <c r="EB39" i="4" s="1"/>
  <c r="EC39" i="4" a="1"/>
  <c r="EC39" i="4" s="1"/>
  <c r="ED39" i="4" a="1"/>
  <c r="ED39" i="4" s="1"/>
  <c r="EE39" i="4" a="1"/>
  <c r="EE39" i="4" s="1"/>
  <c r="C2" i="3"/>
  <c r="D6" i="3"/>
  <c r="C7" i="2"/>
  <c r="C2" i="2"/>
  <c r="C11" i="2"/>
  <c r="D7" i="4"/>
  <c r="E7" i="4" s="1"/>
  <c r="F7" i="4" s="1"/>
  <c r="G7" i="4" s="1"/>
  <c r="H7" i="4" s="1"/>
  <c r="I7" i="4" s="1"/>
  <c r="J7" i="4" s="1"/>
  <c r="K7" i="4" s="1"/>
  <c r="L7" i="4" s="1"/>
  <c r="M7" i="4" s="1"/>
  <c r="C12" i="2"/>
  <c r="C13" i="2"/>
  <c r="C14" i="2"/>
  <c r="C15" i="2"/>
  <c r="C16" i="2"/>
  <c r="C17" i="2"/>
  <c r="C18" i="2"/>
  <c r="C19" i="2"/>
  <c r="C20" i="2"/>
  <c r="C21" i="2"/>
  <c r="C22" i="2"/>
  <c r="C12" i="3" l="1"/>
  <c r="D12" i="3" s="1"/>
  <c r="C32" i="3"/>
  <c r="D32" i="3" s="1"/>
  <c r="E32" i="3" s="1"/>
  <c r="F32" i="3" s="1"/>
  <c r="G32" i="3" s="1"/>
  <c r="H32" i="3" s="1"/>
  <c r="I32" i="3" s="1"/>
  <c r="J32" i="3" s="1"/>
  <c r="K32" i="3" s="1"/>
  <c r="L32" i="3" s="1"/>
  <c r="M32" i="3" s="1"/>
  <c r="P32" i="3" s="1"/>
  <c r="Q32" i="3" s="1"/>
  <c r="C72" i="3"/>
  <c r="D72" i="3" s="1"/>
  <c r="E72" i="3" s="1"/>
  <c r="F72" i="3" s="1"/>
  <c r="C52" i="3"/>
  <c r="D52" i="3" s="1"/>
  <c r="E52" i="3" s="1"/>
  <c r="E12" i="3"/>
  <c r="G72" i="3" l="1"/>
  <c r="F12" i="3"/>
  <c r="F52" i="3"/>
  <c r="G12" i="3" l="1"/>
  <c r="G52" i="3"/>
  <c r="H72" i="3"/>
  <c r="I72" i="3" l="1"/>
  <c r="H12" i="3"/>
  <c r="H52" i="3"/>
  <c r="I52" i="3" l="1"/>
  <c r="I12" i="3"/>
  <c r="J72" i="3"/>
  <c r="K72" i="3" l="1"/>
  <c r="J12" i="3"/>
  <c r="J52" i="3"/>
  <c r="K12" i="3" l="1"/>
  <c r="K52" i="3"/>
  <c r="L72" i="3"/>
  <c r="M72" i="3" l="1"/>
  <c r="L52" i="3"/>
  <c r="L12" i="3"/>
  <c r="M12" i="3" l="1"/>
  <c r="P72" i="3"/>
  <c r="Q72" i="3" s="1"/>
  <c r="M52" i="3"/>
  <c r="N7" i="4" l="1"/>
  <c r="P52" i="3"/>
  <c r="Q52" i="3" s="1"/>
  <c r="P12" i="3"/>
  <c r="Q12" i="3" s="1"/>
  <c r="O7" i="4" l="1"/>
  <c r="P7" i="4" l="1"/>
  <c r="Q7" i="4" l="1"/>
  <c r="R7" i="4" l="1"/>
  <c r="S7" i="4" l="1"/>
  <c r="T7" i="4" l="1"/>
  <c r="U7" i="4" l="1"/>
  <c r="V7" i="4" l="1"/>
  <c r="W7" i="4" l="1"/>
  <c r="X7" i="4" l="1"/>
  <c r="Y7" i="4" l="1"/>
  <c r="Z7" i="4" l="1"/>
  <c r="AA7" i="4" l="1"/>
  <c r="AB7" i="4" l="1"/>
  <c r="AC7" i="4" l="1"/>
  <c r="AD7" i="4" l="1"/>
  <c r="AE7" i="4" l="1"/>
  <c r="AF7" i="4" l="1"/>
  <c r="AG7" i="4" l="1"/>
  <c r="AH7" i="4" l="1"/>
  <c r="AI7" i="4" l="1"/>
  <c r="AJ7" i="4" l="1"/>
  <c r="AK7" i="4" l="1"/>
  <c r="AL7" i="4" l="1"/>
  <c r="AM7" i="4" l="1"/>
  <c r="AN7" i="4" l="1"/>
  <c r="AO7" i="4" l="1"/>
  <c r="AP7" i="4" l="1"/>
  <c r="AQ7" i="4" l="1"/>
  <c r="AR7" i="4" l="1"/>
  <c r="AS7" i="4" l="1"/>
  <c r="AT7" i="4" l="1"/>
  <c r="AU7" i="4" l="1"/>
  <c r="AV7" i="4" l="1"/>
  <c r="AW7" i="4" l="1"/>
  <c r="AX7" i="4" l="1"/>
  <c r="AY7" i="4" l="1"/>
  <c r="AZ7" i="4" l="1"/>
  <c r="BA7" i="4" l="1"/>
  <c r="BB7" i="4" l="1"/>
  <c r="BC7" i="4" l="1"/>
  <c r="BD7" i="4" l="1"/>
  <c r="BE7" i="4" l="1"/>
  <c r="BF7" i="4" l="1"/>
  <c r="BG7" i="4" l="1"/>
  <c r="BH7" i="4" l="1"/>
  <c r="BI7" i="4" l="1"/>
  <c r="BJ7" i="4" l="1"/>
  <c r="BK7" i="4" l="1"/>
  <c r="BL7" i="4" l="1"/>
  <c r="BM7" i="4" l="1"/>
  <c r="BN7" i="4" l="1"/>
  <c r="BO7" i="4" l="1"/>
  <c r="BP7" i="4" l="1"/>
  <c r="BQ7" i="4" l="1"/>
  <c r="BR7" i="4" l="1"/>
  <c r="BS7" i="4" l="1"/>
  <c r="BT7" i="4" l="1"/>
  <c r="BU7" i="4" l="1"/>
  <c r="BV7" i="4" l="1"/>
  <c r="BW7" i="4" l="1"/>
  <c r="BX7" i="4" l="1"/>
  <c r="BY7" i="4" l="1"/>
  <c r="BZ7" i="4" l="1"/>
  <c r="CA7" i="4" l="1"/>
  <c r="CB7" i="4" l="1"/>
  <c r="CC7" i="4" l="1"/>
  <c r="CD7" i="4" l="1"/>
  <c r="CE7" i="4" l="1"/>
  <c r="CF7" i="4" l="1"/>
  <c r="CG7" i="4" l="1"/>
  <c r="CH7" i="4" l="1"/>
  <c r="CI7" i="4" l="1"/>
  <c r="CJ7" i="4" l="1"/>
  <c r="CK7" i="4" l="1"/>
  <c r="CL7" i="4" l="1"/>
  <c r="CM7" i="4" l="1"/>
  <c r="CN7" i="4" l="1"/>
  <c r="CO7" i="4" l="1"/>
  <c r="CP7" i="4" l="1"/>
  <c r="CQ7" i="4" l="1"/>
  <c r="CR7" i="4" l="1"/>
  <c r="CS7" i="4" l="1"/>
  <c r="CT7" i="4" l="1"/>
  <c r="CU7" i="4" l="1"/>
  <c r="CV7" i="4" l="1"/>
  <c r="CW7" i="4" l="1"/>
  <c r="CX7" i="4" l="1"/>
  <c r="CY7" i="4" l="1"/>
  <c r="CZ7" i="4" l="1"/>
  <c r="DA7" i="4" l="1"/>
  <c r="DB7" i="4" l="1"/>
  <c r="DC7" i="4" l="1"/>
  <c r="DD7" i="4" l="1"/>
  <c r="DE7" i="4" l="1"/>
  <c r="DF7" i="4" l="1"/>
  <c r="DG7" i="4" l="1"/>
  <c r="DH7" i="4" l="1"/>
  <c r="DI7" i="4" l="1"/>
  <c r="DJ7" i="4" l="1"/>
  <c r="DK7" i="4" l="1"/>
  <c r="DL7" i="4" l="1"/>
  <c r="DM7" i="4" l="1"/>
  <c r="DN7" i="4" l="1"/>
  <c r="DO7" i="4" l="1"/>
  <c r="DP7" i="4" l="1"/>
  <c r="DQ7" i="4" l="1"/>
  <c r="DR7" i="4" l="1"/>
  <c r="DS7" i="4" l="1"/>
  <c r="DT7" i="4" l="1"/>
  <c r="DU7" i="4" l="1"/>
  <c r="DV7" i="4" l="1"/>
  <c r="DW7" i="4" l="1"/>
  <c r="DX7" i="4" l="1"/>
  <c r="DY7" i="4" l="1"/>
  <c r="DZ7" i="4" l="1"/>
  <c r="EA7" i="4" l="1"/>
  <c r="EB7" i="4" l="1"/>
  <c r="EC7" i="4" l="1"/>
  <c r="ED7" i="4" l="1"/>
  <c r="EE7" i="4" l="1"/>
  <c r="P33" i="3" l="1"/>
  <c r="P53" i="3"/>
  <c r="H73" i="3"/>
  <c r="M13" i="3"/>
  <c r="I13" i="3"/>
  <c r="G53" i="3"/>
  <c r="E53" i="3"/>
  <c r="K73" i="3"/>
  <c r="P73" i="3"/>
  <c r="E13" i="3"/>
  <c r="Q33" i="3"/>
  <c r="Q73" i="3"/>
  <c r="L33" i="3"/>
  <c r="K53" i="3"/>
  <c r="M73" i="3"/>
  <c r="F33" i="3"/>
  <c r="M33" i="3"/>
  <c r="I53" i="3"/>
  <c r="F73" i="3"/>
  <c r="G13" i="3"/>
  <c r="I73" i="3"/>
  <c r="D73" i="3"/>
  <c r="D53" i="3"/>
  <c r="L13" i="3"/>
  <c r="P13" i="3"/>
  <c r="G73" i="3"/>
  <c r="J13" i="3"/>
  <c r="I33" i="3"/>
  <c r="F53" i="3"/>
  <c r="H53" i="3"/>
  <c r="Q13" i="3"/>
  <c r="G33" i="3"/>
  <c r="D33" i="3"/>
  <c r="L73" i="3"/>
  <c r="C13" i="3"/>
  <c r="K33" i="3"/>
  <c r="Q53" i="3"/>
  <c r="C73" i="3"/>
  <c r="E33" i="3"/>
  <c r="L53" i="3"/>
  <c r="J53" i="3"/>
  <c r="E73" i="3"/>
  <c r="K13" i="3"/>
  <c r="H33" i="3"/>
  <c r="D13" i="3"/>
  <c r="M53" i="3"/>
  <c r="J33" i="3"/>
  <c r="C53" i="3"/>
  <c r="F13" i="3"/>
  <c r="H13" i="3"/>
  <c r="C33" i="3"/>
  <c r="J7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<sst xmlns="http://schemas.openxmlformats.org/spreadsheetml/2006/main" count="95" uniqueCount="70">
  <si>
    <t>Choose your colour scheme:</t>
  </si>
  <si>
    <t>Copyright: Veera Seaman</t>
  </si>
  <si>
    <t>Year</t>
  </si>
  <si>
    <t>Month</t>
  </si>
  <si>
    <t>#</t>
  </si>
  <si>
    <t xml:space="preserve">Add your logo (please resize to fit): </t>
  </si>
  <si>
    <t>Spring</t>
  </si>
  <si>
    <t>Header</t>
  </si>
  <si>
    <t>Highlight</t>
  </si>
  <si>
    <t>Month and year</t>
  </si>
  <si>
    <t>Select year to view:</t>
  </si>
  <si>
    <t>Select month to view:</t>
  </si>
  <si>
    <t>Number of registered customers</t>
  </si>
  <si>
    <t>Percentage of customer base growth from previous month</t>
  </si>
  <si>
    <t>Number of customers visiting store for a second of subsequent time</t>
  </si>
  <si>
    <t xml:space="preserve">Add your indicator names below: </t>
  </si>
  <si>
    <r>
      <t xml:space="preserve">Insert your data here. You can give your indicators their own </t>
    </r>
    <r>
      <rPr>
        <b/>
        <sz val="12"/>
        <color theme="1"/>
        <rFont val="Aptos Narrow"/>
        <family val="2"/>
        <scheme val="minor"/>
      </rPr>
      <t>identifier (KPI ID)</t>
    </r>
    <r>
      <rPr>
        <sz val="11"/>
        <color theme="1"/>
        <rFont val="Aptos Narrow"/>
        <family val="2"/>
        <scheme val="minor"/>
      </rPr>
      <t xml:space="preserve"> or use the ones listed below. </t>
    </r>
  </si>
  <si>
    <t>KPI ID 1</t>
  </si>
  <si>
    <t>KPI ID 1 %</t>
  </si>
  <si>
    <t>KPI ID 3</t>
  </si>
  <si>
    <t>KPI ID 4 %</t>
  </si>
  <si>
    <t>KPI ID 5</t>
  </si>
  <si>
    <t>KPI ID 6</t>
  </si>
  <si>
    <t>KPI ID 7</t>
  </si>
  <si>
    <t>KPI ID 8 %</t>
  </si>
  <si>
    <t>KPI ID 9 %</t>
  </si>
  <si>
    <t>KPI ID 10</t>
  </si>
  <si>
    <t>KPI ID 11</t>
  </si>
  <si>
    <t>KPI ID 12 %</t>
  </si>
  <si>
    <t>KPI ID 13</t>
  </si>
  <si>
    <t>KPI ID 14</t>
  </si>
  <si>
    <t>KPI ID 15</t>
  </si>
  <si>
    <t>KPI ID 16 %</t>
  </si>
  <si>
    <t>KPI ID 17</t>
  </si>
  <si>
    <t>KPI ID 18</t>
  </si>
  <si>
    <t>KPI ID 19 %</t>
  </si>
  <si>
    <t>KPI ID 20 %</t>
  </si>
  <si>
    <t>KPI ID 21 %</t>
  </si>
  <si>
    <t>KPI ID 22</t>
  </si>
  <si>
    <t>KPI ID 23 R</t>
  </si>
  <si>
    <t>KPI ID 24</t>
  </si>
  <si>
    <t>KPI ID 25 R</t>
  </si>
  <si>
    <t>KPI ID 26</t>
  </si>
  <si>
    <t>KPI ID 27</t>
  </si>
  <si>
    <t>KPI ID 28 %</t>
  </si>
  <si>
    <t>KPI ID 29 %</t>
  </si>
  <si>
    <t>KPI ID 30</t>
  </si>
  <si>
    <t>KPI ID 31 R</t>
  </si>
  <si>
    <t>KPI ID 32</t>
  </si>
  <si>
    <t>Year calculation (do not edit)</t>
  </si>
  <si>
    <t xml:space="preserve">To set up the list below, please write the start year (replace the current year with the year your data count starts from): </t>
  </si>
  <si>
    <r>
      <t xml:space="preserve">If you want to change the start year, please do so in the </t>
    </r>
    <r>
      <rPr>
        <b/>
        <sz val="12"/>
        <color theme="1"/>
        <rFont val="Aptos Narrow"/>
        <family val="2"/>
        <scheme val="minor"/>
      </rPr>
      <t>Lists</t>
    </r>
    <r>
      <rPr>
        <sz val="11"/>
        <color theme="1"/>
        <rFont val="Aptos Narrow"/>
        <family val="2"/>
        <scheme val="minor"/>
      </rPr>
      <t xml:space="preserve"> tab. </t>
    </r>
  </si>
  <si>
    <t xml:space="preserve">If you would like more options, such as define the start month, please contact me (You will find my contact details in the Contact tab). </t>
  </si>
  <si>
    <t>Copyright</t>
  </si>
  <si>
    <t xml:space="preserve">If you would like more indicators, please contact me (You will find my contact details in the Contact tab). </t>
  </si>
  <si>
    <t>Percentage of customers buying teddy bears</t>
  </si>
  <si>
    <t>Number of teddy bears in stock</t>
  </si>
  <si>
    <t>Number of green handbacks in stock</t>
  </si>
  <si>
    <t>Percentage of faulty items of all stock</t>
  </si>
  <si>
    <t>Percentage of faulty items sent back to manufacturer</t>
  </si>
  <si>
    <t>Number of full-time employees</t>
  </si>
  <si>
    <t>Number of part-fime employees</t>
  </si>
  <si>
    <t xml:space="preserve">Number of all employees </t>
  </si>
  <si>
    <t>Percentage of part-time employees of all employees</t>
  </si>
  <si>
    <t>Example indicator</t>
  </si>
  <si>
    <t>Percentage of value 1 of value 2</t>
  </si>
  <si>
    <t>Number of red beach towels in stock</t>
  </si>
  <si>
    <t xml:space="preserve">Please contact me to discuss dashboard / dataset solutions for your small or medium sized business. </t>
  </si>
  <si>
    <t>veeraseaman@gmail.com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</si>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</sst>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"/>
      <color theme="0"/>
      <name val="Aptos Narrow"/>
      <family val="2"/>
      <scheme val="minor"/>
    </font>
    <font>
      <i/>
      <sz val="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auto="1"/>
      </top>
      <bottom/>
      <diagonal/>
    </border>
    <border>
      <left style="thin">
        <color theme="7" tint="0.39994506668294322"/>
      </left>
      <right/>
      <top style="thin">
        <color theme="7" tint="0.39994506668294322"/>
      </top>
      <bottom/>
      <diagonal/>
    </border>
    <border>
      <left/>
      <right/>
      <top style="thin">
        <color theme="7" tint="0.39994506668294322"/>
      </top>
      <bottom/>
      <diagonal/>
    </border>
    <border>
      <left/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/>
      <top/>
      <bottom/>
      <diagonal/>
    </border>
    <border>
      <left/>
      <right style="thin">
        <color theme="7" tint="0.39994506668294322"/>
      </right>
      <top/>
      <bottom/>
      <diagonal/>
    </border>
    <border>
      <left style="thin">
        <color theme="7" tint="0.39994506668294322"/>
      </left>
      <right/>
      <top/>
      <bottom style="thin">
        <color theme="7" tint="0.39994506668294322"/>
      </bottom>
      <diagonal/>
    </border>
    <border>
      <left/>
      <right/>
      <top/>
      <bottom style="thin">
        <color theme="7" tint="0.39994506668294322"/>
      </bottom>
      <diagonal/>
    </border>
    <border>
      <left/>
      <right style="thin">
        <color theme="7" tint="0.39994506668294322"/>
      </right>
      <top/>
      <bottom style="thin">
        <color theme="7" tint="0.39994506668294322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wrapText="1"/>
    </xf>
    <xf numFmtId="0" fontId="0" fillId="0" borderId="2" xfId="0" applyBorder="1"/>
    <xf numFmtId="0" fontId="4" fillId="0" borderId="0" xfId="0" applyFont="1"/>
    <xf numFmtId="0" fontId="2" fillId="0" borderId="0" xfId="0" applyFont="1"/>
    <xf numFmtId="0" fontId="0" fillId="0" borderId="1" xfId="0" applyBorder="1" applyAlignment="1" applyProtection="1">
      <alignment vertical="top"/>
    </xf>
    <xf numFmtId="1" fontId="0" fillId="0" borderId="1" xfId="0" applyNumberFormat="1" applyBorder="1" applyAlignment="1" applyProtection="1">
      <alignment vertical="top"/>
    </xf>
    <xf numFmtId="14" fontId="0" fillId="0" borderId="1" xfId="0" applyNumberFormat="1" applyBorder="1" applyAlignment="1" applyProtection="1">
      <alignment vertical="top"/>
    </xf>
    <xf numFmtId="1" fontId="0" fillId="0" borderId="1" xfId="0" applyNumberFormat="1" applyBorder="1" applyAlignment="1" applyProtection="1">
      <alignment horizontal="center" vertical="top"/>
    </xf>
    <xf numFmtId="1" fontId="0" fillId="0" borderId="0" xfId="0" applyNumberFormat="1" applyAlignment="1" applyProtection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/>
    </xf>
    <xf numFmtId="0" fontId="0" fillId="4" borderId="0" xfId="0" applyFill="1" applyAlignment="1" applyProtection="1">
      <alignment horizontal="right" indent="3"/>
      <protection locked="0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  <xf numFmtId="0" fontId="0" fillId="4" borderId="0" xfId="0" applyFill="1" applyAlignment="1">
      <alignment horizontal="right" vertical="top" indent="2"/>
    </xf>
    <xf numFmtId="0" fontId="0" fillId="4" borderId="0" xfId="0" applyFill="1" applyAlignment="1">
      <alignment horizontal="right" indent="2"/>
    </xf>
    <xf numFmtId="0" fontId="0" fillId="0" borderId="0" xfId="0" applyAlignment="1">
      <alignment horizontal="center" vertical="top"/>
    </xf>
    <xf numFmtId="17" fontId="0" fillId="0" borderId="0" xfId="0" applyNumberFormat="1"/>
    <xf numFmtId="0" fontId="1" fillId="0" borderId="0" xfId="0" applyFont="1" applyAlignment="1">
      <alignment horizontal="left" indent="5"/>
    </xf>
    <xf numFmtId="0" fontId="7" fillId="3" borderId="0" xfId="0" applyFont="1" applyFill="1" applyAlignment="1">
      <alignment vertical="top"/>
    </xf>
    <xf numFmtId="0" fontId="0" fillId="0" borderId="0" xfId="0" applyAlignment="1">
      <alignment horizontal="center" vertical="top" wrapText="1"/>
    </xf>
    <xf numFmtId="0" fontId="7" fillId="3" borderId="0" xfId="0" applyFont="1" applyFill="1" applyAlignment="1">
      <alignment horizontal="right" vertical="top" wrapText="1"/>
    </xf>
    <xf numFmtId="0" fontId="8" fillId="3" borderId="0" xfId="0" applyFont="1" applyFill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Protection="1"/>
    <xf numFmtId="0" fontId="6" fillId="0" borderId="0" xfId="0" applyFont="1" applyAlignment="1">
      <alignment horizontal="left" vertical="top" indent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11" fillId="0" borderId="0" xfId="1"/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top" indent="1"/>
      <protection locked="0"/>
    </xf>
    <xf numFmtId="1" fontId="0" fillId="0" borderId="0" xfId="0" applyNumberFormat="1" applyAlignment="1" applyProtection="1">
      <alignment horizontal="right" vertical="top" indent="1"/>
      <protection locked="0"/>
    </xf>
    <xf numFmtId="0" fontId="0" fillId="0" borderId="0" xfId="0" applyAlignment="1" applyProtection="1">
      <alignment horizontal="right" vertical="top" wrapText="1" indent="1"/>
      <protection locked="0"/>
    </xf>
    <xf numFmtId="0" fontId="0" fillId="0" borderId="0" xfId="0" applyAlignment="1" applyProtection="1">
      <alignment horizontal="left" vertical="top"/>
      <protection locked="0"/>
    </xf>
    <xf numFmtId="4" fontId="0" fillId="0" borderId="0" xfId="0" applyNumberFormat="1" applyProtection="1">
      <protection locked="0"/>
    </xf>
  </cellXfs>
  <cellStyles count="2">
    <cellStyle name="Hyperlink" xfId="1" builtinId="8"/>
    <cellStyle name="Normal" xfId="0" builtinId="0"/>
  </cellStyles>
  <dxfs count="106"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  <color theme="1"/>
      </font>
      <fill>
        <patternFill>
          <bgColor rgb="FFCCFF99"/>
        </patternFill>
      </fill>
    </dxf>
    <dxf>
      <font>
        <b/>
        <i val="0"/>
        <color theme="9"/>
      </font>
      <fill>
        <gradientFill degree="90">
          <stop position="0">
            <color rgb="FFCCECFF"/>
          </stop>
          <stop position="1">
            <color rgb="FF99FF99"/>
          </stop>
        </gradient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border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border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  <color theme="1"/>
      </font>
      <fill>
        <patternFill>
          <bgColor rgb="FFCCFF99"/>
        </patternFill>
      </fill>
    </dxf>
    <dxf>
      <font>
        <b/>
        <i val="0"/>
        <color theme="9"/>
      </font>
      <fill>
        <gradientFill degree="90">
          <stop position="0">
            <color rgb="FFCCECFF"/>
          </stop>
          <stop position="1">
            <color rgb="FF99FF99"/>
          </stop>
        </gradient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Table Style 1" pivot="0" count="0" xr9:uid="{D7B9A76F-B4E8-4065-A3F2-414A2382E00E}"/>
  </tableStyles>
  <colors>
    <mruColors>
      <color rgb="FFCC99FF"/>
      <color rgb="FFFF99FF"/>
      <color rgb="FFFFFFFF"/>
      <color rgb="FFCC3399"/>
      <color rgb="FFCCECFF"/>
      <color rgb="FF99FF99"/>
      <color rgb="FFFFFF00"/>
      <color rgb="FFFFFF66"/>
      <color rgb="FF66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Percentage of faulty items of all stock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Dashboard!$C$12:$M$12</c:f>
              <c:strCache>
                <c:ptCount val="11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</c:strCache>
            </c:strRef>
          </c:cat>
          <c:val>
            <c:numRef>
              <c:f>Dashboard!$C$13:$M$13</c:f>
              <c:numCache>
                <c:formatCode>0.00</c:formatCode>
                <c:ptCount val="11"/>
                <c:pt idx="0">
                  <c:v>0.15283628698792462</c:v>
                </c:pt>
                <c:pt idx="1">
                  <c:v>5.262539544249567E-2</c:v>
                </c:pt>
                <c:pt idx="2">
                  <c:v>0.36283128324676173</c:v>
                </c:pt>
                <c:pt idx="3">
                  <c:v>0.5585027620905848</c:v>
                </c:pt>
                <c:pt idx="4">
                  <c:v>0.31004620855148635</c:v>
                </c:pt>
                <c:pt idx="5">
                  <c:v>0.24997184333756406</c:v>
                </c:pt>
                <c:pt idx="6">
                  <c:v>0.93529106039637022</c:v>
                </c:pt>
                <c:pt idx="7">
                  <c:v>9.183286406833413E-3</c:v>
                </c:pt>
                <c:pt idx="8">
                  <c:v>0.78637582007912377</c:v>
                </c:pt>
                <c:pt idx="9">
                  <c:v>0.91427266280602026</c:v>
                </c:pt>
                <c:pt idx="10">
                  <c:v>0.11395810481367341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8-41FE-8BB7-3BE688540A3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Dashboard!$B$30</c:f>
              <c:strCache>
                <c:ptCount val="1"/>
                <c:pt idx="0">
                  <c:v>Number of red beach towels in stock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Dashboard!$C$32:$M$32</c:f>
              <c:strCache>
                <c:ptCount val="11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</c:strCache>
            </c:strRef>
          </c:cat>
          <c:val>
            <c:numRef>
              <c:f>Dashboard!$C$33:$M$33</c:f>
              <c:numCache>
                <c:formatCode>0.00</c:formatCode>
                <c:ptCount val="11"/>
                <c:pt idx="0">
                  <c:v>15</c:v>
                </c:pt>
                <c:pt idx="1">
                  <c:v>32</c:v>
                </c:pt>
                <c:pt idx="2">
                  <c:v>40</c:v>
                </c:pt>
                <c:pt idx="3">
                  <c:v>25</c:v>
                </c:pt>
                <c:pt idx="4">
                  <c:v>24</c:v>
                </c:pt>
                <c:pt idx="5">
                  <c:v>3</c:v>
                </c:pt>
                <c:pt idx="6">
                  <c:v>39</c:v>
                </c:pt>
                <c:pt idx="7">
                  <c:v>12</c:v>
                </c:pt>
                <c:pt idx="8">
                  <c:v>7</c:v>
                </c:pt>
                <c:pt idx="9">
                  <c:v>9</c:v>
                </c:pt>
                <c:pt idx="1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6-4798-8E04-48AC04657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Dashboard!$B$50</c:f>
              <c:strCache>
                <c:ptCount val="1"/>
                <c:pt idx="0">
                  <c:v>Example indicator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Dashboard!$C$52:$M$52</c:f>
              <c:strCache>
                <c:ptCount val="11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</c:strCache>
            </c:strRef>
          </c:cat>
          <c:val>
            <c:numRef>
              <c:f>Dashboard!$C$53:$M$53</c:f>
              <c:numCache>
                <c:formatCode>0.00</c:formatCode>
                <c:ptCount val="11"/>
                <c:pt idx="0">
                  <c:v>12</c:v>
                </c:pt>
                <c:pt idx="1">
                  <c:v>10</c:v>
                </c:pt>
                <c:pt idx="2">
                  <c:v>22</c:v>
                </c:pt>
                <c:pt idx="3">
                  <c:v>6</c:v>
                </c:pt>
                <c:pt idx="4">
                  <c:v>16</c:v>
                </c:pt>
                <c:pt idx="5">
                  <c:v>25</c:v>
                </c:pt>
                <c:pt idx="6">
                  <c:v>30</c:v>
                </c:pt>
                <c:pt idx="7">
                  <c:v>8</c:v>
                </c:pt>
                <c:pt idx="8">
                  <c:v>19</c:v>
                </c:pt>
                <c:pt idx="9">
                  <c:v>28</c:v>
                </c:pt>
                <c:pt idx="10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2D-4A95-A417-EEF3F6019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Dashboard!$B$70</c:f>
              <c:strCache>
                <c:ptCount val="1"/>
                <c:pt idx="0">
                  <c:v>Number of registered 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Dashboard!$C$72:$M$72</c:f>
              <c:strCache>
                <c:ptCount val="11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</c:strCache>
            </c:strRef>
          </c:cat>
          <c:val>
            <c:numRef>
              <c:f>Dashboard!$C$73:$M$73</c:f>
              <c:numCache>
                <c:formatCode>0.00</c:formatCode>
                <c:ptCount val="11"/>
                <c:pt idx="0">
                  <c:v>97</c:v>
                </c:pt>
                <c:pt idx="1">
                  <c:v>98</c:v>
                </c:pt>
                <c:pt idx="2">
                  <c:v>99</c:v>
                </c:pt>
                <c:pt idx="3">
                  <c:v>107</c:v>
                </c:pt>
                <c:pt idx="4">
                  <c:v>115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131</c:v>
                </c:pt>
                <c:pt idx="9">
                  <c:v>140</c:v>
                </c:pt>
                <c:pt idx="10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CE-4D10-9F30-187D7053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emf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125186</xdr:colOff>
      <xdr:row>3</xdr:row>
      <xdr:rowOff>54429</xdr:rowOff>
    </xdr:from>
    <xdr:to>
      <xdr:col>4</xdr:col>
      <xdr:colOff>598714</xdr:colOff>
      <xdr:row>4</xdr:row>
      <xdr:rowOff>35389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05F454-4335-836A-EFAC-7228952AD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0415" y="609600"/>
          <a:ext cx="2373085" cy="351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652367</xdr:colOff>
          <xdr:row>0</xdr:row>
          <xdr:rowOff>157067</xdr:rowOff>
        </xdr:from>
        <xdr:to>
          <xdr:col>7</xdr:col>
          <xdr:colOff>293138</xdr:colOff>
          <xdr:row>4</xdr:row>
          <xdr:rowOff>162509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BD17262-60F8-8870-CF84-FFACFFDC0D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et-up'!$C$4:$H$6" spid="_x0000_s2069"/>
                </a:ext>
              </a:extLst>
            </xdr:cNvPicPr>
          </xdr:nvPicPr>
          <xdr:blipFill>
            <a:blip xmlns:r="http://schemas.openxmlformats.org/officeDocument/2006/relationships" r:embed="rId1">
              <a:lum bright="40000" contrast="-40000"/>
            </a:blip>
            <a:srcRect/>
            <a:stretch>
              <a:fillRect/>
            </a:stretch>
          </xdr:blipFill>
          <xdr:spPr bwMode="auto">
            <a:xfrm>
              <a:off x="652367" y="157067"/>
              <a:ext cx="4523791" cy="75189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52370</xdr:colOff>
      <xdr:row>13</xdr:row>
      <xdr:rowOff>169323</xdr:rowOff>
    </xdr:from>
    <xdr:to>
      <xdr:col>12</xdr:col>
      <xdr:colOff>614722</xdr:colOff>
      <xdr:row>28</xdr:row>
      <xdr:rowOff>113338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E0847-00AD-4A92-81E9-F43DE0E82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52370</xdr:colOff>
      <xdr:row>33</xdr:row>
      <xdr:rowOff>169323</xdr:rowOff>
    </xdr:from>
    <xdr:to>
      <xdr:col>12</xdr:col>
      <xdr:colOff>614722</xdr:colOff>
      <xdr:row>48</xdr:row>
      <xdr:rowOff>113338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D699F6-73D3-4D90-9976-5A1199297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52370</xdr:colOff>
      <xdr:row>53</xdr:row>
      <xdr:rowOff>169323</xdr:rowOff>
    </xdr:from>
    <xdr:to>
      <xdr:col>12</xdr:col>
      <xdr:colOff>614722</xdr:colOff>
      <xdr:row>68</xdr:row>
      <xdr:rowOff>113338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89E759-CE4B-4571-88A4-59756164B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52370</xdr:colOff>
      <xdr:row>73</xdr:row>
      <xdr:rowOff>169323</xdr:rowOff>
    </xdr:from>
    <xdr:to>
      <xdr:col>12</xdr:col>
      <xdr:colOff>614722</xdr:colOff>
      <xdr:row>88</xdr:row>
      <xdr:rowOff>113338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CCCE33-FC52-48C0-803F-4E5CE0DE6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5</xdr:col>
          <xdr:colOff>415144</xdr:colOff>
          <xdr:row>4</xdr:row>
          <xdr:rowOff>176150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868CE8C1-F3AA-4E29-AAFC-369D089550F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et-up'!$C$4:$H$6" spid="_x0000_s3094"/>
                </a:ext>
              </a:extLst>
            </xdr:cNvPicPr>
          </xdr:nvPicPr>
          <xdr:blipFill>
            <a:blip xmlns:r="http://schemas.openxmlformats.org/officeDocument/2006/relationships" r:embed="rId5">
              <a:lum bright="40000" contrast="-40000"/>
            </a:blip>
            <a:srcRect/>
            <a:stretch>
              <a:fillRect/>
            </a:stretch>
          </xdr:blipFill>
          <xdr:spPr bwMode="auto">
            <a:xfrm>
              <a:off x="653144" y="188025"/>
              <a:ext cx="4512129" cy="74022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652367</xdr:colOff>
          <xdr:row>0</xdr:row>
          <xdr:rowOff>157067</xdr:rowOff>
        </xdr:from>
        <xdr:to>
          <xdr:col>4</xdr:col>
          <xdr:colOff>367006</xdr:colOff>
          <xdr:row>3</xdr:row>
          <xdr:rowOff>306357</xdr:rowOff>
        </xdr:to>
        <xdr:pic>
          <xdr:nvPicPr>
            <xdr:cNvPr id="5" name="Picture 4" descr="Logo&#10;">
              <a:extLst>
                <a:ext uri="{FF2B5EF4-FFF2-40B4-BE49-F238E27FC236}">
                  <a16:creationId xmlns:a16="http://schemas.microsoft.com/office/drawing/2014/main" id="{D512F51B-F7C2-4D55-80A1-52AFDE7466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et-up'!$C$4:$H$6" spid="_x0000_s4113"/>
                </a:ext>
              </a:extLst>
            </xdr:cNvPicPr>
          </xdr:nvPicPr>
          <xdr:blipFill>
            <a:blip xmlns:r="http://schemas.openxmlformats.org/officeDocument/2006/relationships" r:embed="rId1">
              <a:lum bright="40000" contrast="-40000"/>
            </a:blip>
            <a:srcRect/>
            <a:stretch>
              <a:fillRect/>
            </a:stretch>
          </xdr:blipFill>
          <xdr:spPr bwMode="auto">
            <a:xfrm>
              <a:off x="652367" y="157067"/>
              <a:ext cx="4512129" cy="74022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veerasea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A4E1-0FFF-4837-AB4B-8AEA6D993C6A}">
  <sheetPr>
    <tabColor rgb="FFFFFF00"/>
  </sheetPr>
  <dimension ref="B2:H13"/>
  <sheetViews>
    <sheetView tabSelected="1" workbookViewId="0">
      <selection activeCell="C2" sqref="C2"/>
    </sheetView>
  </sheetViews>
  <sheetFormatPr defaultRowHeight="14.6" x14ac:dyDescent="0.4"/>
  <cols>
    <col min="2" max="2" width="28.15234375" customWidth="1"/>
    <col min="3" max="3" width="17.61328125" customWidth="1"/>
  </cols>
  <sheetData>
    <row r="2" spans="2:8" ht="15.9" x14ac:dyDescent="0.4">
      <c r="B2" s="4" t="s">
        <v>0</v>
      </c>
      <c r="C2" s="36" t="s">
        <v>6</v>
      </c>
      <c r="D2" s="3" t="s">
        <v>7</v>
      </c>
      <c r="E2" s="33" t="s">
        <v>8</v>
      </c>
      <c r="F2" s="23"/>
      <c r="G2" s="23" t="s">
        <v>53</v>
      </c>
    </row>
    <row r="3" spans="2:8" x14ac:dyDescent="0.4">
      <c r="B3" s="4"/>
    </row>
    <row r="4" spans="2:8" ht="29.15" x14ac:dyDescent="0.4">
      <c r="B4" s="4" t="s">
        <v>5</v>
      </c>
      <c r="C4" s="37"/>
      <c r="D4" s="38"/>
      <c r="E4" s="38"/>
      <c r="F4" s="38"/>
      <c r="G4" s="38"/>
      <c r="H4" s="39"/>
    </row>
    <row r="5" spans="2:8" x14ac:dyDescent="0.4">
      <c r="B5" s="4"/>
      <c r="C5" s="40"/>
      <c r="D5" s="41"/>
      <c r="E5" s="41"/>
      <c r="F5" s="41"/>
      <c r="G5" s="41"/>
      <c r="H5" s="42"/>
    </row>
    <row r="6" spans="2:8" x14ac:dyDescent="0.4">
      <c r="B6" s="4"/>
      <c r="C6" s="43"/>
      <c r="D6" s="44"/>
      <c r="E6" s="44"/>
      <c r="F6" s="44"/>
      <c r="G6" s="44"/>
      <c r="H6" s="45"/>
    </row>
    <row r="7" spans="2:8" x14ac:dyDescent="0.4">
      <c r="B7" s="4"/>
    </row>
    <row r="8" spans="2:8" x14ac:dyDescent="0.4">
      <c r="B8" s="4"/>
    </row>
    <row r="9" spans="2:8" x14ac:dyDescent="0.4">
      <c r="B9" s="5"/>
    </row>
    <row r="10" spans="2:8" x14ac:dyDescent="0.4">
      <c r="B10" s="5"/>
    </row>
    <row r="11" spans="2:8" x14ac:dyDescent="0.4">
      <c r="B11" s="5"/>
    </row>
    <row r="12" spans="2:8" x14ac:dyDescent="0.4">
      <c r="B12" s="5"/>
    </row>
    <row r="13" spans="2:8" x14ac:dyDescent="0.4">
      <c r="B13" s="5"/>
    </row>
  </sheetData>
  <sheetProtection algorithmName="SHA-512" hashValue="8pxSa4DpU3PLYqv7hV6Qk6MfK2/iQPDhh50cJQy3iQFbqs69w+K4T7261F4bUCkGk7q+CCYWE6BgfKSYNT/ijQ==" saltValue="nt2jLoXfUEERSmVwymP1Bw==" spinCount="100000" sheet="1" scenarios="1" selectLockedCells="1"/>
  <conditionalFormatting sqref="D2">
    <cfRule type="expression" dxfId="105" priority="15" stopIfTrue="1">
      <formula>$C$2="Winter"</formula>
    </cfRule>
    <cfRule type="expression" dxfId="104" priority="16" stopIfTrue="1">
      <formula>$C$2="Autumn"</formula>
    </cfRule>
    <cfRule type="expression" dxfId="103" priority="17" stopIfTrue="1">
      <formula>$C$2="Summer"</formula>
    </cfRule>
    <cfRule type="expression" dxfId="102" priority="20" stopIfTrue="1">
      <formula>$C$2="Spring"</formula>
    </cfRule>
    <cfRule type="expression" priority="21" stopIfTrue="1">
      <formula>$C$2="Blank"</formula>
    </cfRule>
  </conditionalFormatting>
  <conditionalFormatting sqref="E2">
    <cfRule type="expression" dxfId="101" priority="10">
      <formula>$C$2="Summer"</formula>
    </cfRule>
    <cfRule type="expression" dxfId="100" priority="11">
      <formula>$C$2="Winter"</formula>
    </cfRule>
    <cfRule type="expression" dxfId="99" priority="12">
      <formula>$C$2="Autumn"</formula>
    </cfRule>
    <cfRule type="expression" dxfId="98" priority="13">
      <formula>$C$2="Spring"</formula>
    </cfRule>
  </conditionalFormatting>
  <conditionalFormatting sqref="E2:G2">
    <cfRule type="notContainsBlanks" dxfId="97" priority="22">
      <formula>LEN(TRIM(E2))&gt;0</formula>
    </cfRule>
  </conditionalFormatting>
  <conditionalFormatting sqref="F2">
    <cfRule type="expression" dxfId="96" priority="6">
      <formula>$C$2="Autumn"</formula>
    </cfRule>
    <cfRule type="expression" dxfId="95" priority="7">
      <formula>$C$2="Winter"</formula>
    </cfRule>
    <cfRule type="expression" dxfId="94" priority="8">
      <formula>$C$2="Summer"</formula>
    </cfRule>
    <cfRule type="expression" dxfId="93" priority="9">
      <formula>$C$2="Spring"</formula>
    </cfRule>
  </conditionalFormatting>
  <dataValidations count="1">
    <dataValidation type="list" allowBlank="1" showInputMessage="1" showErrorMessage="1" sqref="C2" xr:uid="{8E001634-5DE9-4094-B571-B53396EFD94F}">
      <formula1>"Blank,Spring,Summer,Autumn,Winter"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7A40-49C6-44C1-A3FB-CDEAC8310C85}">
  <dimension ref="B2:N26"/>
  <sheetViews>
    <sheetView zoomScale="85" zoomScaleNormal="85" workbookViewId="0">
      <selection activeCell="F8" sqref="F8"/>
    </sheetView>
  </sheetViews>
  <sheetFormatPr defaultRowHeight="14.6" x14ac:dyDescent="0.4"/>
  <cols>
    <col min="2" max="2" width="2.61328125" customWidth="1"/>
    <col min="3" max="3" width="10.07421875" bestFit="1" customWidth="1"/>
    <col min="5" max="5" width="10.07421875" bestFit="1" customWidth="1"/>
    <col min="6" max="6" width="18.4609375" customWidth="1"/>
  </cols>
  <sheetData>
    <row r="2" spans="2:14" x14ac:dyDescent="0.4">
      <c r="C2" s="7" t="str">
        <f>'Set-up'!$C$2</f>
        <v>Spring</v>
      </c>
    </row>
    <row r="3" spans="2:14" x14ac:dyDescent="0.4">
      <c r="B3" s="7"/>
    </row>
    <row r="5" spans="2:14" x14ac:dyDescent="0.4">
      <c r="B5" s="7"/>
      <c r="C5" s="7"/>
      <c r="D5" s="7"/>
      <c r="E5" s="7"/>
      <c r="F5" s="7"/>
    </row>
    <row r="6" spans="2:14" ht="6.75" customHeight="1" x14ac:dyDescent="0.4">
      <c r="B6" s="7"/>
      <c r="C6" s="7"/>
      <c r="D6" s="7"/>
      <c r="E6" s="7"/>
      <c r="F6" s="7"/>
    </row>
    <row r="7" spans="2:14" s="2" customFormat="1" ht="3" customHeight="1" x14ac:dyDescent="0.4">
      <c r="B7" s="14"/>
      <c r="C7" s="15" t="str">
        <f ca="1">TEXT(TODAY(), "Mmmm")</f>
        <v>October</v>
      </c>
      <c r="D7" s="15" t="str">
        <f ca="1">TEXT(TODAY(), "Yyyy")</f>
        <v>2025</v>
      </c>
      <c r="E7" s="15"/>
      <c r="F7" s="15"/>
    </row>
    <row r="8" spans="2:14" s="2" customFormat="1" ht="53.15" customHeight="1" x14ac:dyDescent="0.4">
      <c r="B8" s="14"/>
      <c r="C8" s="29" t="s">
        <v>50</v>
      </c>
      <c r="D8" s="29"/>
      <c r="E8" s="29"/>
      <c r="F8" s="46">
        <v>2020</v>
      </c>
    </row>
    <row r="9" spans="2:14" s="2" customFormat="1" ht="6.75" customHeight="1" x14ac:dyDescent="0.4">
      <c r="B9" s="14"/>
      <c r="C9" s="28"/>
      <c r="D9" s="28"/>
      <c r="E9" s="28"/>
      <c r="F9" s="26"/>
    </row>
    <row r="10" spans="2:14" ht="29.15" x14ac:dyDescent="0.4">
      <c r="B10" s="3" t="s">
        <v>4</v>
      </c>
      <c r="C10" s="3" t="s">
        <v>3</v>
      </c>
      <c r="D10" s="3"/>
      <c r="E10" s="3" t="s">
        <v>2</v>
      </c>
      <c r="F10" s="27" t="s">
        <v>49</v>
      </c>
      <c r="G10" s="1"/>
      <c r="H10" s="1"/>
      <c r="J10" s="1"/>
      <c r="K10" s="1"/>
      <c r="L10" s="1"/>
      <c r="M10" s="1"/>
      <c r="N10" s="1"/>
    </row>
    <row r="11" spans="2:14" x14ac:dyDescent="0.4">
      <c r="B11" s="12">
        <v>0</v>
      </c>
      <c r="C11" s="9" t="str">
        <f ca="1">TEXT(TODAY(), "Mmmm")</f>
        <v>October</v>
      </c>
      <c r="D11" s="9"/>
      <c r="E11" s="10">
        <f>F8</f>
        <v>2020</v>
      </c>
      <c r="F11" s="13">
        <f ca="1">E11-$D$7</f>
        <v>-5</v>
      </c>
    </row>
    <row r="12" spans="2:14" x14ac:dyDescent="0.4">
      <c r="B12" s="12">
        <v>1</v>
      </c>
      <c r="C12" s="11" t="str">
        <f ca="1">TEXT(DATE(YEAR(TODAY()),MONTH(TODAY())+B12,DAY(TODAY())), "Mmmm")</f>
        <v>November</v>
      </c>
      <c r="D12" s="9"/>
      <c r="E12" s="10">
        <f>E11+1</f>
        <v>2021</v>
      </c>
      <c r="F12" s="13">
        <f t="shared" ref="F12:F26" ca="1" si="0">E12-$D$7</f>
        <v>-4</v>
      </c>
    </row>
    <row r="13" spans="2:14" x14ac:dyDescent="0.4">
      <c r="B13" s="12">
        <v>2</v>
      </c>
      <c r="C13" s="11" t="str">
        <f ca="1">TEXT(DATE(YEAR(TODAY()),MONTH(TODAY())+B13,DAY(TODAY())), "Mmmm")</f>
        <v>December</v>
      </c>
      <c r="D13" s="9"/>
      <c r="E13" s="10">
        <f t="shared" ref="E13:E25" si="1">E12+1</f>
        <v>2022</v>
      </c>
      <c r="F13" s="13">
        <f t="shared" ca="1" si="0"/>
        <v>-3</v>
      </c>
    </row>
    <row r="14" spans="2:14" x14ac:dyDescent="0.4">
      <c r="B14" s="12">
        <v>3</v>
      </c>
      <c r="C14" s="11" t="str">
        <f ca="1">TEXT(DATE(YEAR(TODAY()),MONTH(TODAY())+B14,DAY(TODAY())), "Mmmm")</f>
        <v>January</v>
      </c>
      <c r="D14" s="9"/>
      <c r="E14" s="10">
        <f t="shared" si="1"/>
        <v>2023</v>
      </c>
      <c r="F14" s="13">
        <f t="shared" ca="1" si="0"/>
        <v>-2</v>
      </c>
    </row>
    <row r="15" spans="2:14" x14ac:dyDescent="0.4">
      <c r="B15" s="12">
        <v>4</v>
      </c>
      <c r="C15" s="11" t="str">
        <f ca="1">TEXT(DATE(YEAR(TODAY()),MONTH(TODAY())+B15,DAY(TODAY())), "Mmmm")</f>
        <v>February</v>
      </c>
      <c r="D15" s="9"/>
      <c r="E15" s="10">
        <f t="shared" si="1"/>
        <v>2024</v>
      </c>
      <c r="F15" s="13">
        <f t="shared" ca="1" si="0"/>
        <v>-1</v>
      </c>
    </row>
    <row r="16" spans="2:14" x14ac:dyDescent="0.4">
      <c r="B16" s="12">
        <v>5</v>
      </c>
      <c r="C16" s="11" t="str">
        <f ca="1">TEXT(DATE(YEAR(TODAY()),MONTH(TODAY())+B16,DAY(TODAY())), "Mmmm")</f>
        <v>March</v>
      </c>
      <c r="D16" s="9"/>
      <c r="E16" s="10">
        <f t="shared" si="1"/>
        <v>2025</v>
      </c>
      <c r="F16" s="13">
        <f t="shared" ca="1" si="0"/>
        <v>0</v>
      </c>
    </row>
    <row r="17" spans="2:6" x14ac:dyDescent="0.4">
      <c r="B17" s="12">
        <v>6</v>
      </c>
      <c r="C17" s="11" t="str">
        <f ca="1">TEXT(DATE(YEAR(TODAY()),MONTH(TODAY())+B17,DAY(TODAY())), "Mmmm")</f>
        <v>April</v>
      </c>
      <c r="D17" s="9"/>
      <c r="E17" s="10">
        <f t="shared" si="1"/>
        <v>2026</v>
      </c>
      <c r="F17" s="13">
        <f t="shared" ca="1" si="0"/>
        <v>1</v>
      </c>
    </row>
    <row r="18" spans="2:6" x14ac:dyDescent="0.4">
      <c r="B18" s="12">
        <v>7</v>
      </c>
      <c r="C18" s="11" t="str">
        <f ca="1">TEXT(DATE(YEAR(TODAY()),MONTH(TODAY())+B18,DAY(TODAY())), "Mmmm")</f>
        <v>May</v>
      </c>
      <c r="D18" s="9"/>
      <c r="E18" s="10">
        <f t="shared" si="1"/>
        <v>2027</v>
      </c>
      <c r="F18" s="13">
        <f t="shared" ca="1" si="0"/>
        <v>2</v>
      </c>
    </row>
    <row r="19" spans="2:6" x14ac:dyDescent="0.4">
      <c r="B19" s="12">
        <v>8</v>
      </c>
      <c r="C19" s="11" t="str">
        <f ca="1">TEXT(DATE(YEAR(TODAY()),MONTH(TODAY())+B19,DAY(TODAY())), "Mmmm")</f>
        <v>June</v>
      </c>
      <c r="D19" s="9"/>
      <c r="E19" s="10">
        <f t="shared" si="1"/>
        <v>2028</v>
      </c>
      <c r="F19" s="13">
        <f t="shared" ca="1" si="0"/>
        <v>3</v>
      </c>
    </row>
    <row r="20" spans="2:6" x14ac:dyDescent="0.4">
      <c r="B20" s="12">
        <v>9</v>
      </c>
      <c r="C20" s="11" t="str">
        <f ca="1">TEXT(DATE(YEAR(TODAY()),MONTH(TODAY())+B20,DAY(TODAY())), "Mmmm")</f>
        <v>July</v>
      </c>
      <c r="D20" s="9"/>
      <c r="E20" s="10">
        <f t="shared" si="1"/>
        <v>2029</v>
      </c>
      <c r="F20" s="13">
        <f t="shared" ca="1" si="0"/>
        <v>4</v>
      </c>
    </row>
    <row r="21" spans="2:6" x14ac:dyDescent="0.4">
      <c r="B21" s="12">
        <v>10</v>
      </c>
      <c r="C21" s="11" t="str">
        <f ca="1">TEXT(DATE(YEAR(TODAY()),MONTH(TODAY())+B21,DAY(TODAY())), "Mmmm")</f>
        <v>August</v>
      </c>
      <c r="D21" s="9"/>
      <c r="E21" s="10">
        <f t="shared" si="1"/>
        <v>2030</v>
      </c>
      <c r="F21" s="13">
        <f t="shared" ca="1" si="0"/>
        <v>5</v>
      </c>
    </row>
    <row r="22" spans="2:6" x14ac:dyDescent="0.4">
      <c r="B22" s="12">
        <v>11</v>
      </c>
      <c r="C22" s="11" t="str">
        <f ca="1">TEXT(DATE(YEAR(TODAY()),MONTH(TODAY())+B22,DAY(TODAY())), "Mmmm")</f>
        <v>September</v>
      </c>
      <c r="D22" s="9"/>
      <c r="E22" s="10">
        <f t="shared" si="1"/>
        <v>2031</v>
      </c>
      <c r="F22" s="13">
        <f t="shared" ca="1" si="0"/>
        <v>6</v>
      </c>
    </row>
    <row r="23" spans="2:6" x14ac:dyDescent="0.4">
      <c r="E23" s="10">
        <f>E22+1</f>
        <v>2032</v>
      </c>
      <c r="F23" s="13">
        <f t="shared" ca="1" si="0"/>
        <v>7</v>
      </c>
    </row>
    <row r="24" spans="2:6" x14ac:dyDescent="0.4">
      <c r="E24" s="10">
        <f t="shared" si="1"/>
        <v>2033</v>
      </c>
      <c r="F24" s="13">
        <f t="shared" ca="1" si="0"/>
        <v>8</v>
      </c>
    </row>
    <row r="25" spans="2:6" x14ac:dyDescent="0.4">
      <c r="E25" s="10">
        <f t="shared" si="1"/>
        <v>2034</v>
      </c>
      <c r="F25" s="13">
        <f t="shared" ca="1" si="0"/>
        <v>9</v>
      </c>
    </row>
    <row r="26" spans="2:6" x14ac:dyDescent="0.4">
      <c r="E26" s="10">
        <f>E25+1</f>
        <v>2035</v>
      </c>
      <c r="F26" s="13">
        <f t="shared" ca="1" si="0"/>
        <v>10</v>
      </c>
    </row>
  </sheetData>
  <sheetProtection algorithmName="SHA-512" hashValue="26H8KBpig/QTlP7lRjSR3M1zO3HZyhHSbHy7VY9W+XICTKEo6qeTwwzkgXnUxqVwEAuZAjYws4RKGXzvjSSpOQ==" saltValue="rBAzwUZYGiP591GSFLqSpA==" spinCount="100000" sheet="1" objects="1" scenarios="1" selectLockedCells="1"/>
  <mergeCells count="1">
    <mergeCell ref="C8:E8"/>
  </mergeCells>
  <conditionalFormatting sqref="B10:F10">
    <cfRule type="expression" dxfId="92" priority="11">
      <formula>$C$2="Summer"</formula>
    </cfRule>
    <cfRule type="expression" dxfId="91" priority="12">
      <formula>$C$2="Winter"</formula>
    </cfRule>
    <cfRule type="expression" dxfId="90" priority="13">
      <formula>$C$2="Autumn"</formula>
    </cfRule>
    <cfRule type="expression" dxfId="89" priority="14">
      <formula>$C$2="Spring"</formula>
    </cfRule>
  </conditionalFormatting>
  <conditionalFormatting sqref="B10:F10">
    <cfRule type="expression" priority="10">
      <formula>$C$2="Blank"</formula>
    </cfRule>
  </conditionalFormatting>
  <conditionalFormatting sqref="C11:C22">
    <cfRule type="cellIs" dxfId="88" priority="7" operator="equal">
      <formula>$C$7</formula>
    </cfRule>
  </conditionalFormatting>
  <conditionalFormatting sqref="E11:E26">
    <cfRule type="cellIs" dxfId="87" priority="6" operator="equal">
      <formula>$D$7</formula>
    </cfRule>
  </conditionalFormatting>
  <conditionalFormatting sqref="F8">
    <cfRule type="expression" priority="1">
      <formula>$C$2="Blank"</formula>
    </cfRule>
  </conditionalFormatting>
  <conditionalFormatting sqref="F8">
    <cfRule type="expression" dxfId="84" priority="2">
      <formula>$C$2="Autumn"</formula>
    </cfRule>
    <cfRule type="expression" dxfId="83" priority="3">
      <formula>$C$2="Winter"</formula>
    </cfRule>
    <cfRule type="expression" dxfId="82" priority="4">
      <formula>$C$2="Summer"</formula>
    </cfRule>
    <cfRule type="expression" dxfId="81" priority="5">
      <formula>$C$2="Spring"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CFB2-DF58-4A44-9A47-3391188E4CEC}">
  <dimension ref="B2:V91"/>
  <sheetViews>
    <sheetView zoomScale="55" zoomScaleNormal="55" workbookViewId="0">
      <selection activeCell="C33" sqref="C33"/>
    </sheetView>
  </sheetViews>
  <sheetFormatPr defaultRowHeight="14.6" x14ac:dyDescent="0.4"/>
  <cols>
    <col min="2" max="2" width="28.921875" customWidth="1"/>
    <col min="3" max="3" width="10.53515625" customWidth="1"/>
  </cols>
  <sheetData>
    <row r="2" spans="2:22" x14ac:dyDescent="0.4">
      <c r="C2" s="7" t="str">
        <f>'Set-up'!$C$2</f>
        <v>Spring</v>
      </c>
    </row>
    <row r="6" spans="2:22" ht="6.9" customHeight="1" x14ac:dyDescent="0.4">
      <c r="D6" s="8" t="str">
        <f>TEXT(($C$7&amp;" "&amp;$C$8),"MMm-YY")</f>
        <v>Jan-20</v>
      </c>
    </row>
    <row r="7" spans="2:22" ht="19.850000000000001" customHeight="1" x14ac:dyDescent="0.4">
      <c r="B7" s="21" t="s">
        <v>11</v>
      </c>
      <c r="C7" s="47" t="s">
        <v>69</v>
      </c>
    </row>
    <row r="8" spans="2:22" ht="19.850000000000001" customHeight="1" x14ac:dyDescent="0.4">
      <c r="B8" s="22" t="s">
        <v>10</v>
      </c>
      <c r="C8" s="48">
        <v>2020</v>
      </c>
    </row>
    <row r="10" spans="2:22" ht="15.9" x14ac:dyDescent="0.4">
      <c r="B10" s="34" t="str">
        <f>VLOOKUP(B13, Raw!$A$8:$B$200, 2, FALSE)</f>
        <v>Percentage of faulty items of all stock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2:22" ht="1" customHeight="1" x14ac:dyDescent="0.4">
      <c r="B11" s="32"/>
      <c r="C11" s="20"/>
    </row>
    <row r="12" spans="2:22" x14ac:dyDescent="0.4">
      <c r="B12" s="3" t="s">
        <v>9</v>
      </c>
      <c r="C12" s="3" t="str">
        <f>IF(ISBLANK($D$6),"",(TEXT(($D$6),"mmm-yy")))</f>
        <v>Jan-20</v>
      </c>
      <c r="D12" s="3" t="str">
        <f>(TEXT(DATE(YEAR(C12),MONTH(C12)+1,DAY(C12)),"MMM-YY"))</f>
        <v>Feb-20</v>
      </c>
      <c r="E12" s="3" t="str">
        <f>(TEXT(DATE(YEAR(D12),MONTH(D12)+1,DAY(D12)),"MMM-YY"))</f>
        <v>Mar-20</v>
      </c>
      <c r="F12" s="3" t="str">
        <f>(TEXT(DATE(YEAR(E12),MONTH(E12)+1,DAY(E12)),"MMM-YY"))</f>
        <v>Apr-20</v>
      </c>
      <c r="G12" s="3" t="str">
        <f>(TEXT(DATE(YEAR(F12),MONTH(F12)+1,DAY(F12)),"MMM-YY"))</f>
        <v>May-20</v>
      </c>
      <c r="H12" s="3" t="str">
        <f>(TEXT(DATE(YEAR(G12),MONTH(G12)+1,DAY(G12)),"MMM-YY"))</f>
        <v>Jun-20</v>
      </c>
      <c r="I12" s="3" t="str">
        <f>(TEXT(DATE(YEAR(H12),MONTH(H12)+1,DAY(H12)),"MMM-YY"))</f>
        <v>Jul-20</v>
      </c>
      <c r="J12" s="3" t="str">
        <f>(TEXT(DATE(YEAR(I12),MONTH(I12)+1,DAY(I12)),"MMM-YY"))</f>
        <v>Aug-20</v>
      </c>
      <c r="K12" s="3" t="str">
        <f>(TEXT(DATE(YEAR(J12),MONTH(J12)+1,DAY(J12)),"MMM-YY"))</f>
        <v>Sep-20</v>
      </c>
      <c r="L12" s="3" t="str">
        <f>(TEXT(DATE(YEAR(K12),MONTH(K12)+1,DAY(K12)),"MMM-YY"))</f>
        <v>Oct-20</v>
      </c>
      <c r="M12" s="3" t="str">
        <f>(TEXT(DATE(YEAR(L12),MONTH(L12)+1,DAY(L12)),"MMM-YY"))</f>
        <v>Nov-20</v>
      </c>
      <c r="P12" s="19" t="str">
        <f>IFERROR(IF(DATEVALUE(M12)&gt;=DATEVALUE($EF$5),"",(TEXT(DATE(YEAR(M12),MONTH(M12)+1,DAY(M12)),"MMM-YY"))),"")</f>
        <v/>
      </c>
      <c r="Q12" s="19" t="str">
        <f>IFERROR(IF(DATEVALUE(P12)&gt;=DATEVALUE($EF$5),"",(TEXT(DATE(YEAR(P12),MONTH(P12)+1,DAY(P12)),"MMM-YY"))),"")</f>
        <v/>
      </c>
    </row>
    <row r="13" spans="2:22" x14ac:dyDescent="0.4">
      <c r="B13" s="18" t="s">
        <v>24</v>
      </c>
      <c r="C13" s="17">
        <f ca="1">IF(ISBLANK($D$6),"",(IFERROR(INDEX(Raw!$C$7:$EE$39,MATCH($B13,Raw!$C$7:$C$39,0),MATCH(C12,Raw!$C$7:$EE$7,0)),"")))</f>
        <v>0.15283628698792462</v>
      </c>
      <c r="D13" s="17">
        <f ca="1">IF(ISBLANK($D$6),"",(IFERROR(INDEX(Raw!$C$7:$EE$39,MATCH($B13,Raw!$C$7:$C$39,0),MATCH(D12,Raw!$C$7:$EE$7,0)),"")))</f>
        <v>5.262539544249567E-2</v>
      </c>
      <c r="E13" s="17">
        <f ca="1">IF(ISBLANK($D$6),"",(IFERROR(INDEX(Raw!$C$7:$EE$39,MATCH($B13,Raw!$C$7:$C$39,0),MATCH(E12,Raw!$C$7:$EE$7,0)),"")))</f>
        <v>0.36283128324676173</v>
      </c>
      <c r="F13" s="17">
        <f ca="1">IF(ISBLANK($D$6),"",(IFERROR(INDEX(Raw!$C$7:$EE$39,MATCH($B13,Raw!$C$7:$C$39,0),MATCH(F12,Raw!$C$7:$EE$7,0)),"")))</f>
        <v>0.5585027620905848</v>
      </c>
      <c r="G13" s="17">
        <f ca="1">IF(ISBLANK($D$6),"",(IFERROR(INDEX(Raw!$C$7:$EE$39,MATCH($B13,Raw!$C$7:$C$39,0),MATCH(G12,Raw!$C$7:$EE$7,0)),"")))</f>
        <v>0.31004620855148635</v>
      </c>
      <c r="H13" s="17">
        <f ca="1">IF(ISBLANK($D$6),"",(IFERROR(INDEX(Raw!$C$7:$EE$39,MATCH($B13,Raw!$C$7:$C$39,0),MATCH(H12,Raw!$C$7:$EE$7,0)),"")))</f>
        <v>0.24997184333756406</v>
      </c>
      <c r="I13" s="17">
        <f ca="1">IF(ISBLANK($D$6),"",(IFERROR(INDEX(Raw!$C$7:$EE$39,MATCH($B13,Raw!$C$7:$C$39,0),MATCH(I12,Raw!$C$7:$EE$7,0)),"")))</f>
        <v>0.93529106039637022</v>
      </c>
      <c r="J13" s="17">
        <f ca="1">IF(ISBLANK($D$6),"",(IFERROR(INDEX(Raw!$C$7:$EE$39,MATCH($B13,Raw!$C$7:$C$39,0),MATCH(J12,Raw!$C$7:$EE$7,0)),"")))</f>
        <v>9.183286406833413E-3</v>
      </c>
      <c r="K13" s="17">
        <f ca="1">IF(ISBLANK($D$6),"",(IFERROR(INDEX(Raw!$C$7:$EE$39,MATCH($B13,Raw!$C$7:$C$39,0),MATCH(K12,Raw!$C$7:$EE$7,0)),"")))</f>
        <v>0.78637582007912377</v>
      </c>
      <c r="L13" s="17">
        <f ca="1">IF(ISBLANK($D$6),"",(IFERROR(INDEX(Raw!$C$7:$EE$39,MATCH($B13,Raw!$C$7:$C$39,0),MATCH(L12,Raw!$C$7:$EE$7,0)),"")))</f>
        <v>0.91427266280602026</v>
      </c>
      <c r="M13" s="17">
        <f ca="1">IF(ISBLANK($D$6),"",(IFERROR(INDEX(Raw!$C$7:$EE$39,MATCH($B13,Raw!$C$7:$C$39,0),MATCH(M12,Raw!$C$7:$EE$7,0)),"")))</f>
        <v>0.11395810481367341</v>
      </c>
      <c r="P13" s="17" t="str">
        <f>(IFERROR(INDEX(Raw!$C$7:$EE$39,MATCH(#REF!,Raw!$C$7:$C$39,0),MATCH(P$87,Raw!$C$7:$EE$7,0)),""))</f>
        <v/>
      </c>
      <c r="Q13" s="17" t="str">
        <f>(IFERROR(INDEX(Raw!$C$7:$EE$39,MATCH(#REF!,Raw!$C$7:$C$39,0),MATCH(Q$87,Raw!$C$7:$EE$7,0)),""))</f>
        <v/>
      </c>
    </row>
    <row r="16" spans="2:22" x14ac:dyDescent="0.4">
      <c r="R16" s="16"/>
      <c r="S16" s="16"/>
      <c r="T16" s="16"/>
      <c r="U16" s="16"/>
      <c r="V16" s="16"/>
    </row>
    <row r="17" spans="2:22" x14ac:dyDescent="0.4">
      <c r="R17" s="16"/>
      <c r="S17" s="16"/>
      <c r="T17" s="16"/>
      <c r="U17" s="16"/>
      <c r="V17" s="16"/>
    </row>
    <row r="18" spans="2:22" x14ac:dyDescent="0.4">
      <c r="R18" s="16"/>
      <c r="S18" s="16"/>
      <c r="T18" s="16"/>
      <c r="U18" s="16"/>
      <c r="V18" s="16"/>
    </row>
    <row r="19" spans="2:22" x14ac:dyDescent="0.4">
      <c r="R19" s="16"/>
      <c r="S19" s="16"/>
      <c r="T19" s="16"/>
      <c r="U19" s="16"/>
      <c r="V19" s="16"/>
    </row>
    <row r="20" spans="2:22" x14ac:dyDescent="0.4">
      <c r="R20" s="16"/>
      <c r="S20" s="16"/>
      <c r="T20" s="16"/>
      <c r="U20" s="16"/>
      <c r="V20" s="16"/>
    </row>
    <row r="21" spans="2:22" x14ac:dyDescent="0.4">
      <c r="R21" s="16"/>
      <c r="S21" s="16"/>
      <c r="T21" s="16"/>
      <c r="U21" s="16"/>
      <c r="V21" s="16"/>
    </row>
    <row r="22" spans="2:22" x14ac:dyDescent="0.4">
      <c r="R22" s="16"/>
      <c r="S22" s="16"/>
      <c r="T22" s="16"/>
      <c r="U22" s="16"/>
      <c r="V22" s="16"/>
    </row>
    <row r="23" spans="2:22" x14ac:dyDescent="0.4">
      <c r="R23" s="16"/>
      <c r="S23" s="16"/>
      <c r="T23" s="16"/>
      <c r="U23" s="16"/>
      <c r="V23" s="16"/>
    </row>
    <row r="24" spans="2:22" x14ac:dyDescent="0.4">
      <c r="R24" s="16"/>
      <c r="S24" s="16"/>
      <c r="T24" s="16"/>
      <c r="U24" s="16"/>
      <c r="V24" s="16"/>
    </row>
    <row r="25" spans="2:22" x14ac:dyDescent="0.4">
      <c r="R25" s="16"/>
      <c r="S25" s="16"/>
      <c r="T25" s="16"/>
      <c r="U25" s="16"/>
      <c r="V25" s="16"/>
    </row>
    <row r="30" spans="2:22" ht="15.9" x14ac:dyDescent="0.4">
      <c r="B30" s="34" t="str">
        <f>VLOOKUP(B33, Raw!$A$8:$B$200, 2, FALSE)</f>
        <v>Number of red beach towels in stock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2:22" ht="1" customHeight="1" x14ac:dyDescent="0.4">
      <c r="B31" s="32"/>
      <c r="C31" s="20"/>
    </row>
    <row r="32" spans="2:22" x14ac:dyDescent="0.4">
      <c r="B32" s="3" t="s">
        <v>9</v>
      </c>
      <c r="C32" s="3" t="str">
        <f>IF(ISBLANK($D$6),"",(TEXT(($D$6),"mmm-yy")))</f>
        <v>Jan-20</v>
      </c>
      <c r="D32" s="3" t="str">
        <f>(TEXT(DATE(YEAR(C32),MONTH(C32)+1,DAY(C32)),"MMM-YY"))</f>
        <v>Feb-20</v>
      </c>
      <c r="E32" s="3" t="str">
        <f>(TEXT(DATE(YEAR(D32),MONTH(D32)+1,DAY(D32)),"MMM-YY"))</f>
        <v>Mar-20</v>
      </c>
      <c r="F32" s="3" t="str">
        <f>(TEXT(DATE(YEAR(E32),MONTH(E32)+1,DAY(E32)),"MMM-YY"))</f>
        <v>Apr-20</v>
      </c>
      <c r="G32" s="3" t="str">
        <f>(TEXT(DATE(YEAR(F32),MONTH(F32)+1,DAY(F32)),"MMM-YY"))</f>
        <v>May-20</v>
      </c>
      <c r="H32" s="3" t="str">
        <f>(TEXT(DATE(YEAR(G32),MONTH(G32)+1,DAY(G32)),"MMM-YY"))</f>
        <v>Jun-20</v>
      </c>
      <c r="I32" s="3" t="str">
        <f>(TEXT(DATE(YEAR(H32),MONTH(H32)+1,DAY(H32)),"MMM-YY"))</f>
        <v>Jul-20</v>
      </c>
      <c r="J32" s="3" t="str">
        <f>(TEXT(DATE(YEAR(I32),MONTH(I32)+1,DAY(I32)),"MMM-YY"))</f>
        <v>Aug-20</v>
      </c>
      <c r="K32" s="3" t="str">
        <f>(TEXT(DATE(YEAR(J32),MONTH(J32)+1,DAY(J32)),"MMM-YY"))</f>
        <v>Sep-20</v>
      </c>
      <c r="L32" s="3" t="str">
        <f>(TEXT(DATE(YEAR(K32),MONTH(K32)+1,DAY(K32)),"MMM-YY"))</f>
        <v>Oct-20</v>
      </c>
      <c r="M32" s="3" t="str">
        <f>(TEXT(DATE(YEAR(L32),MONTH(L32)+1,DAY(L32)),"MMM-YY"))</f>
        <v>Nov-20</v>
      </c>
      <c r="P32" s="19" t="str">
        <f>IFERROR(IF(DATEVALUE(M32)&gt;=DATEVALUE($EF$5),"",(TEXT(DATE(YEAR(M32),MONTH(M32)+1,DAY(M32)),"MMM-YY"))),"")</f>
        <v/>
      </c>
      <c r="Q32" s="19" t="str">
        <f>IFERROR(IF(DATEVALUE(P32)&gt;=DATEVALUE($EF$5),"",(TEXT(DATE(YEAR(P32),MONTH(P32)+1,DAY(P32)),"MMM-YY"))),"")</f>
        <v/>
      </c>
    </row>
    <row r="33" spans="2:22" x14ac:dyDescent="0.4">
      <c r="B33" s="18" t="s">
        <v>22</v>
      </c>
      <c r="C33" s="17">
        <f ca="1">IF(ISBLANK($D$6),"",(IFERROR(INDEX(Raw!$C$7:$EE$39,MATCH($B33,Raw!$C$7:$C$39,0),MATCH(C32,Raw!$C$7:$EE$7,0)),"")))</f>
        <v>15</v>
      </c>
      <c r="D33" s="17">
        <f ca="1">IF(ISBLANK($D$6),"",(IFERROR(INDEX(Raw!$C$7:$EE$39,MATCH($B33,Raw!$C$7:$C$39,0),MATCH(D32,Raw!$C$7:$EE$7,0)),"")))</f>
        <v>32</v>
      </c>
      <c r="E33" s="17">
        <f ca="1">IF(ISBLANK($D$6),"",(IFERROR(INDEX(Raw!$C$7:$EE$39,MATCH($B33,Raw!$C$7:$C$39,0),MATCH(E32,Raw!$C$7:$EE$7,0)),"")))</f>
        <v>40</v>
      </c>
      <c r="F33" s="17">
        <f ca="1">IF(ISBLANK($D$6),"",(IFERROR(INDEX(Raw!$C$7:$EE$39,MATCH($B33,Raw!$C$7:$C$39,0),MATCH(F32,Raw!$C$7:$EE$7,0)),"")))</f>
        <v>25</v>
      </c>
      <c r="G33" s="17">
        <f ca="1">IF(ISBLANK($D$6),"",(IFERROR(INDEX(Raw!$C$7:$EE$39,MATCH($B33,Raw!$C$7:$C$39,0),MATCH(G32,Raw!$C$7:$EE$7,0)),"")))</f>
        <v>24</v>
      </c>
      <c r="H33" s="17">
        <f ca="1">IF(ISBLANK($D$6),"",(IFERROR(INDEX(Raw!$C$7:$EE$39,MATCH($B33,Raw!$C$7:$C$39,0),MATCH(H32,Raw!$C$7:$EE$7,0)),"")))</f>
        <v>3</v>
      </c>
      <c r="I33" s="17">
        <f ca="1">IF(ISBLANK($D$6),"",(IFERROR(INDEX(Raw!$C$7:$EE$39,MATCH($B33,Raw!$C$7:$C$39,0),MATCH(I32,Raw!$C$7:$EE$7,0)),"")))</f>
        <v>39</v>
      </c>
      <c r="J33" s="17">
        <f ca="1">IF(ISBLANK($D$6),"",(IFERROR(INDEX(Raw!$C$7:$EE$39,MATCH($B33,Raw!$C$7:$C$39,0),MATCH(J32,Raw!$C$7:$EE$7,0)),"")))</f>
        <v>12</v>
      </c>
      <c r="K33" s="17">
        <f ca="1">IF(ISBLANK($D$6),"",(IFERROR(INDEX(Raw!$C$7:$EE$39,MATCH($B33,Raw!$C$7:$C$39,0),MATCH(K32,Raw!$C$7:$EE$7,0)),"")))</f>
        <v>7</v>
      </c>
      <c r="L33" s="17">
        <f ca="1">IF(ISBLANK($D$6),"",(IFERROR(INDEX(Raw!$C$7:$EE$39,MATCH($B33,Raw!$C$7:$C$39,0),MATCH(L32,Raw!$C$7:$EE$7,0)),"")))</f>
        <v>9</v>
      </c>
      <c r="M33" s="17">
        <f ca="1">IF(ISBLANK($D$6),"",(IFERROR(INDEX(Raw!$C$7:$EE$39,MATCH($B33,Raw!$C$7:$C$39,0),MATCH(M32,Raw!$C$7:$EE$7,0)),"")))</f>
        <v>18</v>
      </c>
      <c r="P33" s="17" t="str">
        <f>(IFERROR(INDEX(Raw!$C$7:$EE$39,MATCH(#REF!,Raw!$C$7:$C$39,0),MATCH(P$87,Raw!$C$7:$EE$7,0)),""))</f>
        <v/>
      </c>
      <c r="Q33" s="17" t="str">
        <f>(IFERROR(INDEX(Raw!$C$7:$EE$39,MATCH(#REF!,Raw!$C$7:$C$39,0),MATCH(Q$87,Raw!$C$7:$EE$7,0)),""))</f>
        <v/>
      </c>
    </row>
    <row r="36" spans="2:22" x14ac:dyDescent="0.4">
      <c r="R36" s="16"/>
      <c r="S36" s="16"/>
      <c r="T36" s="16"/>
      <c r="U36" s="16"/>
      <c r="V36" s="16"/>
    </row>
    <row r="37" spans="2:22" x14ac:dyDescent="0.4">
      <c r="R37" s="16"/>
      <c r="S37" s="16"/>
      <c r="T37" s="16"/>
      <c r="U37" s="16"/>
      <c r="V37" s="16"/>
    </row>
    <row r="38" spans="2:22" x14ac:dyDescent="0.4">
      <c r="R38" s="16"/>
      <c r="S38" s="16"/>
      <c r="T38" s="16"/>
      <c r="U38" s="16"/>
      <c r="V38" s="16"/>
    </row>
    <row r="39" spans="2:22" x14ac:dyDescent="0.4">
      <c r="R39" s="16"/>
      <c r="S39" s="16"/>
      <c r="T39" s="16"/>
      <c r="U39" s="16"/>
      <c r="V39" s="16"/>
    </row>
    <row r="40" spans="2:22" x14ac:dyDescent="0.4">
      <c r="R40" s="16"/>
      <c r="S40" s="16"/>
      <c r="T40" s="16"/>
      <c r="U40" s="16"/>
      <c r="V40" s="16"/>
    </row>
    <row r="41" spans="2:22" x14ac:dyDescent="0.4">
      <c r="R41" s="16"/>
      <c r="S41" s="16"/>
      <c r="T41" s="16"/>
      <c r="U41" s="16"/>
      <c r="V41" s="16"/>
    </row>
    <row r="42" spans="2:22" x14ac:dyDescent="0.4">
      <c r="R42" s="16"/>
      <c r="S42" s="16"/>
      <c r="T42" s="16"/>
      <c r="U42" s="16"/>
      <c r="V42" s="16"/>
    </row>
    <row r="43" spans="2:22" x14ac:dyDescent="0.4">
      <c r="R43" s="16"/>
      <c r="S43" s="16"/>
      <c r="T43" s="16"/>
      <c r="U43" s="16"/>
      <c r="V43" s="16"/>
    </row>
    <row r="44" spans="2:22" x14ac:dyDescent="0.4">
      <c r="R44" s="16"/>
      <c r="S44" s="16"/>
      <c r="T44" s="16"/>
      <c r="U44" s="16"/>
      <c r="V44" s="16"/>
    </row>
    <row r="45" spans="2:22" x14ac:dyDescent="0.4">
      <c r="R45" s="16"/>
      <c r="S45" s="16"/>
      <c r="T45" s="16"/>
      <c r="U45" s="16"/>
      <c r="V45" s="16"/>
    </row>
    <row r="50" spans="2:22" ht="15.9" x14ac:dyDescent="0.4">
      <c r="B50" s="34" t="str">
        <f>VLOOKUP(B53, Raw!$A$8:$B$200, 2, FALSE)</f>
        <v>Example indicator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2:22" ht="1" customHeight="1" x14ac:dyDescent="0.4">
      <c r="B51" s="32"/>
      <c r="C51" s="20"/>
    </row>
    <row r="52" spans="2:22" x14ac:dyDescent="0.4">
      <c r="B52" s="3" t="s">
        <v>9</v>
      </c>
      <c r="C52" s="3" t="str">
        <f>IF(ISBLANK($D$6),"",(TEXT(($D$6),"mmm-yy")))</f>
        <v>Jan-20</v>
      </c>
      <c r="D52" s="3" t="str">
        <f>(TEXT(DATE(YEAR(C52),MONTH(C52)+1,DAY(C52)),"MMM-YY"))</f>
        <v>Feb-20</v>
      </c>
      <c r="E52" s="3" t="str">
        <f>(TEXT(DATE(YEAR(D52),MONTH(D52)+1,DAY(D52)),"MMM-YY"))</f>
        <v>Mar-20</v>
      </c>
      <c r="F52" s="3" t="str">
        <f>(TEXT(DATE(YEAR(E52),MONTH(E52)+1,DAY(E52)),"MMM-YY"))</f>
        <v>Apr-20</v>
      </c>
      <c r="G52" s="3" t="str">
        <f>(TEXT(DATE(YEAR(F52),MONTH(F52)+1,DAY(F52)),"MMM-YY"))</f>
        <v>May-20</v>
      </c>
      <c r="H52" s="3" t="str">
        <f>(TEXT(DATE(YEAR(G52),MONTH(G52)+1,DAY(G52)),"MMM-YY"))</f>
        <v>Jun-20</v>
      </c>
      <c r="I52" s="3" t="str">
        <f>(TEXT(DATE(YEAR(H52),MONTH(H52)+1,DAY(H52)),"MMM-YY"))</f>
        <v>Jul-20</v>
      </c>
      <c r="J52" s="3" t="str">
        <f>(TEXT(DATE(YEAR(I52),MONTH(I52)+1,DAY(I52)),"MMM-YY"))</f>
        <v>Aug-20</v>
      </c>
      <c r="K52" s="3" t="str">
        <f>(TEXT(DATE(YEAR(J52),MONTH(J52)+1,DAY(J52)),"MMM-YY"))</f>
        <v>Sep-20</v>
      </c>
      <c r="L52" s="3" t="str">
        <f>(TEXT(DATE(YEAR(K52),MONTH(K52)+1,DAY(K52)),"MMM-YY"))</f>
        <v>Oct-20</v>
      </c>
      <c r="M52" s="3" t="str">
        <f>(TEXT(DATE(YEAR(L52),MONTH(L52)+1,DAY(L52)),"MMM-YY"))</f>
        <v>Nov-20</v>
      </c>
      <c r="P52" s="19" t="str">
        <f>IFERROR(IF(DATEVALUE(M52)&gt;=DATEVALUE($EF$5),"",(TEXT(DATE(YEAR(M52),MONTH(M52)+1,DAY(M52)),"MMM-YY"))),"")</f>
        <v/>
      </c>
      <c r="Q52" s="19" t="str">
        <f>IFERROR(IF(DATEVALUE(P52)&gt;=DATEVALUE($EF$5),"",(TEXT(DATE(YEAR(P52),MONTH(P52)+1,DAY(P52)),"MMM-YY"))),"")</f>
        <v/>
      </c>
    </row>
    <row r="53" spans="2:22" x14ac:dyDescent="0.4">
      <c r="B53" s="18" t="s">
        <v>41</v>
      </c>
      <c r="C53" s="17">
        <f ca="1">IF(ISBLANK($D$6),"",(IFERROR(INDEX(Raw!$C$7:$EE$39,MATCH($B53,Raw!$C$7:$C$39,0),MATCH(C52,Raw!$C$7:$EE$7,0)),"")))</f>
        <v>12</v>
      </c>
      <c r="D53" s="17">
        <f ca="1">IF(ISBLANK($D$6),"",(IFERROR(INDEX(Raw!$C$7:$EE$39,MATCH($B53,Raw!$C$7:$C$39,0),MATCH(D52,Raw!$C$7:$EE$7,0)),"")))</f>
        <v>10</v>
      </c>
      <c r="E53" s="17">
        <f ca="1">IF(ISBLANK($D$6),"",(IFERROR(INDEX(Raw!$C$7:$EE$39,MATCH($B53,Raw!$C$7:$C$39,0),MATCH(E52,Raw!$C$7:$EE$7,0)),"")))</f>
        <v>22</v>
      </c>
      <c r="F53" s="17">
        <f ca="1">IF(ISBLANK($D$6),"",(IFERROR(INDEX(Raw!$C$7:$EE$39,MATCH($B53,Raw!$C$7:$C$39,0),MATCH(F52,Raw!$C$7:$EE$7,0)),"")))</f>
        <v>6</v>
      </c>
      <c r="G53" s="17">
        <f ca="1">IF(ISBLANK($D$6),"",(IFERROR(INDEX(Raw!$C$7:$EE$39,MATCH($B53,Raw!$C$7:$C$39,0),MATCH(G52,Raw!$C$7:$EE$7,0)),"")))</f>
        <v>16</v>
      </c>
      <c r="H53" s="17">
        <f ca="1">IF(ISBLANK($D$6),"",(IFERROR(INDEX(Raw!$C$7:$EE$39,MATCH($B53,Raw!$C$7:$C$39,0),MATCH(H52,Raw!$C$7:$EE$7,0)),"")))</f>
        <v>25</v>
      </c>
      <c r="I53" s="17">
        <f ca="1">IF(ISBLANK($D$6),"",(IFERROR(INDEX(Raw!$C$7:$EE$39,MATCH($B53,Raw!$C$7:$C$39,0),MATCH(I52,Raw!$C$7:$EE$7,0)),"")))</f>
        <v>30</v>
      </c>
      <c r="J53" s="17">
        <f ca="1">IF(ISBLANK($D$6),"",(IFERROR(INDEX(Raw!$C$7:$EE$39,MATCH($B53,Raw!$C$7:$C$39,0),MATCH(J52,Raw!$C$7:$EE$7,0)),"")))</f>
        <v>8</v>
      </c>
      <c r="K53" s="17">
        <f ca="1">IF(ISBLANK($D$6),"",(IFERROR(INDEX(Raw!$C$7:$EE$39,MATCH($B53,Raw!$C$7:$C$39,0),MATCH(K52,Raw!$C$7:$EE$7,0)),"")))</f>
        <v>19</v>
      </c>
      <c r="L53" s="17">
        <f ca="1">IF(ISBLANK($D$6),"",(IFERROR(INDEX(Raw!$C$7:$EE$39,MATCH($B53,Raw!$C$7:$C$39,0),MATCH(L52,Raw!$C$7:$EE$7,0)),"")))</f>
        <v>28</v>
      </c>
      <c r="M53" s="17">
        <f ca="1">IF(ISBLANK($D$6),"",(IFERROR(INDEX(Raw!$C$7:$EE$39,MATCH($B53,Raw!$C$7:$C$39,0),MATCH(M52,Raw!$C$7:$EE$7,0)),"")))</f>
        <v>27</v>
      </c>
      <c r="P53" s="17" t="str">
        <f>(IFERROR(INDEX(Raw!$C$7:$EE$39,MATCH(#REF!,Raw!$C$7:$C$39,0),MATCH(P$87,Raw!$C$7:$EE$7,0)),""))</f>
        <v/>
      </c>
      <c r="Q53" s="17" t="str">
        <f>(IFERROR(INDEX(Raw!$C$7:$EE$39,MATCH(#REF!,Raw!$C$7:$C$39,0),MATCH(Q$87,Raw!$C$7:$EE$7,0)),""))</f>
        <v/>
      </c>
    </row>
    <row r="56" spans="2:22" x14ac:dyDescent="0.4">
      <c r="R56" s="16"/>
      <c r="S56" s="16"/>
      <c r="T56" s="16"/>
      <c r="U56" s="16"/>
      <c r="V56" s="16"/>
    </row>
    <row r="57" spans="2:22" x14ac:dyDescent="0.4">
      <c r="R57" s="16"/>
      <c r="S57" s="16"/>
      <c r="T57" s="16"/>
      <c r="U57" s="16"/>
      <c r="V57" s="16"/>
    </row>
    <row r="58" spans="2:22" x14ac:dyDescent="0.4">
      <c r="R58" s="16"/>
      <c r="S58" s="16"/>
      <c r="T58" s="16"/>
      <c r="U58" s="16"/>
      <c r="V58" s="16"/>
    </row>
    <row r="59" spans="2:22" x14ac:dyDescent="0.4">
      <c r="R59" s="16"/>
      <c r="S59" s="16"/>
      <c r="T59" s="16"/>
      <c r="U59" s="16"/>
      <c r="V59" s="16"/>
    </row>
    <row r="60" spans="2:22" x14ac:dyDescent="0.4">
      <c r="R60" s="16"/>
      <c r="S60" s="16"/>
      <c r="T60" s="16"/>
      <c r="U60" s="16"/>
      <c r="V60" s="16"/>
    </row>
    <row r="61" spans="2:22" x14ac:dyDescent="0.4">
      <c r="R61" s="16"/>
      <c r="S61" s="16"/>
      <c r="T61" s="16"/>
      <c r="U61" s="16"/>
      <c r="V61" s="16"/>
    </row>
    <row r="62" spans="2:22" x14ac:dyDescent="0.4">
      <c r="R62" s="16"/>
      <c r="S62" s="16"/>
      <c r="T62" s="16"/>
      <c r="U62" s="16"/>
      <c r="V62" s="16"/>
    </row>
    <row r="63" spans="2:22" x14ac:dyDescent="0.4">
      <c r="R63" s="16"/>
      <c r="S63" s="16"/>
      <c r="T63" s="16"/>
      <c r="U63" s="16"/>
      <c r="V63" s="16"/>
    </row>
    <row r="64" spans="2:22" x14ac:dyDescent="0.4">
      <c r="R64" s="16"/>
      <c r="S64" s="16"/>
      <c r="T64" s="16"/>
      <c r="U64" s="16"/>
      <c r="V64" s="16"/>
    </row>
    <row r="65" spans="2:22" x14ac:dyDescent="0.4">
      <c r="R65" s="16"/>
      <c r="S65" s="16"/>
      <c r="T65" s="16"/>
      <c r="U65" s="16"/>
      <c r="V65" s="16"/>
    </row>
    <row r="70" spans="2:22" ht="15.9" x14ac:dyDescent="0.4">
      <c r="B70" s="34" t="str">
        <f>VLOOKUP(B73, Raw!$A$8:$B$200, 2, FALSE)</f>
        <v>Number of registered customers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2:22" ht="1" customHeight="1" x14ac:dyDescent="0.4">
      <c r="B71" s="32"/>
      <c r="C71" s="20"/>
    </row>
    <row r="72" spans="2:22" x14ac:dyDescent="0.4">
      <c r="B72" s="3" t="s">
        <v>9</v>
      </c>
      <c r="C72" s="3" t="str">
        <f>IF(ISBLANK($D$6),"",(TEXT(($D$6),"mmm-yy")))</f>
        <v>Jan-20</v>
      </c>
      <c r="D72" s="3" t="str">
        <f>(TEXT(DATE(YEAR(C72),MONTH(C72)+1,DAY(C72)),"MMM-YY"))</f>
        <v>Feb-20</v>
      </c>
      <c r="E72" s="3" t="str">
        <f>(TEXT(DATE(YEAR(D72),MONTH(D72)+1,DAY(D72)),"MMM-YY"))</f>
        <v>Mar-20</v>
      </c>
      <c r="F72" s="3" t="str">
        <f>(TEXT(DATE(YEAR(E72),MONTH(E72)+1,DAY(E72)),"MMM-YY"))</f>
        <v>Apr-20</v>
      </c>
      <c r="G72" s="3" t="str">
        <f>(TEXT(DATE(YEAR(F72),MONTH(F72)+1,DAY(F72)),"MMM-YY"))</f>
        <v>May-20</v>
      </c>
      <c r="H72" s="3" t="str">
        <f>(TEXT(DATE(YEAR(G72),MONTH(G72)+1,DAY(G72)),"MMM-YY"))</f>
        <v>Jun-20</v>
      </c>
      <c r="I72" s="3" t="str">
        <f>(TEXT(DATE(YEAR(H72),MONTH(H72)+1,DAY(H72)),"MMM-YY"))</f>
        <v>Jul-20</v>
      </c>
      <c r="J72" s="3" t="str">
        <f>(TEXT(DATE(YEAR(I72),MONTH(I72)+1,DAY(I72)),"MMM-YY"))</f>
        <v>Aug-20</v>
      </c>
      <c r="K72" s="3" t="str">
        <f>(TEXT(DATE(YEAR(J72),MONTH(J72)+1,DAY(J72)),"MMM-YY"))</f>
        <v>Sep-20</v>
      </c>
      <c r="L72" s="3" t="str">
        <f>(TEXT(DATE(YEAR(K72),MONTH(K72)+1,DAY(K72)),"MMM-YY"))</f>
        <v>Oct-20</v>
      </c>
      <c r="M72" s="3" t="str">
        <f>(TEXT(DATE(YEAR(L72),MONTH(L72)+1,DAY(L72)),"MMM-YY"))</f>
        <v>Nov-20</v>
      </c>
      <c r="P72" s="19" t="str">
        <f>IFERROR(IF(DATEVALUE(M72)&gt;=DATEVALUE($EF$5),"",(TEXT(DATE(YEAR(M72),MONTH(M72)+1,DAY(M72)),"MMM-YY"))),"")</f>
        <v/>
      </c>
      <c r="Q72" s="19" t="str">
        <f>IFERROR(IF(DATEVALUE(P72)&gt;=DATEVALUE($EF$5),"",(TEXT(DATE(YEAR(P72),MONTH(P72)+1,DAY(P72)),"MMM-YY"))),"")</f>
        <v/>
      </c>
    </row>
    <row r="73" spans="2:22" x14ac:dyDescent="0.4">
      <c r="B73" s="18" t="s">
        <v>17</v>
      </c>
      <c r="C73" s="17">
        <f ca="1">IF(ISBLANK($D$6),"",(IFERROR(INDEX(Raw!$C$7:$EE$39,MATCH($B73,Raw!$C$7:$C$39,0),MATCH(C72,Raw!$C$7:$EE$7,0)),"")))</f>
        <v>97</v>
      </c>
      <c r="D73" s="17">
        <f ca="1">IF(ISBLANK($D$6),"",(IFERROR(INDEX(Raw!$C$7:$EE$39,MATCH($B73,Raw!$C$7:$C$39,0),MATCH(D72,Raw!$C$7:$EE$7,0)),"")))</f>
        <v>98</v>
      </c>
      <c r="E73" s="17">
        <f ca="1">IF(ISBLANK($D$6),"",(IFERROR(INDEX(Raw!$C$7:$EE$39,MATCH($B73,Raw!$C$7:$C$39,0),MATCH(E72,Raw!$C$7:$EE$7,0)),"")))</f>
        <v>99</v>
      </c>
      <c r="F73" s="17">
        <f ca="1">IF(ISBLANK($D$6),"",(IFERROR(INDEX(Raw!$C$7:$EE$39,MATCH($B73,Raw!$C$7:$C$39,0),MATCH(F72,Raw!$C$7:$EE$7,0)),"")))</f>
        <v>107</v>
      </c>
      <c r="G73" s="17">
        <f ca="1">IF(ISBLANK($D$6),"",(IFERROR(INDEX(Raw!$C$7:$EE$39,MATCH($B73,Raw!$C$7:$C$39,0),MATCH(G72,Raw!$C$7:$EE$7,0)),"")))</f>
        <v>115</v>
      </c>
      <c r="H73" s="17">
        <f ca="1">IF(ISBLANK($D$6),"",(IFERROR(INDEX(Raw!$C$7:$EE$39,MATCH($B73,Raw!$C$7:$C$39,0),MATCH(H72,Raw!$C$7:$EE$7,0)),"")))</f>
        <v>125</v>
      </c>
      <c r="I73" s="17">
        <f ca="1">IF(ISBLANK($D$6),"",(IFERROR(INDEX(Raw!$C$7:$EE$39,MATCH($B73,Raw!$C$7:$C$39,0),MATCH(I72,Raw!$C$7:$EE$7,0)),"")))</f>
        <v>126</v>
      </c>
      <c r="J73" s="17">
        <f ca="1">IF(ISBLANK($D$6),"",(IFERROR(INDEX(Raw!$C$7:$EE$39,MATCH($B73,Raw!$C$7:$C$39,0),MATCH(J72,Raw!$C$7:$EE$7,0)),"")))</f>
        <v>127</v>
      </c>
      <c r="K73" s="17">
        <f ca="1">IF(ISBLANK($D$6),"",(IFERROR(INDEX(Raw!$C$7:$EE$39,MATCH($B73,Raw!$C$7:$C$39,0),MATCH(K72,Raw!$C$7:$EE$7,0)),"")))</f>
        <v>131</v>
      </c>
      <c r="L73" s="17">
        <f ca="1">IF(ISBLANK($D$6),"",(IFERROR(INDEX(Raw!$C$7:$EE$39,MATCH($B73,Raw!$C$7:$C$39,0),MATCH(L72,Raw!$C$7:$EE$7,0)),"")))</f>
        <v>140</v>
      </c>
      <c r="M73" s="17">
        <f ca="1">IF(ISBLANK($D$6),"",(IFERROR(INDEX(Raw!$C$7:$EE$39,MATCH($B73,Raw!$C$7:$C$39,0),MATCH(M72,Raw!$C$7:$EE$7,0)),"")))</f>
        <v>144</v>
      </c>
      <c r="P73" s="17" t="str">
        <f>(IFERROR(INDEX(Raw!$C$7:$EE$39,MATCH(#REF!,Raw!$C$7:$C$39,0),MATCH(P$87,Raw!$C$7:$EE$7,0)),""))</f>
        <v/>
      </c>
      <c r="Q73" s="17" t="str">
        <f>(IFERROR(INDEX(Raw!$C$7:$EE$39,MATCH(#REF!,Raw!$C$7:$C$39,0),MATCH(Q$87,Raw!$C$7:$EE$7,0)),""))</f>
        <v/>
      </c>
    </row>
    <row r="76" spans="2:22" x14ac:dyDescent="0.4">
      <c r="R76" s="16"/>
      <c r="S76" s="16"/>
      <c r="T76" s="16"/>
      <c r="U76" s="16"/>
      <c r="V76" s="16"/>
    </row>
    <row r="77" spans="2:22" x14ac:dyDescent="0.4">
      <c r="R77" s="16"/>
      <c r="S77" s="16"/>
      <c r="T77" s="16"/>
      <c r="U77" s="16"/>
      <c r="V77" s="16"/>
    </row>
    <row r="78" spans="2:22" x14ac:dyDescent="0.4">
      <c r="R78" s="16"/>
      <c r="S78" s="16"/>
      <c r="T78" s="16"/>
      <c r="U78" s="16"/>
      <c r="V78" s="16"/>
    </row>
    <row r="79" spans="2:22" x14ac:dyDescent="0.4">
      <c r="R79" s="16"/>
      <c r="S79" s="16"/>
      <c r="T79" s="16"/>
      <c r="U79" s="16"/>
      <c r="V79" s="16"/>
    </row>
    <row r="80" spans="2:22" x14ac:dyDescent="0.4">
      <c r="R80" s="16"/>
      <c r="S80" s="16"/>
      <c r="T80" s="16"/>
      <c r="U80" s="16"/>
      <c r="V80" s="16"/>
    </row>
    <row r="81" spans="11:22" x14ac:dyDescent="0.4">
      <c r="R81" s="16"/>
      <c r="S81" s="16"/>
      <c r="T81" s="16"/>
      <c r="U81" s="16"/>
      <c r="V81" s="16"/>
    </row>
    <row r="82" spans="11:22" x14ac:dyDescent="0.4">
      <c r="R82" s="16"/>
      <c r="S82" s="16"/>
      <c r="T82" s="16"/>
      <c r="U82" s="16"/>
      <c r="V82" s="16"/>
    </row>
    <row r="83" spans="11:22" x14ac:dyDescent="0.4">
      <c r="R83" s="16"/>
      <c r="S83" s="16"/>
      <c r="T83" s="16"/>
      <c r="U83" s="16"/>
      <c r="V83" s="16"/>
    </row>
    <row r="84" spans="11:22" x14ac:dyDescent="0.4">
      <c r="R84" s="16"/>
      <c r="S84" s="16"/>
      <c r="T84" s="16"/>
      <c r="U84" s="16"/>
      <c r="V84" s="16"/>
    </row>
    <row r="85" spans="11:22" x14ac:dyDescent="0.4">
      <c r="R85" s="16"/>
      <c r="S85" s="16"/>
      <c r="T85" s="16"/>
      <c r="U85" s="16"/>
      <c r="V85" s="16"/>
    </row>
    <row r="91" spans="11:22" x14ac:dyDescent="0.4">
      <c r="K91" t="s">
        <v>1</v>
      </c>
    </row>
  </sheetData>
  <sheetProtection algorithmName="SHA-512" hashValue="I3soCQNaPsuaHaJS9sNzxIcdDMkYRyyJEr7yVy5NTI37Bwzv+3VUjCuvWIzL9lgjc5+wi81R8UllR1S/BiCtEA==" saltValue="qpLcLeOirQn6ir15A/FE+g==" spinCount="100000" sheet="1" objects="1" scenarios="1"/>
  <conditionalFormatting sqref="P12:Q13">
    <cfRule type="containsErrors" dxfId="80" priority="87">
      <formula>ISERROR(P12)</formula>
    </cfRule>
    <cfRule type="containsBlanks" dxfId="79" priority="88">
      <formula>LEN(TRIM(P12))=0</formula>
    </cfRule>
  </conditionalFormatting>
  <conditionalFormatting sqref="C11">
    <cfRule type="duplicateValues" dxfId="78" priority="86"/>
  </conditionalFormatting>
  <conditionalFormatting sqref="P32:Q33">
    <cfRule type="containsErrors" dxfId="77" priority="84">
      <formula>ISERROR(P32)</formula>
    </cfRule>
    <cfRule type="containsBlanks" dxfId="76" priority="85">
      <formula>LEN(TRIM(P32))=0</formula>
    </cfRule>
  </conditionalFormatting>
  <conditionalFormatting sqref="P52:Q53">
    <cfRule type="containsErrors" dxfId="75" priority="80">
      <formula>ISERROR(P52)</formula>
    </cfRule>
    <cfRule type="containsBlanks" dxfId="74" priority="81">
      <formula>LEN(TRIM(P52))=0</formula>
    </cfRule>
  </conditionalFormatting>
  <conditionalFormatting sqref="P72:Q73">
    <cfRule type="containsErrors" dxfId="73" priority="76">
      <formula>ISERROR(P72)</formula>
    </cfRule>
    <cfRule type="containsBlanks" dxfId="72" priority="77">
      <formula>LEN(TRIM(P72))=0</formula>
    </cfRule>
  </conditionalFormatting>
  <conditionalFormatting sqref="B12:M12 B32:M32 B52:M52 B72:M72">
    <cfRule type="expression" priority="49">
      <formula>$C$2="Blank"</formula>
    </cfRule>
  </conditionalFormatting>
  <conditionalFormatting sqref="B12:M12 B32:M32 B52:M52 B72:M72">
    <cfRule type="expression" dxfId="71" priority="89">
      <formula>$C$2="Summer"</formula>
    </cfRule>
    <cfRule type="expression" dxfId="70" priority="90">
      <formula>$C$2="Winter"</formula>
    </cfRule>
    <cfRule type="expression" dxfId="69" priority="91">
      <formula>$C$2="Autumn"</formula>
    </cfRule>
    <cfRule type="expression" dxfId="68" priority="92">
      <formula>$C$2="Spring"</formula>
    </cfRule>
  </conditionalFormatting>
  <conditionalFormatting sqref="C7:C8">
    <cfRule type="expression" priority="44">
      <formula>$C$2="Blank"</formula>
    </cfRule>
  </conditionalFormatting>
  <conditionalFormatting sqref="C7:C8">
    <cfRule type="expression" dxfId="67" priority="45">
      <formula>$C$2="Autumn"</formula>
    </cfRule>
    <cfRule type="expression" dxfId="66" priority="46">
      <formula>$C$2="Winter"</formula>
    </cfRule>
    <cfRule type="expression" dxfId="65" priority="47">
      <formula>$C$2="Summer"</formula>
    </cfRule>
    <cfRule type="expression" dxfId="64" priority="48">
      <formula>$C$2="Spring"</formula>
    </cfRule>
  </conditionalFormatting>
  <conditionalFormatting sqref="C31">
    <cfRule type="duplicateValues" dxfId="47" priority="43"/>
  </conditionalFormatting>
  <conditionalFormatting sqref="C51">
    <cfRule type="duplicateValues" dxfId="46" priority="42"/>
  </conditionalFormatting>
  <conditionalFormatting sqref="C71">
    <cfRule type="duplicateValues" dxfId="45" priority="41"/>
  </conditionalFormatting>
  <conditionalFormatting sqref="B10:M10">
    <cfRule type="expression" dxfId="19" priority="16">
      <formula>$C$2="Summer"</formula>
    </cfRule>
    <cfRule type="expression" dxfId="18" priority="17">
      <formula>$C$2="Winter"</formula>
    </cfRule>
    <cfRule type="expression" dxfId="17" priority="18">
      <formula>$C$2="Autumn"</formula>
    </cfRule>
    <cfRule type="expression" dxfId="16" priority="19">
      <formula>$C$2="Spring"</formula>
    </cfRule>
  </conditionalFormatting>
  <conditionalFormatting sqref="B10:M10">
    <cfRule type="notContainsBlanks" dxfId="15" priority="20">
      <formula>LEN(TRIM(B10))&gt;0</formula>
    </cfRule>
  </conditionalFormatting>
  <conditionalFormatting sqref="B30:M30">
    <cfRule type="expression" dxfId="14" priority="11">
      <formula>$C$2="Summer"</formula>
    </cfRule>
    <cfRule type="expression" dxfId="13" priority="12">
      <formula>$C$2="Winter"</formula>
    </cfRule>
    <cfRule type="expression" dxfId="12" priority="13">
      <formula>$C$2="Autumn"</formula>
    </cfRule>
    <cfRule type="expression" dxfId="11" priority="14">
      <formula>$C$2="Spring"</formula>
    </cfRule>
  </conditionalFormatting>
  <conditionalFormatting sqref="B30:M30">
    <cfRule type="notContainsBlanks" dxfId="10" priority="15">
      <formula>LEN(TRIM(B30))&gt;0</formula>
    </cfRule>
  </conditionalFormatting>
  <conditionalFormatting sqref="B50:M50">
    <cfRule type="expression" dxfId="9" priority="6">
      <formula>$C$2="Summer"</formula>
    </cfRule>
    <cfRule type="expression" dxfId="8" priority="7">
      <formula>$C$2="Winter"</formula>
    </cfRule>
    <cfRule type="expression" dxfId="7" priority="8">
      <formula>$C$2="Autumn"</formula>
    </cfRule>
    <cfRule type="expression" dxfId="6" priority="9">
      <formula>$C$2="Spring"</formula>
    </cfRule>
  </conditionalFormatting>
  <conditionalFormatting sqref="B50:M50">
    <cfRule type="notContainsBlanks" dxfId="5" priority="10">
      <formula>LEN(TRIM(B50))&gt;0</formula>
    </cfRule>
  </conditionalFormatting>
  <conditionalFormatting sqref="B70:M70">
    <cfRule type="expression" dxfId="4" priority="1">
      <formula>$C$2="Summer"</formula>
    </cfRule>
    <cfRule type="expression" dxfId="3" priority="2">
      <formula>$C$2="Winter"</formula>
    </cfRule>
    <cfRule type="expression" dxfId="2" priority="3">
      <formula>$C$2="Autumn"</formula>
    </cfRule>
    <cfRule type="expression" dxfId="1" priority="4">
      <formula>$C$2="Spring"</formula>
    </cfRule>
  </conditionalFormatting>
  <conditionalFormatting sqref="B70:M70">
    <cfRule type="notContainsBlanks" dxfId="0" priority="5">
      <formula>LEN(TRIM(B70))&gt;0</formula>
    </cfRule>
  </conditionalFormatting>
  <dataValidations count="1">
    <dataValidation type="list" allowBlank="1" showInputMessage="1" showErrorMessage="1" sqref="C10:C11 C30:C31 C50:C51 C70:C71" xr:uid="{2179E878-22B6-4EAE-B43C-AF69A57EAF2B}">
      <formula1>$D$6:$D$41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7ED9BDD-633B-4DC6-9A41-1A8574FD0996}">
          <x14:formula1>
            <xm:f>Lists!$E$11:$E$21</xm:f>
          </x14:formula1>
          <xm:sqref>C8</xm:sqref>
        </x14:dataValidation>
        <x14:dataValidation type="list" allowBlank="1" showInputMessage="1" showErrorMessage="1" xr:uid="{F1A5CE54-D3D1-4A6B-B27D-EBFE0B549EC6}">
          <x14:formula1>
            <xm:f>Lists!$C$11:$C$22</xm:f>
          </x14:formula1>
          <xm:sqref>C7</xm:sqref>
        </x14:dataValidation>
        <x14:dataValidation type="list" allowBlank="1" showInputMessage="1" showErrorMessage="1" xr:uid="{394BF927-283C-4426-8B1D-FB0C47EBB2B9}">
          <x14:formula1>
            <xm:f>Raw!$C$8:$C$200</xm:f>
          </x14:formula1>
          <xm:sqref>B13 B33 B53 B73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8169-491C-473C-A955-DC9B370E0249}">
  <dimension ref="A2:EH203"/>
  <sheetViews>
    <sheetView zoomScale="70" zoomScaleNormal="70" workbookViewId="0">
      <pane ySplit="7" topLeftCell="A8" activePane="bottomLeft" state="frozen"/>
      <selection activeCell="B2" sqref="B2"/>
      <selection pane="bottomLeft" activeCell="DL200" sqref="DL200"/>
    </sheetView>
  </sheetViews>
  <sheetFormatPr defaultRowHeight="14.6" x14ac:dyDescent="0.4"/>
  <cols>
    <col min="2" max="2" width="34.3828125" customWidth="1"/>
    <col min="3" max="3" width="16" customWidth="1"/>
    <col min="4" max="4" width="8.15234375" customWidth="1"/>
    <col min="5" max="5" width="8.53515625" customWidth="1"/>
    <col min="6" max="6" width="8" customWidth="1"/>
    <col min="7" max="7" width="7.69140625" customWidth="1"/>
    <col min="8" max="9" width="8.3828125" customWidth="1"/>
    <col min="10" max="10" width="8.23046875" customWidth="1"/>
    <col min="11" max="11" width="8.4609375" customWidth="1"/>
    <col min="12" max="12" width="8.53515625" customWidth="1"/>
    <col min="13" max="13" width="8" customWidth="1"/>
    <col min="14" max="14" width="8.3828125" customWidth="1"/>
    <col min="15" max="15" width="8.4609375" customWidth="1"/>
    <col min="16" max="16" width="8.15234375" customWidth="1"/>
    <col min="17" max="17" width="8.53515625" customWidth="1"/>
    <col min="18" max="18" width="8" customWidth="1"/>
    <col min="19" max="19" width="7.69140625" customWidth="1"/>
    <col min="20" max="21" width="8.3828125" customWidth="1"/>
    <col min="22" max="22" width="8.23046875" customWidth="1"/>
    <col min="23" max="23" width="8.4609375" customWidth="1"/>
    <col min="24" max="24" width="8.53515625" customWidth="1"/>
    <col min="25" max="25" width="8" customWidth="1"/>
    <col min="26" max="26" width="8.3828125" customWidth="1"/>
    <col min="27" max="27" width="8.4609375" customWidth="1"/>
    <col min="28" max="28" width="8.15234375" customWidth="1"/>
    <col min="29" max="29" width="8.53515625" customWidth="1"/>
    <col min="30" max="30" width="8" customWidth="1"/>
    <col min="31" max="31" width="7.69140625" customWidth="1"/>
    <col min="32" max="33" width="8.3828125" customWidth="1"/>
    <col min="34" max="34" width="8.23046875" customWidth="1"/>
    <col min="35" max="35" width="8.4609375" customWidth="1"/>
    <col min="36" max="36" width="8.53515625" customWidth="1"/>
    <col min="37" max="37" width="8" customWidth="1"/>
    <col min="38" max="38" width="8.3828125" customWidth="1"/>
    <col min="39" max="39" width="8.4609375" customWidth="1"/>
    <col min="40" max="40" width="8.15234375" customWidth="1"/>
    <col min="41" max="49" width="9.921875" customWidth="1"/>
    <col min="50" max="135" width="10.84375" customWidth="1"/>
  </cols>
  <sheetData>
    <row r="2" spans="1:138" ht="15.9" x14ac:dyDescent="0.45">
      <c r="C2" s="7" t="str">
        <f>'Set-up'!$C$2</f>
        <v>Spring</v>
      </c>
      <c r="H2" t="s">
        <v>16</v>
      </c>
    </row>
    <row r="3" spans="1:138" ht="15.9" x14ac:dyDescent="0.45">
      <c r="B3" s="7"/>
      <c r="H3" t="s">
        <v>51</v>
      </c>
    </row>
    <row r="4" spans="1:138" ht="44.25" customHeight="1" x14ac:dyDescent="0.4">
      <c r="H4" s="30" t="s">
        <v>52</v>
      </c>
      <c r="I4" s="30"/>
      <c r="J4" s="30"/>
      <c r="K4" s="30"/>
      <c r="L4" s="30"/>
      <c r="M4" s="30"/>
    </row>
    <row r="5" spans="1:138" ht="6.75" customHeight="1" x14ac:dyDescent="0.4">
      <c r="B5" s="7"/>
      <c r="C5" s="7"/>
      <c r="D5" s="7"/>
      <c r="E5" s="7"/>
      <c r="F5" s="7"/>
    </row>
    <row r="6" spans="1:138" s="2" customFormat="1" ht="4.8499999999999996" customHeight="1" x14ac:dyDescent="0.4">
      <c r="B6" s="14"/>
      <c r="C6" s="15" t="str">
        <f ca="1">TEXT(TODAY(), "Mmmm")</f>
        <v>October</v>
      </c>
      <c r="D6" s="15"/>
      <c r="E6" s="15" t="str">
        <f ca="1">TEXT(TODAY(), "Yyyy")</f>
        <v>2025</v>
      </c>
      <c r="F6" s="15"/>
    </row>
    <row r="7" spans="1:138" ht="23.15" customHeight="1" x14ac:dyDescent="0.4">
      <c r="B7" s="25" t="s">
        <v>15</v>
      </c>
      <c r="C7" s="3" t="s">
        <v>9</v>
      </c>
      <c r="D7" s="3" t="str">
        <f>TEXT(DATE(Lists!$E$11, MONTH(1), DAY(1)), "Mmm-YY")</f>
        <v>Jan-20</v>
      </c>
      <c r="E7" s="3" t="str">
        <f>TEXT(DATE(YEAR(D7), MONTH(D7)+1, DAY(D7)), "Mmm-yy")</f>
        <v>Feb-20</v>
      </c>
      <c r="F7" s="3" t="str">
        <f>TEXT(DATE(YEAR(E7), MONTH(E7)+1, DAY(E7)), "Mmm-yy")</f>
        <v>Mar-20</v>
      </c>
      <c r="G7" s="3" t="str">
        <f>TEXT(DATE(YEAR(F7), MONTH(F7)+1, DAY(F7)), "Mmm-yy")</f>
        <v>Apr-20</v>
      </c>
      <c r="H7" s="3" t="str">
        <f>TEXT(DATE(YEAR(G7), MONTH(G7)+1, DAY(G7)), "Mmm-yy")</f>
        <v>May-20</v>
      </c>
      <c r="I7" s="3" t="str">
        <f>TEXT(DATE(YEAR(H7), MONTH(H7)+1, DAY(H7)), "Mmm-yy")</f>
        <v>Jun-20</v>
      </c>
      <c r="J7" s="3" t="str">
        <f>TEXT(DATE(YEAR(I7), MONTH(I7)+1, DAY(I7)), "Mmm-yy")</f>
        <v>Jul-20</v>
      </c>
      <c r="K7" s="3" t="str">
        <f>TEXT(DATE(YEAR(J7), MONTH(J7)+1, DAY(J7)), "Mmm-yy")</f>
        <v>Aug-20</v>
      </c>
      <c r="L7" s="3" t="str">
        <f>TEXT(DATE(YEAR(K7), MONTH(K7)+1, DAY(K7)), "Mmm-yy")</f>
        <v>Sep-20</v>
      </c>
      <c r="M7" s="3" t="str">
        <f>TEXT(DATE(YEAR(L7), MONTH(L7)+1, DAY(L7)), "Mmm-yy")</f>
        <v>Oct-20</v>
      </c>
      <c r="N7" s="3" t="str">
        <f>TEXT(DATE(YEAR(M7), MONTH(M7)+1, DAY(M7)), "Mmm-yy")</f>
        <v>Nov-20</v>
      </c>
      <c r="O7" s="3" t="str">
        <f>TEXT(DATE(YEAR(N7), MONTH(N7)+1, DAY(N7)), "Mmm-yy")</f>
        <v>Dec-20</v>
      </c>
      <c r="P7" s="3" t="str">
        <f>TEXT(DATE(YEAR(O7), MONTH(O7)+1, DAY(O7)), "Mmm-yy")</f>
        <v>Jan-21</v>
      </c>
      <c r="Q7" s="3" t="str">
        <f>TEXT(DATE(YEAR(P7), MONTH(P7)+1, DAY(P7)), "Mmm-yy")</f>
        <v>Feb-21</v>
      </c>
      <c r="R7" s="3" t="str">
        <f>TEXT(DATE(YEAR(Q7), MONTH(Q7)+1, DAY(Q7)), "Mmm-yy")</f>
        <v>Mar-21</v>
      </c>
      <c r="S7" s="3" t="str">
        <f>TEXT(DATE(YEAR(R7), MONTH(R7)+1, DAY(R7)), "Mmm-yy")</f>
        <v>Apr-21</v>
      </c>
      <c r="T7" s="3" t="str">
        <f>TEXT(DATE(YEAR(S7), MONTH(S7)+1, DAY(S7)), "Mmm-yy")</f>
        <v>May-21</v>
      </c>
      <c r="U7" s="3" t="str">
        <f>TEXT(DATE(YEAR(T7), MONTH(T7)+1, DAY(T7)), "Mmm-yy")</f>
        <v>Jun-21</v>
      </c>
      <c r="V7" s="3" t="str">
        <f>TEXT(DATE(YEAR(U7), MONTH(U7)+1, DAY(U7)), "Mmm-yy")</f>
        <v>Jul-21</v>
      </c>
      <c r="W7" s="3" t="str">
        <f>TEXT(DATE(YEAR(V7), MONTH(V7)+1, DAY(V7)), "Mmm-yy")</f>
        <v>Aug-21</v>
      </c>
      <c r="X7" s="3" t="str">
        <f>TEXT(DATE(YEAR(W7), MONTH(W7)+1, DAY(W7)), "Mmm-yy")</f>
        <v>Sep-21</v>
      </c>
      <c r="Y7" s="3" t="str">
        <f>TEXT(DATE(YEAR(X7), MONTH(X7)+1, DAY(X7)), "Mmm-yy")</f>
        <v>Oct-21</v>
      </c>
      <c r="Z7" s="3" t="str">
        <f>TEXT(DATE(YEAR(Y7), MONTH(Y7)+1, DAY(Y7)), "Mmm-yy")</f>
        <v>Nov-21</v>
      </c>
      <c r="AA7" s="3" t="str">
        <f>TEXT(DATE(YEAR(Z7), MONTH(Z7)+1, DAY(Z7)), "Mmm-yy")</f>
        <v>Dec-21</v>
      </c>
      <c r="AB7" s="3" t="str">
        <f>TEXT(DATE(YEAR(AA7), MONTH(AA7)+1, DAY(AA7)), "Mmm-yy")</f>
        <v>Jan-22</v>
      </c>
      <c r="AC7" s="3" t="str">
        <f>TEXT(DATE(YEAR(AB7), MONTH(AB7)+1, DAY(AB7)), "Mmm-yy")</f>
        <v>Feb-22</v>
      </c>
      <c r="AD7" s="3" t="str">
        <f>TEXT(DATE(YEAR(AC7), MONTH(AC7)+1, DAY(AC7)), "Mmm-yy")</f>
        <v>Mar-22</v>
      </c>
      <c r="AE7" s="3" t="str">
        <f>TEXT(DATE(YEAR(AD7), MONTH(AD7)+1, DAY(AD7)), "Mmm-yy")</f>
        <v>Apr-22</v>
      </c>
      <c r="AF7" s="3" t="str">
        <f>TEXT(DATE(YEAR(AE7), MONTH(AE7)+1, DAY(AE7)), "Mmm-yy")</f>
        <v>May-22</v>
      </c>
      <c r="AG7" s="3" t="str">
        <f>TEXT(DATE(YEAR(AF7), MONTH(AF7)+1, DAY(AF7)), "Mmm-yy")</f>
        <v>Jun-22</v>
      </c>
      <c r="AH7" s="3" t="str">
        <f>TEXT(DATE(YEAR(AG7), MONTH(AG7)+1, DAY(AG7)), "Mmm-yy")</f>
        <v>Jul-22</v>
      </c>
      <c r="AI7" s="3" t="str">
        <f>TEXT(DATE(YEAR(AH7), MONTH(AH7)+1, DAY(AH7)), "Mmm-yy")</f>
        <v>Aug-22</v>
      </c>
      <c r="AJ7" s="3" t="str">
        <f>TEXT(DATE(YEAR(AI7), MONTH(AI7)+1, DAY(AI7)), "Mmm-yy")</f>
        <v>Sep-22</v>
      </c>
      <c r="AK7" s="3" t="str">
        <f>TEXT(DATE(YEAR(AJ7), MONTH(AJ7)+1, DAY(AJ7)), "Mmm-yy")</f>
        <v>Oct-22</v>
      </c>
      <c r="AL7" s="3" t="str">
        <f>TEXT(DATE(YEAR(AK7), MONTH(AK7)+1, DAY(AK7)), "Mmm-yy")</f>
        <v>Nov-22</v>
      </c>
      <c r="AM7" s="3" t="str">
        <f>TEXT(DATE(YEAR(AL7), MONTH(AL7)+1, DAY(AL7)), "Mmm-yy")</f>
        <v>Dec-22</v>
      </c>
      <c r="AN7" s="3" t="str">
        <f>TEXT(DATE(YEAR(AM7), MONTH(AM7)+1, DAY(AM7)), "Mmm-yy")</f>
        <v>Jan-23</v>
      </c>
      <c r="AO7" s="3" t="str">
        <f>TEXT(DATE(YEAR(AN7), MONTH(AN7)+1, DAY(AN7)), "Mmm-yy")</f>
        <v>Feb-23</v>
      </c>
      <c r="AP7" s="3" t="str">
        <f>TEXT(DATE(YEAR(AO7), MONTH(AO7)+1, DAY(AO7)), "Mmm-yy")</f>
        <v>Mar-23</v>
      </c>
      <c r="AQ7" s="3" t="str">
        <f>TEXT(DATE(YEAR(AP7), MONTH(AP7)+1, DAY(AP7)), "Mmm-yy")</f>
        <v>Apr-23</v>
      </c>
      <c r="AR7" s="3" t="str">
        <f>TEXT(DATE(YEAR(AQ7), MONTH(AQ7)+1, DAY(AQ7)), "Mmm-yy")</f>
        <v>May-23</v>
      </c>
      <c r="AS7" s="3" t="str">
        <f>TEXT(DATE(YEAR(AR7), MONTH(AR7)+1, DAY(AR7)), "Mmm-yy")</f>
        <v>Jun-23</v>
      </c>
      <c r="AT7" s="3" t="str">
        <f>TEXT(DATE(YEAR(AS7), MONTH(AS7)+1, DAY(AS7)), "Mmm-yy")</f>
        <v>Jul-23</v>
      </c>
      <c r="AU7" s="3" t="str">
        <f>TEXT(DATE(YEAR(AT7), MONTH(AT7)+1, DAY(AT7)), "Mmm-yy")</f>
        <v>Aug-23</v>
      </c>
      <c r="AV7" s="3" t="str">
        <f>TEXT(DATE(YEAR(AU7), MONTH(AU7)+1, DAY(AU7)), "Mmm-yy")</f>
        <v>Sep-23</v>
      </c>
      <c r="AW7" s="3" t="str">
        <f>TEXT(DATE(YEAR(AV7), MONTH(AV7)+1, DAY(AV7)), "Mmm-yy")</f>
        <v>Oct-23</v>
      </c>
      <c r="AX7" s="3" t="str">
        <f>TEXT(DATE(YEAR(AW7), MONTH(AW7)+1, DAY(AW7)), "Mmm-yy")</f>
        <v>Nov-23</v>
      </c>
      <c r="AY7" s="3" t="str">
        <f>TEXT(DATE(YEAR(AX7), MONTH(AX7)+1, DAY(AX7)), "Mmm-yy")</f>
        <v>Dec-23</v>
      </c>
      <c r="AZ7" s="3" t="str">
        <f>TEXT(DATE(YEAR(AY7), MONTH(AY7)+1, DAY(AY7)), "Mmm-yy")</f>
        <v>Jan-24</v>
      </c>
      <c r="BA7" s="3" t="str">
        <f>TEXT(DATE(YEAR(AZ7), MONTH(AZ7)+1, DAY(AZ7)), "Mmm-yy")</f>
        <v>Feb-24</v>
      </c>
      <c r="BB7" s="3" t="str">
        <f>TEXT(DATE(YEAR(BA7), MONTH(BA7)+1, DAY(BA7)), "Mmm-yy")</f>
        <v>Mar-24</v>
      </c>
      <c r="BC7" s="3" t="str">
        <f>TEXT(DATE(YEAR(BB7), MONTH(BB7)+1, DAY(BB7)), "Mmm-yy")</f>
        <v>Apr-24</v>
      </c>
      <c r="BD7" s="3" t="str">
        <f>TEXT(DATE(YEAR(BC7), MONTH(BC7)+1, DAY(BC7)), "Mmm-yy")</f>
        <v>May-24</v>
      </c>
      <c r="BE7" s="3" t="str">
        <f>TEXT(DATE(YEAR(BD7), MONTH(BD7)+1, DAY(BD7)), "Mmm-yy")</f>
        <v>Jun-24</v>
      </c>
      <c r="BF7" s="3" t="str">
        <f>TEXT(DATE(YEAR(BE7), MONTH(BE7)+1, DAY(BE7)), "Mmm-yy")</f>
        <v>Jul-24</v>
      </c>
      <c r="BG7" s="3" t="str">
        <f>TEXT(DATE(YEAR(BF7), MONTH(BF7)+1, DAY(BF7)), "Mmm-yy")</f>
        <v>Aug-24</v>
      </c>
      <c r="BH7" s="3" t="str">
        <f>TEXT(DATE(YEAR(BG7), MONTH(BG7)+1, DAY(BG7)), "Mmm-yy")</f>
        <v>Sep-24</v>
      </c>
      <c r="BI7" s="3" t="str">
        <f>TEXT(DATE(YEAR(BH7), MONTH(BH7)+1, DAY(BH7)), "Mmm-yy")</f>
        <v>Oct-24</v>
      </c>
      <c r="BJ7" s="3" t="str">
        <f>TEXT(DATE(YEAR(BI7), MONTH(BI7)+1, DAY(BI7)), "Mmm-yy")</f>
        <v>Nov-24</v>
      </c>
      <c r="BK7" s="3" t="str">
        <f>TEXT(DATE(YEAR(BJ7), MONTH(BJ7)+1, DAY(BJ7)), "Mmm-yy")</f>
        <v>Dec-24</v>
      </c>
      <c r="BL7" s="3" t="str">
        <f>TEXT(DATE(YEAR(BK7), MONTH(BK7)+1, DAY(BK7)), "Mmm-yy")</f>
        <v>Jan-25</v>
      </c>
      <c r="BM7" s="3" t="str">
        <f>TEXT(DATE(YEAR(BL7), MONTH(BL7)+1, DAY(BL7)), "Mmm-yy")</f>
        <v>Feb-25</v>
      </c>
      <c r="BN7" s="3" t="str">
        <f>TEXT(DATE(YEAR(BM7), MONTH(BM7)+1, DAY(BM7)), "Mmm-yy")</f>
        <v>Mar-25</v>
      </c>
      <c r="BO7" s="3" t="str">
        <f>TEXT(DATE(YEAR(BN7), MONTH(BN7)+1, DAY(BN7)), "Mmm-yy")</f>
        <v>Apr-25</v>
      </c>
      <c r="BP7" s="3" t="str">
        <f>TEXT(DATE(YEAR(BO7), MONTH(BO7)+1, DAY(BO7)), "Mmm-yy")</f>
        <v>May-25</v>
      </c>
      <c r="BQ7" s="3" t="str">
        <f>TEXT(DATE(YEAR(BP7), MONTH(BP7)+1, DAY(BP7)), "Mmm-yy")</f>
        <v>Jun-25</v>
      </c>
      <c r="BR7" s="3" t="str">
        <f>TEXT(DATE(YEAR(BQ7), MONTH(BQ7)+1, DAY(BQ7)), "Mmm-yy")</f>
        <v>Jul-25</v>
      </c>
      <c r="BS7" s="3" t="str">
        <f>TEXT(DATE(YEAR(BR7), MONTH(BR7)+1, DAY(BR7)), "Mmm-yy")</f>
        <v>Aug-25</v>
      </c>
      <c r="BT7" s="3" t="str">
        <f>TEXT(DATE(YEAR(BS7), MONTH(BS7)+1, DAY(BS7)), "Mmm-yy")</f>
        <v>Sep-25</v>
      </c>
      <c r="BU7" s="3" t="str">
        <f>TEXT(DATE(YEAR(BT7), MONTH(BT7)+1, DAY(BT7)), "Mmm-yy")</f>
        <v>Oct-25</v>
      </c>
      <c r="BV7" s="3" t="str">
        <f>TEXT(DATE(YEAR(BU7), MONTH(BU7)+1, DAY(BU7)), "Mmm-yy")</f>
        <v>Nov-25</v>
      </c>
      <c r="BW7" s="3" t="str">
        <f>TEXT(DATE(YEAR(BV7), MONTH(BV7)+1, DAY(BV7)), "Mmm-yy")</f>
        <v>Dec-25</v>
      </c>
      <c r="BX7" s="3" t="str">
        <f>TEXT(DATE(YEAR(BW7), MONTH(BW7)+1, DAY(BW7)), "Mmm-yy")</f>
        <v>Jan-26</v>
      </c>
      <c r="BY7" s="3" t="str">
        <f>TEXT(DATE(YEAR(BX7), MONTH(BX7)+1, DAY(BX7)), "Mmm-yy")</f>
        <v>Feb-26</v>
      </c>
      <c r="BZ7" s="3" t="str">
        <f>TEXT(DATE(YEAR(BY7), MONTH(BY7)+1, DAY(BY7)), "Mmm-yy")</f>
        <v>Mar-26</v>
      </c>
      <c r="CA7" s="3" t="str">
        <f>TEXT(DATE(YEAR(BZ7), MONTH(BZ7)+1, DAY(BZ7)), "Mmm-yy")</f>
        <v>Apr-26</v>
      </c>
      <c r="CB7" s="3" t="str">
        <f>TEXT(DATE(YEAR(CA7), MONTH(CA7)+1, DAY(CA7)), "Mmm-yy")</f>
        <v>May-26</v>
      </c>
      <c r="CC7" s="3" t="str">
        <f>TEXT(DATE(YEAR(CB7), MONTH(CB7)+1, DAY(CB7)), "Mmm-yy")</f>
        <v>Jun-26</v>
      </c>
      <c r="CD7" s="3" t="str">
        <f>TEXT(DATE(YEAR(CC7), MONTH(CC7)+1, DAY(CC7)), "Mmm-yy")</f>
        <v>Jul-26</v>
      </c>
      <c r="CE7" s="3" t="str">
        <f>TEXT(DATE(YEAR(CD7), MONTH(CD7)+1, DAY(CD7)), "Mmm-yy")</f>
        <v>Aug-26</v>
      </c>
      <c r="CF7" s="3" t="str">
        <f>TEXT(DATE(YEAR(CE7), MONTH(CE7)+1, DAY(CE7)), "Mmm-yy")</f>
        <v>Sep-26</v>
      </c>
      <c r="CG7" s="3" t="str">
        <f>TEXT(DATE(YEAR(CF7), MONTH(CF7)+1, DAY(CF7)), "Mmm-yy")</f>
        <v>Oct-26</v>
      </c>
      <c r="CH7" s="3" t="str">
        <f>TEXT(DATE(YEAR(CG7), MONTH(CG7)+1, DAY(CG7)), "Mmm-yy")</f>
        <v>Nov-26</v>
      </c>
      <c r="CI7" s="3" t="str">
        <f>TEXT(DATE(YEAR(CH7), MONTH(CH7)+1, DAY(CH7)), "Mmm-yy")</f>
        <v>Dec-26</v>
      </c>
      <c r="CJ7" s="3" t="str">
        <f>TEXT(DATE(YEAR(CI7), MONTH(CI7)+1, DAY(CI7)), "Mmm-yy")</f>
        <v>Jan-27</v>
      </c>
      <c r="CK7" s="3" t="str">
        <f>TEXT(DATE(YEAR(CJ7), MONTH(CJ7)+1, DAY(CJ7)), "Mmm-yy")</f>
        <v>Feb-27</v>
      </c>
      <c r="CL7" s="3" t="str">
        <f>TEXT(DATE(YEAR(CK7), MONTH(CK7)+1, DAY(CK7)), "Mmm-yy")</f>
        <v>Mar-27</v>
      </c>
      <c r="CM7" s="3" t="str">
        <f>TEXT(DATE(YEAR(CL7), MONTH(CL7)+1, DAY(CL7)), "Mmm-yy")</f>
        <v>Apr-27</v>
      </c>
      <c r="CN7" s="3" t="str">
        <f>TEXT(DATE(YEAR(CM7), MONTH(CM7)+1, DAY(CM7)), "Mmm-yy")</f>
        <v>May-27</v>
      </c>
      <c r="CO7" s="3" t="str">
        <f>TEXT(DATE(YEAR(CN7), MONTH(CN7)+1, DAY(CN7)), "Mmm-yy")</f>
        <v>Jun-27</v>
      </c>
      <c r="CP7" s="3" t="str">
        <f>TEXT(DATE(YEAR(CO7), MONTH(CO7)+1, DAY(CO7)), "Mmm-yy")</f>
        <v>Jul-27</v>
      </c>
      <c r="CQ7" s="3" t="str">
        <f>TEXT(DATE(YEAR(CP7), MONTH(CP7)+1, DAY(CP7)), "Mmm-yy")</f>
        <v>Aug-27</v>
      </c>
      <c r="CR7" s="3" t="str">
        <f>TEXT(DATE(YEAR(CQ7), MONTH(CQ7)+1, DAY(CQ7)), "Mmm-yy")</f>
        <v>Sep-27</v>
      </c>
      <c r="CS7" s="3" t="str">
        <f>TEXT(DATE(YEAR(CR7), MONTH(CR7)+1, DAY(CR7)), "Mmm-yy")</f>
        <v>Oct-27</v>
      </c>
      <c r="CT7" s="3" t="str">
        <f>TEXT(DATE(YEAR(CS7), MONTH(CS7)+1, DAY(CS7)), "Mmm-yy")</f>
        <v>Nov-27</v>
      </c>
      <c r="CU7" s="3" t="str">
        <f>TEXT(DATE(YEAR(CT7), MONTH(CT7)+1, DAY(CT7)), "Mmm-yy")</f>
        <v>Dec-27</v>
      </c>
      <c r="CV7" s="3" t="str">
        <f>TEXT(DATE(YEAR(CU7), MONTH(CU7)+1, DAY(CU7)), "Mmm-yy")</f>
        <v>Jan-28</v>
      </c>
      <c r="CW7" s="3" t="str">
        <f>TEXT(DATE(YEAR(CV7), MONTH(CV7)+1, DAY(CV7)), "Mmm-yy")</f>
        <v>Feb-28</v>
      </c>
      <c r="CX7" s="3" t="str">
        <f>TEXT(DATE(YEAR(CW7), MONTH(CW7)+1, DAY(CW7)), "Mmm-yy")</f>
        <v>Mar-28</v>
      </c>
      <c r="CY7" s="3" t="str">
        <f>TEXT(DATE(YEAR(CX7), MONTH(CX7)+1, DAY(CX7)), "Mmm-yy")</f>
        <v>Apr-28</v>
      </c>
      <c r="CZ7" s="3" t="str">
        <f>TEXT(DATE(YEAR(CY7), MONTH(CY7)+1, DAY(CY7)), "Mmm-yy")</f>
        <v>May-28</v>
      </c>
      <c r="DA7" s="3" t="str">
        <f>TEXT(DATE(YEAR(CZ7), MONTH(CZ7)+1, DAY(CZ7)), "Mmm-yy")</f>
        <v>Jun-28</v>
      </c>
      <c r="DB7" s="3" t="str">
        <f>TEXT(DATE(YEAR(DA7), MONTH(DA7)+1, DAY(DA7)), "Mmm-yy")</f>
        <v>Jul-28</v>
      </c>
      <c r="DC7" s="3" t="str">
        <f>TEXT(DATE(YEAR(DB7), MONTH(DB7)+1, DAY(DB7)), "Mmm-yy")</f>
        <v>Aug-28</v>
      </c>
      <c r="DD7" s="3" t="str">
        <f>TEXT(DATE(YEAR(DC7), MONTH(DC7)+1, DAY(DC7)), "Mmm-yy")</f>
        <v>Sep-28</v>
      </c>
      <c r="DE7" s="3" t="str">
        <f>TEXT(DATE(YEAR(DD7), MONTH(DD7)+1, DAY(DD7)), "Mmm-yy")</f>
        <v>Oct-28</v>
      </c>
      <c r="DF7" s="3" t="str">
        <f>TEXT(DATE(YEAR(DE7), MONTH(DE7)+1, DAY(DE7)), "Mmm-yy")</f>
        <v>Nov-28</v>
      </c>
      <c r="DG7" s="3" t="str">
        <f>TEXT(DATE(YEAR(DF7), MONTH(DF7)+1, DAY(DF7)), "Mmm-yy")</f>
        <v>Dec-28</v>
      </c>
      <c r="DH7" s="3" t="str">
        <f>TEXT(DATE(YEAR(DG7), MONTH(DG7)+1, DAY(DG7)), "Mmm-yy")</f>
        <v>Jan-29</v>
      </c>
      <c r="DI7" s="3" t="str">
        <f>TEXT(DATE(YEAR(DH7), MONTH(DH7)+1, DAY(DH7)), "Mmm-yy")</f>
        <v>Feb-29</v>
      </c>
      <c r="DJ7" s="3" t="str">
        <f>TEXT(DATE(YEAR(DI7), MONTH(DI7)+1, DAY(DI7)), "Mmm-yy")</f>
        <v>Mar-29</v>
      </c>
      <c r="DK7" s="3" t="str">
        <f>TEXT(DATE(YEAR(DJ7), MONTH(DJ7)+1, DAY(DJ7)), "Mmm-yy")</f>
        <v>Apr-29</v>
      </c>
      <c r="DL7" s="3" t="str">
        <f>TEXT(DATE(YEAR(DK7), MONTH(DK7)+1, DAY(DK7)), "Mmm-yy")</f>
        <v>May-29</v>
      </c>
      <c r="DM7" s="3" t="str">
        <f>TEXT(DATE(YEAR(DL7), MONTH(DL7)+1, DAY(DL7)), "Mmm-yy")</f>
        <v>Jun-29</v>
      </c>
      <c r="DN7" s="3" t="str">
        <f>TEXT(DATE(YEAR(DM7), MONTH(DM7)+1, DAY(DM7)), "Mmm-yy")</f>
        <v>Jul-29</v>
      </c>
      <c r="DO7" s="3" t="str">
        <f>TEXT(DATE(YEAR(DN7), MONTH(DN7)+1, DAY(DN7)), "Mmm-yy")</f>
        <v>Aug-29</v>
      </c>
      <c r="DP7" s="3" t="str">
        <f>TEXT(DATE(YEAR(DO7), MONTH(DO7)+1, DAY(DO7)), "Mmm-yy")</f>
        <v>Sep-29</v>
      </c>
      <c r="DQ7" s="3" t="str">
        <f>TEXT(DATE(YEAR(DP7), MONTH(DP7)+1, DAY(DP7)), "Mmm-yy")</f>
        <v>Oct-29</v>
      </c>
      <c r="DR7" s="3" t="str">
        <f>TEXT(DATE(YEAR(DQ7), MONTH(DQ7)+1, DAY(DQ7)), "Mmm-yy")</f>
        <v>Nov-29</v>
      </c>
      <c r="DS7" s="3" t="str">
        <f>TEXT(DATE(YEAR(DR7), MONTH(DR7)+1, DAY(DR7)), "Mmm-yy")</f>
        <v>Dec-29</v>
      </c>
      <c r="DT7" s="3" t="str">
        <f>TEXT(DATE(YEAR(DS7), MONTH(DS7)+1, DAY(DS7)), "Mmm-yy")</f>
        <v>Jan-30</v>
      </c>
      <c r="DU7" s="3" t="str">
        <f>TEXT(DATE(YEAR(DT7), MONTH(DT7)+1, DAY(DT7)), "Mmm-yy")</f>
        <v>Feb-30</v>
      </c>
      <c r="DV7" s="3" t="str">
        <f>TEXT(DATE(YEAR(DU7), MONTH(DU7)+1, DAY(DU7)), "Mmm-yy")</f>
        <v>Mar-30</v>
      </c>
      <c r="DW7" s="3" t="str">
        <f>TEXT(DATE(YEAR(DV7), MONTH(DV7)+1, DAY(DV7)), "Mmm-yy")</f>
        <v>Apr-30</v>
      </c>
      <c r="DX7" s="3" t="str">
        <f>TEXT(DATE(YEAR(DW7), MONTH(DW7)+1, DAY(DW7)), "Mmm-yy")</f>
        <v>May-30</v>
      </c>
      <c r="DY7" s="3" t="str">
        <f>TEXT(DATE(YEAR(DX7), MONTH(DX7)+1, DAY(DX7)), "Mmm-yy")</f>
        <v>Jun-30</v>
      </c>
      <c r="DZ7" s="3" t="str">
        <f>TEXT(DATE(YEAR(DY7), MONTH(DY7)+1, DAY(DY7)), "Mmm-yy")</f>
        <v>Jul-30</v>
      </c>
      <c r="EA7" s="3" t="str">
        <f>TEXT(DATE(YEAR(DZ7), MONTH(DZ7)+1, DAY(DZ7)), "Mmm-yy")</f>
        <v>Aug-30</v>
      </c>
      <c r="EB7" s="3" t="str">
        <f>TEXT(DATE(YEAR(EA7), MONTH(EA7)+1, DAY(EA7)), "Mmm-yy")</f>
        <v>Sep-30</v>
      </c>
      <c r="EC7" s="3" t="str">
        <f>TEXT(DATE(YEAR(EB7), MONTH(EB7)+1, DAY(EB7)), "Mmm-yy")</f>
        <v>Oct-30</v>
      </c>
      <c r="ED7" s="3" t="str">
        <f>TEXT(DATE(YEAR(EC7), MONTH(EC7)+1, DAY(EC7)), "Mmm-yy")</f>
        <v>Nov-30</v>
      </c>
      <c r="EE7" s="3" t="str">
        <f>TEXT(DATE(YEAR(ED7), MONTH(ED7)+1, DAY(ED7)), "Mmm-yy")</f>
        <v>Dec-30</v>
      </c>
      <c r="EF7" s="24"/>
      <c r="EG7" s="24"/>
      <c r="EH7" s="24"/>
    </row>
    <row r="8" spans="1:138" x14ac:dyDescent="0.4">
      <c r="A8" s="31" t="str">
        <f>IF(ISBLANK(C8), "", C8)</f>
        <v>KPI ID 1</v>
      </c>
      <c r="B8" s="49" t="s">
        <v>12</v>
      </c>
      <c r="C8" s="50" t="s">
        <v>17</v>
      </c>
      <c r="D8" s="51">
        <f ca="1">RANDBETWEEN(80, 100)</f>
        <v>97</v>
      </c>
      <c r="E8" s="51">
        <f ca="1">D8+RANDBETWEEN(1, 10)</f>
        <v>98</v>
      </c>
      <c r="F8" s="51">
        <f t="shared" ref="F8:BQ8" ca="1" si="0">E8+RANDBETWEEN(1, 10)</f>
        <v>99</v>
      </c>
      <c r="G8" s="51">
        <f t="shared" ca="1" si="0"/>
        <v>107</v>
      </c>
      <c r="H8" s="51">
        <f t="shared" ca="1" si="0"/>
        <v>115</v>
      </c>
      <c r="I8" s="51">
        <f t="shared" ca="1" si="0"/>
        <v>125</v>
      </c>
      <c r="J8" s="51">
        <f t="shared" ca="1" si="0"/>
        <v>126</v>
      </c>
      <c r="K8" s="51">
        <f t="shared" ca="1" si="0"/>
        <v>127</v>
      </c>
      <c r="L8" s="51">
        <f t="shared" ca="1" si="0"/>
        <v>131</v>
      </c>
      <c r="M8" s="51">
        <f t="shared" ca="1" si="0"/>
        <v>140</v>
      </c>
      <c r="N8" s="51">
        <f t="shared" ca="1" si="0"/>
        <v>144</v>
      </c>
      <c r="O8" s="51">
        <f t="shared" ca="1" si="0"/>
        <v>148</v>
      </c>
      <c r="P8" s="51">
        <f t="shared" ca="1" si="0"/>
        <v>158</v>
      </c>
      <c r="Q8" s="51">
        <f t="shared" ca="1" si="0"/>
        <v>167</v>
      </c>
      <c r="R8" s="51">
        <f t="shared" ca="1" si="0"/>
        <v>173</v>
      </c>
      <c r="S8" s="51">
        <f t="shared" ca="1" si="0"/>
        <v>183</v>
      </c>
      <c r="T8" s="51">
        <f t="shared" ca="1" si="0"/>
        <v>192</v>
      </c>
      <c r="U8" s="51">
        <f t="shared" ca="1" si="0"/>
        <v>202</v>
      </c>
      <c r="V8" s="51">
        <f t="shared" ca="1" si="0"/>
        <v>209</v>
      </c>
      <c r="W8" s="51">
        <f t="shared" ca="1" si="0"/>
        <v>215</v>
      </c>
      <c r="X8" s="51">
        <f t="shared" ca="1" si="0"/>
        <v>223</v>
      </c>
      <c r="Y8" s="51">
        <f t="shared" ca="1" si="0"/>
        <v>227</v>
      </c>
      <c r="Z8" s="51">
        <f t="shared" ca="1" si="0"/>
        <v>237</v>
      </c>
      <c r="AA8" s="51">
        <f t="shared" ca="1" si="0"/>
        <v>246</v>
      </c>
      <c r="AB8" s="51">
        <f t="shared" ca="1" si="0"/>
        <v>250</v>
      </c>
      <c r="AC8" s="51">
        <f t="shared" ca="1" si="0"/>
        <v>259</v>
      </c>
      <c r="AD8" s="51">
        <f t="shared" ca="1" si="0"/>
        <v>260</v>
      </c>
      <c r="AE8" s="51">
        <f t="shared" ca="1" si="0"/>
        <v>265</v>
      </c>
      <c r="AF8" s="51">
        <f t="shared" ca="1" si="0"/>
        <v>275</v>
      </c>
      <c r="AG8" s="51">
        <f t="shared" ca="1" si="0"/>
        <v>278</v>
      </c>
      <c r="AH8" s="51">
        <f t="shared" ca="1" si="0"/>
        <v>287</v>
      </c>
      <c r="AI8" s="51">
        <f t="shared" ca="1" si="0"/>
        <v>293</v>
      </c>
      <c r="AJ8" s="51">
        <f t="shared" ca="1" si="0"/>
        <v>297</v>
      </c>
      <c r="AK8" s="51">
        <f t="shared" ca="1" si="0"/>
        <v>300</v>
      </c>
      <c r="AL8" s="51">
        <f t="shared" ca="1" si="0"/>
        <v>303</v>
      </c>
      <c r="AM8" s="51">
        <f t="shared" ca="1" si="0"/>
        <v>306</v>
      </c>
      <c r="AN8" s="51">
        <f t="shared" ca="1" si="0"/>
        <v>315</v>
      </c>
      <c r="AO8" s="51">
        <f t="shared" ca="1" si="0"/>
        <v>323</v>
      </c>
      <c r="AP8" s="51">
        <f t="shared" ca="1" si="0"/>
        <v>325</v>
      </c>
      <c r="AQ8" s="51">
        <f t="shared" ca="1" si="0"/>
        <v>326</v>
      </c>
      <c r="AR8" s="51">
        <f t="shared" ca="1" si="0"/>
        <v>334</v>
      </c>
      <c r="AS8" s="51">
        <f t="shared" ca="1" si="0"/>
        <v>343</v>
      </c>
      <c r="AT8" s="51">
        <f t="shared" ca="1" si="0"/>
        <v>351</v>
      </c>
      <c r="AU8" s="51">
        <f t="shared" ca="1" si="0"/>
        <v>356</v>
      </c>
      <c r="AV8" s="51">
        <f t="shared" ca="1" si="0"/>
        <v>364</v>
      </c>
      <c r="AW8" s="51">
        <f t="shared" ca="1" si="0"/>
        <v>366</v>
      </c>
      <c r="AX8" s="51">
        <f t="shared" ca="1" si="0"/>
        <v>368</v>
      </c>
      <c r="AY8" s="51">
        <f t="shared" ca="1" si="0"/>
        <v>376</v>
      </c>
      <c r="AZ8" s="51">
        <f t="shared" ca="1" si="0"/>
        <v>381</v>
      </c>
      <c r="BA8" s="51">
        <f t="shared" ca="1" si="0"/>
        <v>386</v>
      </c>
      <c r="BB8" s="51">
        <f t="shared" ca="1" si="0"/>
        <v>393</v>
      </c>
      <c r="BC8" s="51">
        <f t="shared" ca="1" si="0"/>
        <v>394</v>
      </c>
      <c r="BD8" s="51">
        <f t="shared" ca="1" si="0"/>
        <v>398</v>
      </c>
      <c r="BE8" s="51">
        <f t="shared" ca="1" si="0"/>
        <v>406</v>
      </c>
      <c r="BF8" s="51">
        <f t="shared" ca="1" si="0"/>
        <v>408</v>
      </c>
      <c r="BG8" s="51">
        <f t="shared" ca="1" si="0"/>
        <v>413</v>
      </c>
      <c r="BH8" s="51">
        <f t="shared" ca="1" si="0"/>
        <v>423</v>
      </c>
      <c r="BI8" s="51">
        <f t="shared" ca="1" si="0"/>
        <v>430</v>
      </c>
      <c r="BJ8" s="51">
        <f t="shared" ca="1" si="0"/>
        <v>431</v>
      </c>
      <c r="BK8" s="51">
        <f t="shared" ca="1" si="0"/>
        <v>437</v>
      </c>
      <c r="BL8" s="51">
        <f t="shared" ca="1" si="0"/>
        <v>439</v>
      </c>
      <c r="BM8" s="51">
        <f t="shared" ca="1" si="0"/>
        <v>442</v>
      </c>
      <c r="BN8" s="51">
        <f t="shared" ca="1" si="0"/>
        <v>450</v>
      </c>
      <c r="BO8" s="51">
        <f t="shared" ca="1" si="0"/>
        <v>456</v>
      </c>
      <c r="BP8" s="51">
        <f t="shared" ca="1" si="0"/>
        <v>463</v>
      </c>
      <c r="BQ8" s="51">
        <f t="shared" ca="1" si="0"/>
        <v>473</v>
      </c>
      <c r="BR8" s="51">
        <f t="shared" ref="BR8:EC8" ca="1" si="1">BQ8+RANDBETWEEN(1, 10)</f>
        <v>475</v>
      </c>
      <c r="BS8" s="51">
        <f t="shared" ca="1" si="1"/>
        <v>480</v>
      </c>
      <c r="BT8" s="51">
        <f t="shared" ca="1" si="1"/>
        <v>482</v>
      </c>
      <c r="BU8" s="51">
        <f t="shared" ca="1" si="1"/>
        <v>485</v>
      </c>
      <c r="BV8" s="51">
        <f t="shared" ca="1" si="1"/>
        <v>489</v>
      </c>
      <c r="BW8" s="51">
        <f t="shared" ca="1" si="1"/>
        <v>496</v>
      </c>
      <c r="BX8" s="51">
        <f t="shared" ca="1" si="1"/>
        <v>502</v>
      </c>
      <c r="BY8" s="51">
        <f t="shared" ca="1" si="1"/>
        <v>506</v>
      </c>
      <c r="BZ8" s="51">
        <f t="shared" ca="1" si="1"/>
        <v>507</v>
      </c>
      <c r="CA8" s="51">
        <f t="shared" ca="1" si="1"/>
        <v>514</v>
      </c>
      <c r="CB8" s="51">
        <f t="shared" ca="1" si="1"/>
        <v>522</v>
      </c>
      <c r="CC8" s="51">
        <f t="shared" ca="1" si="1"/>
        <v>526</v>
      </c>
      <c r="CD8" s="51">
        <f t="shared" ca="1" si="1"/>
        <v>529</v>
      </c>
      <c r="CE8" s="51">
        <f t="shared" ca="1" si="1"/>
        <v>537</v>
      </c>
      <c r="CF8" s="51">
        <f t="shared" ca="1" si="1"/>
        <v>543</v>
      </c>
      <c r="CG8" s="51">
        <f t="shared" ca="1" si="1"/>
        <v>549</v>
      </c>
      <c r="CH8" s="51">
        <f t="shared" ca="1" si="1"/>
        <v>557</v>
      </c>
      <c r="CI8" s="51">
        <f t="shared" ca="1" si="1"/>
        <v>566</v>
      </c>
      <c r="CJ8" s="51">
        <f t="shared" ca="1" si="1"/>
        <v>568</v>
      </c>
      <c r="CK8" s="51">
        <f t="shared" ca="1" si="1"/>
        <v>569</v>
      </c>
      <c r="CL8" s="51">
        <f t="shared" ca="1" si="1"/>
        <v>571</v>
      </c>
      <c r="CM8" s="51">
        <f t="shared" ca="1" si="1"/>
        <v>574</v>
      </c>
      <c r="CN8" s="51">
        <f t="shared" ca="1" si="1"/>
        <v>580</v>
      </c>
      <c r="CO8" s="51">
        <f t="shared" ca="1" si="1"/>
        <v>582</v>
      </c>
      <c r="CP8" s="51">
        <f t="shared" ca="1" si="1"/>
        <v>587</v>
      </c>
      <c r="CQ8" s="51">
        <f t="shared" ca="1" si="1"/>
        <v>591</v>
      </c>
      <c r="CR8" s="51">
        <f t="shared" ca="1" si="1"/>
        <v>599</v>
      </c>
      <c r="CS8" s="51">
        <f t="shared" ca="1" si="1"/>
        <v>608</v>
      </c>
      <c r="CT8" s="51">
        <f t="shared" ca="1" si="1"/>
        <v>617</v>
      </c>
      <c r="CU8" s="51">
        <f t="shared" ca="1" si="1"/>
        <v>622</v>
      </c>
      <c r="CV8" s="51">
        <f t="shared" ca="1" si="1"/>
        <v>625</v>
      </c>
      <c r="CW8" s="51">
        <f t="shared" ca="1" si="1"/>
        <v>629</v>
      </c>
      <c r="CX8" s="51">
        <f t="shared" ca="1" si="1"/>
        <v>633</v>
      </c>
      <c r="CY8" s="51">
        <f t="shared" ca="1" si="1"/>
        <v>637</v>
      </c>
      <c r="CZ8" s="51">
        <f t="shared" ca="1" si="1"/>
        <v>638</v>
      </c>
      <c r="DA8" s="51">
        <f t="shared" ca="1" si="1"/>
        <v>647</v>
      </c>
      <c r="DB8" s="51">
        <f t="shared" ca="1" si="1"/>
        <v>656</v>
      </c>
      <c r="DC8" s="51">
        <f t="shared" ca="1" si="1"/>
        <v>658</v>
      </c>
      <c r="DD8" s="51">
        <f t="shared" ca="1" si="1"/>
        <v>659</v>
      </c>
      <c r="DE8" s="51">
        <f t="shared" ca="1" si="1"/>
        <v>661</v>
      </c>
      <c r="DF8" s="51">
        <f t="shared" ca="1" si="1"/>
        <v>667</v>
      </c>
      <c r="DG8" s="51">
        <f t="shared" ca="1" si="1"/>
        <v>671</v>
      </c>
      <c r="DH8" s="51">
        <f t="shared" ca="1" si="1"/>
        <v>676</v>
      </c>
      <c r="DI8" s="51">
        <f t="shared" ca="1" si="1"/>
        <v>685</v>
      </c>
      <c r="DJ8" s="51">
        <f t="shared" ca="1" si="1"/>
        <v>693</v>
      </c>
      <c r="DK8" s="51">
        <f t="shared" ca="1" si="1"/>
        <v>701</v>
      </c>
      <c r="DL8" s="51">
        <f t="shared" ca="1" si="1"/>
        <v>710</v>
      </c>
      <c r="DM8" s="51">
        <f t="shared" ca="1" si="1"/>
        <v>717</v>
      </c>
      <c r="DN8" s="51">
        <f t="shared" ca="1" si="1"/>
        <v>725</v>
      </c>
      <c r="DO8" s="51">
        <f t="shared" ca="1" si="1"/>
        <v>733</v>
      </c>
      <c r="DP8" s="51">
        <f t="shared" ca="1" si="1"/>
        <v>736</v>
      </c>
      <c r="DQ8" s="51">
        <f t="shared" ca="1" si="1"/>
        <v>745</v>
      </c>
      <c r="DR8" s="51">
        <f t="shared" ca="1" si="1"/>
        <v>749</v>
      </c>
      <c r="DS8" s="51">
        <f t="shared" ca="1" si="1"/>
        <v>750</v>
      </c>
      <c r="DT8" s="51">
        <f t="shared" ca="1" si="1"/>
        <v>753</v>
      </c>
      <c r="DU8" s="51">
        <f t="shared" ca="1" si="1"/>
        <v>762</v>
      </c>
      <c r="DV8" s="51">
        <f t="shared" ca="1" si="1"/>
        <v>772</v>
      </c>
      <c r="DW8" s="51">
        <f t="shared" ca="1" si="1"/>
        <v>777</v>
      </c>
      <c r="DX8" s="51">
        <f t="shared" ca="1" si="1"/>
        <v>786</v>
      </c>
      <c r="DY8" s="51">
        <f t="shared" ca="1" si="1"/>
        <v>787</v>
      </c>
      <c r="DZ8" s="51">
        <f t="shared" ca="1" si="1"/>
        <v>789</v>
      </c>
      <c r="EA8" s="51">
        <f t="shared" ca="1" si="1"/>
        <v>792</v>
      </c>
      <c r="EB8" s="51">
        <f t="shared" ca="1" si="1"/>
        <v>798</v>
      </c>
      <c r="EC8" s="51">
        <f t="shared" ca="1" si="1"/>
        <v>808</v>
      </c>
      <c r="ED8" s="51">
        <f t="shared" ref="ED8:EE8" ca="1" si="2">EC8+RANDBETWEEN(1, 10)</f>
        <v>811</v>
      </c>
      <c r="EE8" s="51">
        <f t="shared" ca="1" si="2"/>
        <v>817</v>
      </c>
    </row>
    <row r="9" spans="1:138" ht="29.15" x14ac:dyDescent="0.4">
      <c r="A9" s="31" t="str">
        <f t="shared" ref="A9:A72" si="3">IF(ISBLANK(C9), "", C9)</f>
        <v>KPI ID 1 %</v>
      </c>
      <c r="B9" s="49" t="s">
        <v>13</v>
      </c>
      <c r="C9" s="50" t="s">
        <v>18</v>
      </c>
      <c r="D9" s="51">
        <f ca="1">D8/D8*100</f>
        <v>100</v>
      </c>
      <c r="E9" s="51">
        <f ca="1">(E8-D8)/D8*100</f>
        <v>1.0309278350515463</v>
      </c>
      <c r="F9" s="51">
        <f t="shared" ref="F9:BQ9" ca="1" si="4">(F8-E8)/E8*100</f>
        <v>1.0204081632653061</v>
      </c>
      <c r="G9" s="51">
        <f t="shared" ca="1" si="4"/>
        <v>8.0808080808080813</v>
      </c>
      <c r="H9" s="51">
        <f t="shared" ca="1" si="4"/>
        <v>7.4766355140186906</v>
      </c>
      <c r="I9" s="51">
        <f t="shared" ca="1" si="4"/>
        <v>8.695652173913043</v>
      </c>
      <c r="J9" s="51">
        <f t="shared" ca="1" si="4"/>
        <v>0.8</v>
      </c>
      <c r="K9" s="51">
        <f t="shared" ca="1" si="4"/>
        <v>0.79365079365079361</v>
      </c>
      <c r="L9" s="51">
        <f t="shared" ca="1" si="4"/>
        <v>3.1496062992125982</v>
      </c>
      <c r="M9" s="51">
        <f t="shared" ca="1" si="4"/>
        <v>6.8702290076335881</v>
      </c>
      <c r="N9" s="51">
        <f t="shared" ca="1" si="4"/>
        <v>2.8571428571428572</v>
      </c>
      <c r="O9" s="51">
        <f t="shared" ca="1" si="4"/>
        <v>2.7777777777777777</v>
      </c>
      <c r="P9" s="51">
        <f t="shared" ca="1" si="4"/>
        <v>6.756756756756757</v>
      </c>
      <c r="Q9" s="51">
        <f t="shared" ca="1" si="4"/>
        <v>5.6962025316455698</v>
      </c>
      <c r="R9" s="51">
        <f t="shared" ca="1" si="4"/>
        <v>3.5928143712574849</v>
      </c>
      <c r="S9" s="51">
        <f t="shared" ca="1" si="4"/>
        <v>5.7803468208092488</v>
      </c>
      <c r="T9" s="51">
        <f t="shared" ca="1" si="4"/>
        <v>4.918032786885246</v>
      </c>
      <c r="U9" s="51">
        <f t="shared" ca="1" si="4"/>
        <v>5.2083333333333339</v>
      </c>
      <c r="V9" s="51">
        <f t="shared" ca="1" si="4"/>
        <v>3.4653465346534658</v>
      </c>
      <c r="W9" s="51">
        <f t="shared" ca="1" si="4"/>
        <v>2.8708133971291865</v>
      </c>
      <c r="X9" s="51">
        <f t="shared" ca="1" si="4"/>
        <v>3.7209302325581395</v>
      </c>
      <c r="Y9" s="51">
        <f t="shared" ca="1" si="4"/>
        <v>1.7937219730941705</v>
      </c>
      <c r="Z9" s="51">
        <f t="shared" ca="1" si="4"/>
        <v>4.4052863436123353</v>
      </c>
      <c r="AA9" s="51">
        <f t="shared" ca="1" si="4"/>
        <v>3.79746835443038</v>
      </c>
      <c r="AB9" s="51">
        <f t="shared" ca="1" si="4"/>
        <v>1.6260162601626018</v>
      </c>
      <c r="AC9" s="51">
        <f t="shared" ca="1" si="4"/>
        <v>3.5999999999999996</v>
      </c>
      <c r="AD9" s="51">
        <f t="shared" ca="1" si="4"/>
        <v>0.38610038610038611</v>
      </c>
      <c r="AE9" s="51">
        <f t="shared" ca="1" si="4"/>
        <v>1.9230769230769231</v>
      </c>
      <c r="AF9" s="51">
        <f t="shared" ca="1" si="4"/>
        <v>3.7735849056603774</v>
      </c>
      <c r="AG9" s="51">
        <f t="shared" ca="1" si="4"/>
        <v>1.0909090909090911</v>
      </c>
      <c r="AH9" s="51">
        <f t="shared" ca="1" si="4"/>
        <v>3.2374100719424459</v>
      </c>
      <c r="AI9" s="51">
        <f t="shared" ca="1" si="4"/>
        <v>2.0905923344947737</v>
      </c>
      <c r="AJ9" s="51">
        <f t="shared" ca="1" si="4"/>
        <v>1.3651877133105803</v>
      </c>
      <c r="AK9" s="51">
        <f t="shared" ca="1" si="4"/>
        <v>1.0101010101010102</v>
      </c>
      <c r="AL9" s="51">
        <f t="shared" ca="1" si="4"/>
        <v>1</v>
      </c>
      <c r="AM9" s="51">
        <f t="shared" ca="1" si="4"/>
        <v>0.99009900990099009</v>
      </c>
      <c r="AN9" s="51">
        <f t="shared" ca="1" si="4"/>
        <v>2.9411764705882351</v>
      </c>
      <c r="AO9" s="51">
        <f t="shared" ca="1" si="4"/>
        <v>2.5396825396825395</v>
      </c>
      <c r="AP9" s="51">
        <f t="shared" ca="1" si="4"/>
        <v>0.61919504643962853</v>
      </c>
      <c r="AQ9" s="51">
        <f t="shared" ca="1" si="4"/>
        <v>0.30769230769230771</v>
      </c>
      <c r="AR9" s="51">
        <f t="shared" ca="1" si="4"/>
        <v>2.4539877300613497</v>
      </c>
      <c r="AS9" s="51">
        <f t="shared" ca="1" si="4"/>
        <v>2.6946107784431139</v>
      </c>
      <c r="AT9" s="51">
        <f t="shared" ca="1" si="4"/>
        <v>2.3323615160349855</v>
      </c>
      <c r="AU9" s="51">
        <f t="shared" ca="1" si="4"/>
        <v>1.4245014245014245</v>
      </c>
      <c r="AV9" s="51">
        <f t="shared" ca="1" si="4"/>
        <v>2.2471910112359552</v>
      </c>
      <c r="AW9" s="51">
        <f t="shared" ca="1" si="4"/>
        <v>0.5494505494505495</v>
      </c>
      <c r="AX9" s="51">
        <f t="shared" ca="1" si="4"/>
        <v>0.54644808743169404</v>
      </c>
      <c r="AY9" s="51">
        <f t="shared" ca="1" si="4"/>
        <v>2.1739130434782608</v>
      </c>
      <c r="AZ9" s="51">
        <f t="shared" ca="1" si="4"/>
        <v>1.3297872340425532</v>
      </c>
      <c r="BA9" s="51">
        <f t="shared" ca="1" si="4"/>
        <v>1.3123359580052494</v>
      </c>
      <c r="BB9" s="51">
        <f t="shared" ca="1" si="4"/>
        <v>1.8134715025906734</v>
      </c>
      <c r="BC9" s="51">
        <f t="shared" ca="1" si="4"/>
        <v>0.2544529262086514</v>
      </c>
      <c r="BD9" s="51">
        <f t="shared" ca="1" si="4"/>
        <v>1.015228426395939</v>
      </c>
      <c r="BE9" s="51">
        <f t="shared" ca="1" si="4"/>
        <v>2.0100502512562812</v>
      </c>
      <c r="BF9" s="51">
        <f t="shared" ca="1" si="4"/>
        <v>0.49261083743842365</v>
      </c>
      <c r="BG9" s="51">
        <f t="shared" ca="1" si="4"/>
        <v>1.2254901960784315</v>
      </c>
      <c r="BH9" s="51">
        <f t="shared" ca="1" si="4"/>
        <v>2.4213075060532687</v>
      </c>
      <c r="BI9" s="51">
        <f t="shared" ca="1" si="4"/>
        <v>1.6548463356973995</v>
      </c>
      <c r="BJ9" s="51">
        <f t="shared" ca="1" si="4"/>
        <v>0.23255813953488372</v>
      </c>
      <c r="BK9" s="51">
        <f t="shared" ca="1" si="4"/>
        <v>1.3921113689095126</v>
      </c>
      <c r="BL9" s="51">
        <f t="shared" ca="1" si="4"/>
        <v>0.45766590389016021</v>
      </c>
      <c r="BM9" s="51">
        <f t="shared" ca="1" si="4"/>
        <v>0.68337129840546695</v>
      </c>
      <c r="BN9" s="51">
        <f t="shared" ca="1" si="4"/>
        <v>1.809954751131222</v>
      </c>
      <c r="BO9" s="51">
        <f t="shared" ca="1" si="4"/>
        <v>1.3333333333333335</v>
      </c>
      <c r="BP9" s="51">
        <f t="shared" ca="1" si="4"/>
        <v>1.5350877192982455</v>
      </c>
      <c r="BQ9" s="51">
        <f t="shared" ca="1" si="4"/>
        <v>2.159827213822894</v>
      </c>
      <c r="BR9" s="51">
        <f t="shared" ref="BR9:EC9" ca="1" si="5">(BR8-BQ8)/BQ8*100</f>
        <v>0.42283298097251587</v>
      </c>
      <c r="BS9" s="51">
        <f t="shared" ca="1" si="5"/>
        <v>1.0526315789473684</v>
      </c>
      <c r="BT9" s="51">
        <f t="shared" ca="1" si="5"/>
        <v>0.41666666666666669</v>
      </c>
      <c r="BU9" s="51">
        <f t="shared" ca="1" si="5"/>
        <v>0.62240663900414939</v>
      </c>
      <c r="BV9" s="51">
        <f t="shared" ca="1" si="5"/>
        <v>0.82474226804123718</v>
      </c>
      <c r="BW9" s="51">
        <f t="shared" ca="1" si="5"/>
        <v>1.4314928425357873</v>
      </c>
      <c r="BX9" s="51">
        <f t="shared" ca="1" si="5"/>
        <v>1.2096774193548387</v>
      </c>
      <c r="BY9" s="51">
        <f t="shared" ca="1" si="5"/>
        <v>0.79681274900398402</v>
      </c>
      <c r="BZ9" s="51">
        <f t="shared" ca="1" si="5"/>
        <v>0.19762845849802371</v>
      </c>
      <c r="CA9" s="51">
        <f t="shared" ca="1" si="5"/>
        <v>1.3806706114398422</v>
      </c>
      <c r="CB9" s="51">
        <f t="shared" ca="1" si="5"/>
        <v>1.556420233463035</v>
      </c>
      <c r="CC9" s="51">
        <f t="shared" ca="1" si="5"/>
        <v>0.76628352490421447</v>
      </c>
      <c r="CD9" s="51">
        <f t="shared" ca="1" si="5"/>
        <v>0.57034220532319391</v>
      </c>
      <c r="CE9" s="51">
        <f t="shared" ca="1" si="5"/>
        <v>1.5122873345935728</v>
      </c>
      <c r="CF9" s="51">
        <f t="shared" ca="1" si="5"/>
        <v>1.1173184357541899</v>
      </c>
      <c r="CG9" s="51">
        <f t="shared" ca="1" si="5"/>
        <v>1.1049723756906076</v>
      </c>
      <c r="CH9" s="51">
        <f t="shared" ca="1" si="5"/>
        <v>1.4571948998178506</v>
      </c>
      <c r="CI9" s="51">
        <f t="shared" ca="1" si="5"/>
        <v>1.6157989228007179</v>
      </c>
      <c r="CJ9" s="51">
        <f t="shared" ca="1" si="5"/>
        <v>0.35335689045936397</v>
      </c>
      <c r="CK9" s="51">
        <f t="shared" ca="1" si="5"/>
        <v>0.17605633802816903</v>
      </c>
      <c r="CL9" s="51">
        <f t="shared" ca="1" si="5"/>
        <v>0.35149384885764495</v>
      </c>
      <c r="CM9" s="51">
        <f t="shared" ca="1" si="5"/>
        <v>0.52539404553415059</v>
      </c>
      <c r="CN9" s="51">
        <f t="shared" ca="1" si="5"/>
        <v>1.0452961672473868</v>
      </c>
      <c r="CO9" s="51">
        <f t="shared" ca="1" si="5"/>
        <v>0.34482758620689657</v>
      </c>
      <c r="CP9" s="51">
        <f t="shared" ca="1" si="5"/>
        <v>0.85910652920962205</v>
      </c>
      <c r="CQ9" s="51">
        <f t="shared" ca="1" si="5"/>
        <v>0.68143100511073251</v>
      </c>
      <c r="CR9" s="51">
        <f t="shared" ca="1" si="5"/>
        <v>1.3536379018612521</v>
      </c>
      <c r="CS9" s="51">
        <f t="shared" ca="1" si="5"/>
        <v>1.5025041736227045</v>
      </c>
      <c r="CT9" s="51">
        <f t="shared" ca="1" si="5"/>
        <v>1.4802631578947367</v>
      </c>
      <c r="CU9" s="51">
        <f t="shared" ca="1" si="5"/>
        <v>0.81037277147487841</v>
      </c>
      <c r="CV9" s="51">
        <f t="shared" ca="1" si="5"/>
        <v>0.48231511254019299</v>
      </c>
      <c r="CW9" s="51">
        <f t="shared" ca="1" si="5"/>
        <v>0.64</v>
      </c>
      <c r="CX9" s="51">
        <f t="shared" ca="1" si="5"/>
        <v>0.63593004769475359</v>
      </c>
      <c r="CY9" s="51">
        <f t="shared" ca="1" si="5"/>
        <v>0.63191153238546605</v>
      </c>
      <c r="CZ9" s="51">
        <f t="shared" ca="1" si="5"/>
        <v>0.15698587127158556</v>
      </c>
      <c r="DA9" s="51">
        <f t="shared" ca="1" si="5"/>
        <v>1.4106583072100314</v>
      </c>
      <c r="DB9" s="51">
        <f t="shared" ca="1" si="5"/>
        <v>1.3910355486862442</v>
      </c>
      <c r="DC9" s="51">
        <f t="shared" ca="1" si="5"/>
        <v>0.3048780487804878</v>
      </c>
      <c r="DD9" s="51">
        <f t="shared" ca="1" si="5"/>
        <v>0.1519756838905775</v>
      </c>
      <c r="DE9" s="51">
        <f t="shared" ca="1" si="5"/>
        <v>0.30349013657056145</v>
      </c>
      <c r="DF9" s="51">
        <f t="shared" ca="1" si="5"/>
        <v>0.90771558245083206</v>
      </c>
      <c r="DG9" s="51">
        <f t="shared" ca="1" si="5"/>
        <v>0.59970014992503751</v>
      </c>
      <c r="DH9" s="51">
        <f t="shared" ca="1" si="5"/>
        <v>0.7451564828614009</v>
      </c>
      <c r="DI9" s="51">
        <f t="shared" ca="1" si="5"/>
        <v>1.3313609467455623</v>
      </c>
      <c r="DJ9" s="51">
        <f t="shared" ca="1" si="5"/>
        <v>1.167883211678832</v>
      </c>
      <c r="DK9" s="51">
        <f t="shared" ca="1" si="5"/>
        <v>1.1544011544011543</v>
      </c>
      <c r="DL9" s="51">
        <f t="shared" ca="1" si="5"/>
        <v>1.2838801711840229</v>
      </c>
      <c r="DM9" s="51">
        <f t="shared" ca="1" si="5"/>
        <v>0.9859154929577465</v>
      </c>
      <c r="DN9" s="51">
        <f t="shared" ca="1" si="5"/>
        <v>1.1157601115760112</v>
      </c>
      <c r="DO9" s="51">
        <f t="shared" ca="1" si="5"/>
        <v>1.103448275862069</v>
      </c>
      <c r="DP9" s="51">
        <f t="shared" ca="1" si="5"/>
        <v>0.40927694406548432</v>
      </c>
      <c r="DQ9" s="51">
        <f t="shared" ca="1" si="5"/>
        <v>1.2228260869565217</v>
      </c>
      <c r="DR9" s="51">
        <f t="shared" ca="1" si="5"/>
        <v>0.53691275167785235</v>
      </c>
      <c r="DS9" s="51">
        <f t="shared" ca="1" si="5"/>
        <v>0.13351134846461948</v>
      </c>
      <c r="DT9" s="51">
        <f t="shared" ca="1" si="5"/>
        <v>0.4</v>
      </c>
      <c r="DU9" s="51">
        <f t="shared" ca="1" si="5"/>
        <v>1.1952191235059761</v>
      </c>
      <c r="DV9" s="51">
        <f t="shared" ca="1" si="5"/>
        <v>1.3123359580052494</v>
      </c>
      <c r="DW9" s="51">
        <f t="shared" ca="1" si="5"/>
        <v>0.64766839378238339</v>
      </c>
      <c r="DX9" s="51">
        <f t="shared" ca="1" si="5"/>
        <v>1.1583011583011582</v>
      </c>
      <c r="DY9" s="51">
        <f t="shared" ca="1" si="5"/>
        <v>0.1272264631043257</v>
      </c>
      <c r="DZ9" s="51">
        <f t="shared" ca="1" si="5"/>
        <v>0.25412960609911056</v>
      </c>
      <c r="EA9" s="51">
        <f t="shared" ca="1" si="5"/>
        <v>0.38022813688212925</v>
      </c>
      <c r="EB9" s="51">
        <f t="shared" ca="1" si="5"/>
        <v>0.75757575757575757</v>
      </c>
      <c r="EC9" s="51">
        <f t="shared" ca="1" si="5"/>
        <v>1.2531328320802004</v>
      </c>
      <c r="ED9" s="51">
        <f t="shared" ref="ED9:EE9" ca="1" si="6">(ED8-EC8)/EC8*100</f>
        <v>0.37128712871287128</v>
      </c>
      <c r="EE9" s="51">
        <f t="shared" ca="1" si="6"/>
        <v>0.73982737361282369</v>
      </c>
    </row>
    <row r="10" spans="1:138" ht="29.15" x14ac:dyDescent="0.4">
      <c r="A10" s="31" t="str">
        <f t="shared" si="3"/>
        <v>KPI ID 3</v>
      </c>
      <c r="B10" s="49" t="s">
        <v>14</v>
      </c>
      <c r="C10" s="50" t="s">
        <v>19</v>
      </c>
      <c r="D10" s="51">
        <f ca="1">RANDBETWEEN(1, 15)</f>
        <v>11</v>
      </c>
      <c r="E10" s="51">
        <f t="shared" ref="E10:BP10" ca="1" si="7">RANDBETWEEN(1, 15)</f>
        <v>11</v>
      </c>
      <c r="F10" s="51">
        <f t="shared" ca="1" si="7"/>
        <v>9</v>
      </c>
      <c r="G10" s="51">
        <f t="shared" ca="1" si="7"/>
        <v>14</v>
      </c>
      <c r="H10" s="51">
        <f t="shared" ca="1" si="7"/>
        <v>12</v>
      </c>
      <c r="I10" s="51">
        <f t="shared" ca="1" si="7"/>
        <v>3</v>
      </c>
      <c r="J10" s="51">
        <f t="shared" ca="1" si="7"/>
        <v>11</v>
      </c>
      <c r="K10" s="51">
        <f t="shared" ca="1" si="7"/>
        <v>10</v>
      </c>
      <c r="L10" s="51">
        <f t="shared" ca="1" si="7"/>
        <v>2</v>
      </c>
      <c r="M10" s="51">
        <f t="shared" ca="1" si="7"/>
        <v>6</v>
      </c>
      <c r="N10" s="51">
        <f t="shared" ca="1" si="7"/>
        <v>1</v>
      </c>
      <c r="O10" s="51">
        <f t="shared" ca="1" si="7"/>
        <v>6</v>
      </c>
      <c r="P10" s="51">
        <f t="shared" ca="1" si="7"/>
        <v>7</v>
      </c>
      <c r="Q10" s="51">
        <f t="shared" ca="1" si="7"/>
        <v>4</v>
      </c>
      <c r="R10" s="51">
        <f t="shared" ca="1" si="7"/>
        <v>8</v>
      </c>
      <c r="S10" s="51">
        <f t="shared" ca="1" si="7"/>
        <v>1</v>
      </c>
      <c r="T10" s="51">
        <f t="shared" ca="1" si="7"/>
        <v>12</v>
      </c>
      <c r="U10" s="51">
        <f t="shared" ca="1" si="7"/>
        <v>2</v>
      </c>
      <c r="V10" s="51">
        <f t="shared" ca="1" si="7"/>
        <v>14</v>
      </c>
      <c r="W10" s="51">
        <f t="shared" ca="1" si="7"/>
        <v>6</v>
      </c>
      <c r="X10" s="51">
        <f t="shared" ca="1" si="7"/>
        <v>12</v>
      </c>
      <c r="Y10" s="51">
        <f t="shared" ca="1" si="7"/>
        <v>13</v>
      </c>
      <c r="Z10" s="51">
        <f t="shared" ca="1" si="7"/>
        <v>7</v>
      </c>
      <c r="AA10" s="51">
        <f t="shared" ca="1" si="7"/>
        <v>8</v>
      </c>
      <c r="AB10" s="51">
        <f t="shared" ca="1" si="7"/>
        <v>6</v>
      </c>
      <c r="AC10" s="51">
        <f t="shared" ca="1" si="7"/>
        <v>8</v>
      </c>
      <c r="AD10" s="51">
        <f t="shared" ca="1" si="7"/>
        <v>8</v>
      </c>
      <c r="AE10" s="51">
        <f t="shared" ca="1" si="7"/>
        <v>3</v>
      </c>
      <c r="AF10" s="51">
        <f t="shared" ca="1" si="7"/>
        <v>10</v>
      </c>
      <c r="AG10" s="51">
        <f t="shared" ca="1" si="7"/>
        <v>6</v>
      </c>
      <c r="AH10" s="51">
        <f t="shared" ca="1" si="7"/>
        <v>9</v>
      </c>
      <c r="AI10" s="51">
        <f t="shared" ca="1" si="7"/>
        <v>1</v>
      </c>
      <c r="AJ10" s="51">
        <f t="shared" ca="1" si="7"/>
        <v>9</v>
      </c>
      <c r="AK10" s="51">
        <f t="shared" ca="1" si="7"/>
        <v>15</v>
      </c>
      <c r="AL10" s="51">
        <f t="shared" ca="1" si="7"/>
        <v>7</v>
      </c>
      <c r="AM10" s="51">
        <f t="shared" ca="1" si="7"/>
        <v>6</v>
      </c>
      <c r="AN10" s="51">
        <f t="shared" ca="1" si="7"/>
        <v>5</v>
      </c>
      <c r="AO10" s="51">
        <f t="shared" ca="1" si="7"/>
        <v>7</v>
      </c>
      <c r="AP10" s="51">
        <f t="shared" ca="1" si="7"/>
        <v>1</v>
      </c>
      <c r="AQ10" s="51">
        <f t="shared" ca="1" si="7"/>
        <v>7</v>
      </c>
      <c r="AR10" s="51">
        <f t="shared" ca="1" si="7"/>
        <v>9</v>
      </c>
      <c r="AS10" s="51">
        <f t="shared" ca="1" si="7"/>
        <v>4</v>
      </c>
      <c r="AT10" s="51">
        <f t="shared" ca="1" si="7"/>
        <v>6</v>
      </c>
      <c r="AU10" s="51">
        <f t="shared" ca="1" si="7"/>
        <v>2</v>
      </c>
      <c r="AV10" s="51">
        <f t="shared" ca="1" si="7"/>
        <v>10</v>
      </c>
      <c r="AW10" s="51">
        <f t="shared" ca="1" si="7"/>
        <v>14</v>
      </c>
      <c r="AX10" s="51">
        <f t="shared" ca="1" si="7"/>
        <v>12</v>
      </c>
      <c r="AY10" s="51">
        <f t="shared" ca="1" si="7"/>
        <v>14</v>
      </c>
      <c r="AZ10" s="51">
        <f t="shared" ca="1" si="7"/>
        <v>14</v>
      </c>
      <c r="BA10" s="51">
        <f t="shared" ca="1" si="7"/>
        <v>4</v>
      </c>
      <c r="BB10" s="51">
        <f t="shared" ca="1" si="7"/>
        <v>4</v>
      </c>
      <c r="BC10" s="51">
        <f t="shared" ca="1" si="7"/>
        <v>15</v>
      </c>
      <c r="BD10" s="51">
        <f t="shared" ca="1" si="7"/>
        <v>15</v>
      </c>
      <c r="BE10" s="51">
        <f t="shared" ca="1" si="7"/>
        <v>15</v>
      </c>
      <c r="BF10" s="51">
        <f t="shared" ca="1" si="7"/>
        <v>7</v>
      </c>
      <c r="BG10" s="51">
        <f t="shared" ca="1" si="7"/>
        <v>11</v>
      </c>
      <c r="BH10" s="51">
        <f t="shared" ca="1" si="7"/>
        <v>6</v>
      </c>
      <c r="BI10" s="51">
        <f t="shared" ca="1" si="7"/>
        <v>6</v>
      </c>
      <c r="BJ10" s="51">
        <f t="shared" ca="1" si="7"/>
        <v>12</v>
      </c>
      <c r="BK10" s="51">
        <f t="shared" ca="1" si="7"/>
        <v>9</v>
      </c>
      <c r="BL10" s="51">
        <f t="shared" ca="1" si="7"/>
        <v>6</v>
      </c>
      <c r="BM10" s="51">
        <f t="shared" ca="1" si="7"/>
        <v>3</v>
      </c>
      <c r="BN10" s="51">
        <f t="shared" ca="1" si="7"/>
        <v>3</v>
      </c>
      <c r="BO10" s="51">
        <f t="shared" ca="1" si="7"/>
        <v>14</v>
      </c>
      <c r="BP10" s="51">
        <f t="shared" ca="1" si="7"/>
        <v>8</v>
      </c>
      <c r="BQ10" s="51">
        <f t="shared" ref="BQ10:EB10" ca="1" si="8">RANDBETWEEN(1, 15)</f>
        <v>4</v>
      </c>
      <c r="BR10" s="51">
        <f t="shared" ca="1" si="8"/>
        <v>12</v>
      </c>
      <c r="BS10" s="51">
        <f t="shared" ca="1" si="8"/>
        <v>6</v>
      </c>
      <c r="BT10" s="51">
        <f t="shared" ca="1" si="8"/>
        <v>11</v>
      </c>
      <c r="BU10" s="51">
        <f t="shared" ca="1" si="8"/>
        <v>15</v>
      </c>
      <c r="BV10" s="51">
        <f t="shared" ca="1" si="8"/>
        <v>4</v>
      </c>
      <c r="BW10" s="51">
        <f t="shared" ca="1" si="8"/>
        <v>7</v>
      </c>
      <c r="BX10" s="51">
        <f t="shared" ca="1" si="8"/>
        <v>4</v>
      </c>
      <c r="BY10" s="51">
        <f t="shared" ca="1" si="8"/>
        <v>9</v>
      </c>
      <c r="BZ10" s="51">
        <f t="shared" ca="1" si="8"/>
        <v>10</v>
      </c>
      <c r="CA10" s="51">
        <f t="shared" ca="1" si="8"/>
        <v>15</v>
      </c>
      <c r="CB10" s="51">
        <f t="shared" ca="1" si="8"/>
        <v>2</v>
      </c>
      <c r="CC10" s="51">
        <f t="shared" ca="1" si="8"/>
        <v>5</v>
      </c>
      <c r="CD10" s="51">
        <f t="shared" ca="1" si="8"/>
        <v>8</v>
      </c>
      <c r="CE10" s="51">
        <f t="shared" ca="1" si="8"/>
        <v>6</v>
      </c>
      <c r="CF10" s="51">
        <f t="shared" ca="1" si="8"/>
        <v>11</v>
      </c>
      <c r="CG10" s="51">
        <f t="shared" ca="1" si="8"/>
        <v>5</v>
      </c>
      <c r="CH10" s="51">
        <f t="shared" ca="1" si="8"/>
        <v>11</v>
      </c>
      <c r="CI10" s="51">
        <f t="shared" ca="1" si="8"/>
        <v>12</v>
      </c>
      <c r="CJ10" s="51">
        <f t="shared" ca="1" si="8"/>
        <v>7</v>
      </c>
      <c r="CK10" s="51">
        <f t="shared" ca="1" si="8"/>
        <v>4</v>
      </c>
      <c r="CL10" s="51">
        <f t="shared" ca="1" si="8"/>
        <v>9</v>
      </c>
      <c r="CM10" s="51">
        <f t="shared" ca="1" si="8"/>
        <v>15</v>
      </c>
      <c r="CN10" s="51">
        <f t="shared" ca="1" si="8"/>
        <v>14</v>
      </c>
      <c r="CO10" s="51">
        <f t="shared" ca="1" si="8"/>
        <v>6</v>
      </c>
      <c r="CP10" s="51">
        <f t="shared" ca="1" si="8"/>
        <v>1</v>
      </c>
      <c r="CQ10" s="51">
        <f t="shared" ca="1" si="8"/>
        <v>10</v>
      </c>
      <c r="CR10" s="51">
        <f t="shared" ca="1" si="8"/>
        <v>12</v>
      </c>
      <c r="CS10" s="51">
        <f t="shared" ca="1" si="8"/>
        <v>7</v>
      </c>
      <c r="CT10" s="51">
        <f t="shared" ca="1" si="8"/>
        <v>9</v>
      </c>
      <c r="CU10" s="51">
        <f t="shared" ca="1" si="8"/>
        <v>5</v>
      </c>
      <c r="CV10" s="51">
        <f t="shared" ca="1" si="8"/>
        <v>11</v>
      </c>
      <c r="CW10" s="51">
        <f t="shared" ca="1" si="8"/>
        <v>13</v>
      </c>
      <c r="CX10" s="51">
        <f t="shared" ca="1" si="8"/>
        <v>4</v>
      </c>
      <c r="CY10" s="51">
        <f t="shared" ca="1" si="8"/>
        <v>15</v>
      </c>
      <c r="CZ10" s="51">
        <f t="shared" ca="1" si="8"/>
        <v>8</v>
      </c>
      <c r="DA10" s="51">
        <f t="shared" ca="1" si="8"/>
        <v>4</v>
      </c>
      <c r="DB10" s="51">
        <f t="shared" ca="1" si="8"/>
        <v>2</v>
      </c>
      <c r="DC10" s="51">
        <f t="shared" ca="1" si="8"/>
        <v>5</v>
      </c>
      <c r="DD10" s="51">
        <f t="shared" ca="1" si="8"/>
        <v>5</v>
      </c>
      <c r="DE10" s="51">
        <f t="shared" ca="1" si="8"/>
        <v>5</v>
      </c>
      <c r="DF10" s="51">
        <f t="shared" ca="1" si="8"/>
        <v>15</v>
      </c>
      <c r="DG10" s="51">
        <f t="shared" ca="1" si="8"/>
        <v>4</v>
      </c>
      <c r="DH10" s="51">
        <f t="shared" ca="1" si="8"/>
        <v>13</v>
      </c>
      <c r="DI10" s="51">
        <f t="shared" ca="1" si="8"/>
        <v>9</v>
      </c>
      <c r="DJ10" s="51">
        <f t="shared" ca="1" si="8"/>
        <v>7</v>
      </c>
      <c r="DK10" s="51">
        <f t="shared" ca="1" si="8"/>
        <v>2</v>
      </c>
      <c r="DL10" s="51">
        <f t="shared" ca="1" si="8"/>
        <v>9</v>
      </c>
      <c r="DM10" s="51">
        <f t="shared" ca="1" si="8"/>
        <v>11</v>
      </c>
      <c r="DN10" s="51">
        <f t="shared" ca="1" si="8"/>
        <v>6</v>
      </c>
      <c r="DO10" s="51">
        <f t="shared" ca="1" si="8"/>
        <v>9</v>
      </c>
      <c r="DP10" s="51">
        <f t="shared" ca="1" si="8"/>
        <v>13</v>
      </c>
      <c r="DQ10" s="51">
        <f t="shared" ca="1" si="8"/>
        <v>3</v>
      </c>
      <c r="DR10" s="51">
        <f t="shared" ca="1" si="8"/>
        <v>14</v>
      </c>
      <c r="DS10" s="51">
        <f t="shared" ca="1" si="8"/>
        <v>1</v>
      </c>
      <c r="DT10" s="51">
        <f t="shared" ca="1" si="8"/>
        <v>4</v>
      </c>
      <c r="DU10" s="51">
        <f t="shared" ca="1" si="8"/>
        <v>12</v>
      </c>
      <c r="DV10" s="51">
        <f t="shared" ca="1" si="8"/>
        <v>3</v>
      </c>
      <c r="DW10" s="51">
        <f t="shared" ca="1" si="8"/>
        <v>1</v>
      </c>
      <c r="DX10" s="51">
        <f t="shared" ca="1" si="8"/>
        <v>3</v>
      </c>
      <c r="DY10" s="51">
        <f t="shared" ca="1" si="8"/>
        <v>12</v>
      </c>
      <c r="DZ10" s="51">
        <f t="shared" ca="1" si="8"/>
        <v>9</v>
      </c>
      <c r="EA10" s="51">
        <f t="shared" ca="1" si="8"/>
        <v>6</v>
      </c>
      <c r="EB10" s="51">
        <f t="shared" ca="1" si="8"/>
        <v>12</v>
      </c>
      <c r="EC10" s="51">
        <f t="shared" ref="EC10:EE10" ca="1" si="9">RANDBETWEEN(1, 15)</f>
        <v>1</v>
      </c>
      <c r="ED10" s="51">
        <f t="shared" ca="1" si="9"/>
        <v>4</v>
      </c>
      <c r="EE10" s="51">
        <f t="shared" ca="1" si="9"/>
        <v>8</v>
      </c>
    </row>
    <row r="11" spans="1:138" ht="29.15" x14ac:dyDescent="0.4">
      <c r="A11" s="31" t="str">
        <f t="shared" si="3"/>
        <v>KPI ID 4 %</v>
      </c>
      <c r="B11" s="49" t="s">
        <v>55</v>
      </c>
      <c r="C11" s="50" t="s">
        <v>20</v>
      </c>
      <c r="D11" s="51">
        <f ca="1">RAND()</f>
        <v>0.23534505279641693</v>
      </c>
      <c r="E11" s="51">
        <f ca="1">RAND()</f>
        <v>0.29395530628392796</v>
      </c>
      <c r="F11" s="51">
        <f ca="1">RAND()</f>
        <v>0.49634921494852857</v>
      </c>
      <c r="G11" s="51">
        <f ca="1">RAND()</f>
        <v>0.48486539600671208</v>
      </c>
      <c r="H11" s="51">
        <f ca="1">RAND()</f>
        <v>0.66937409951252136</v>
      </c>
      <c r="I11" s="51">
        <f ca="1">RAND()</f>
        <v>0.72050386484849394</v>
      </c>
      <c r="J11" s="51">
        <f ca="1">RAND()</f>
        <v>0.47997228752840182</v>
      </c>
      <c r="K11" s="51">
        <f ca="1">RAND()</f>
        <v>0.79397675685532076</v>
      </c>
      <c r="L11" s="51">
        <f ca="1">RAND()</f>
        <v>0.51126121690887361</v>
      </c>
      <c r="M11" s="51">
        <f ca="1">RAND()</f>
        <v>0.51686646067290176</v>
      </c>
      <c r="N11" s="51">
        <f ca="1">RAND()</f>
        <v>0.91988178256388331</v>
      </c>
      <c r="O11" s="51">
        <f ca="1">RAND()</f>
        <v>0.19902371093309135</v>
      </c>
      <c r="P11" s="51">
        <f ca="1">RAND()</f>
        <v>6.4747757544978413E-2</v>
      </c>
      <c r="Q11" s="51">
        <f ca="1">RAND()</f>
        <v>0.57455678878741234</v>
      </c>
      <c r="R11" s="51">
        <f ca="1">RAND()</f>
        <v>0.74103174779660219</v>
      </c>
      <c r="S11" s="51">
        <f ca="1">RAND()</f>
        <v>4.3277231945766825E-2</v>
      </c>
      <c r="T11" s="51">
        <f ca="1">RAND()</f>
        <v>0.57891586094405645</v>
      </c>
      <c r="U11" s="51">
        <f ca="1">RAND()</f>
        <v>0.49549272979719461</v>
      </c>
      <c r="V11" s="51">
        <f ca="1">RAND()</f>
        <v>4.3475975731566363E-2</v>
      </c>
      <c r="W11" s="51">
        <f ca="1">RAND()</f>
        <v>0.69229876564774995</v>
      </c>
      <c r="X11" s="51">
        <f ca="1">RAND()</f>
        <v>8.1855947147960295E-2</v>
      </c>
      <c r="Y11" s="51">
        <f ca="1">RAND()</f>
        <v>0.44709148196118065</v>
      </c>
      <c r="Z11" s="51">
        <f ca="1">RAND()</f>
        <v>0.67893516692686084</v>
      </c>
      <c r="AA11" s="51">
        <f ca="1">RAND()</f>
        <v>0.52031607265740321</v>
      </c>
      <c r="AB11" s="51">
        <f ca="1">RAND()</f>
        <v>0.42400126024590967</v>
      </c>
      <c r="AC11" s="51">
        <f ca="1">RAND()</f>
        <v>0.22681532456664788</v>
      </c>
      <c r="AD11" s="51">
        <f ca="1">RAND()</f>
        <v>0.30509342597933919</v>
      </c>
      <c r="AE11" s="51">
        <f ca="1">RAND()</f>
        <v>0.61327454176804197</v>
      </c>
      <c r="AF11" s="51">
        <f ca="1">RAND()</f>
        <v>0.86530884461025104</v>
      </c>
      <c r="AG11" s="51">
        <f ca="1">RAND()</f>
        <v>0.35518984897565398</v>
      </c>
      <c r="AH11" s="51">
        <f ca="1">RAND()</f>
        <v>0.67333933284151537</v>
      </c>
      <c r="AI11" s="51">
        <f ca="1">RAND()</f>
        <v>0.16291383234029455</v>
      </c>
      <c r="AJ11" s="51">
        <f ca="1">RAND()</f>
        <v>0.9968520608660405</v>
      </c>
      <c r="AK11" s="51">
        <f ca="1">RAND()</f>
        <v>0.48526220864655789</v>
      </c>
      <c r="AL11" s="51">
        <f ca="1">RAND()</f>
        <v>0.89239906437938465</v>
      </c>
      <c r="AM11" s="51">
        <f ca="1">RAND()</f>
        <v>0.9433577398070726</v>
      </c>
      <c r="AN11" s="51">
        <f ca="1">RAND()</f>
        <v>0.37579440597530112</v>
      </c>
      <c r="AO11" s="51">
        <f ca="1">RAND()</f>
        <v>0.72693557600563408</v>
      </c>
      <c r="AP11" s="51">
        <f ca="1">RAND()</f>
        <v>0.9342889911334824</v>
      </c>
      <c r="AQ11" s="51">
        <f ca="1">RAND()</f>
        <v>0.51813535948800948</v>
      </c>
      <c r="AR11" s="51">
        <f ca="1">RAND()</f>
        <v>0.64637720791780728</v>
      </c>
      <c r="AS11" s="51">
        <f ca="1">RAND()</f>
        <v>0.76182355460694473</v>
      </c>
      <c r="AT11" s="51">
        <f ca="1">RAND()</f>
        <v>0.4692374367171388</v>
      </c>
      <c r="AU11" s="51">
        <f ca="1">RAND()</f>
        <v>0.26346888660689971</v>
      </c>
      <c r="AV11" s="51">
        <f ca="1">RAND()</f>
        <v>0.10630635141547895</v>
      </c>
      <c r="AW11" s="51">
        <f ca="1">RAND()</f>
        <v>0.20251661812451782</v>
      </c>
      <c r="AX11" s="51">
        <f ca="1">RAND()</f>
        <v>0.2792554901415677</v>
      </c>
      <c r="AY11" s="51">
        <f ca="1">RAND()</f>
        <v>0.69978468243909187</v>
      </c>
      <c r="AZ11" s="51">
        <f ca="1">RAND()</f>
        <v>0.54224503982671524</v>
      </c>
      <c r="BA11" s="51">
        <f ca="1">RAND()</f>
        <v>0.69751854528068469</v>
      </c>
      <c r="BB11" s="51">
        <f ca="1">RAND()</f>
        <v>0.44404273624731827</v>
      </c>
      <c r="BC11" s="51">
        <f ca="1">RAND()</f>
        <v>0.97033522185623222</v>
      </c>
      <c r="BD11" s="51">
        <f ca="1">RAND()</f>
        <v>0.87301077795511406</v>
      </c>
      <c r="BE11" s="51">
        <f ca="1">RAND()</f>
        <v>0.47698401532581058</v>
      </c>
      <c r="BF11" s="51">
        <f ca="1">RAND()</f>
        <v>0.53897556417595405</v>
      </c>
      <c r="BG11" s="51">
        <f ca="1">RAND()</f>
        <v>5.248209434770279E-2</v>
      </c>
      <c r="BH11" s="51">
        <f ca="1">RAND()</f>
        <v>7.9657872436955657E-2</v>
      </c>
      <c r="BI11" s="51">
        <f ca="1">RAND()</f>
        <v>0.93734313005683156</v>
      </c>
      <c r="BJ11" s="51">
        <f ca="1">RAND()</f>
        <v>0.41770357173974337</v>
      </c>
      <c r="BK11" s="51">
        <f ca="1">RAND()</f>
        <v>0.7542584779746323</v>
      </c>
      <c r="BL11" s="51">
        <f ca="1">RAND()</f>
        <v>0.30730474343998682</v>
      </c>
      <c r="BM11" s="51">
        <f ca="1">RAND()</f>
        <v>0.2694168265034631</v>
      </c>
      <c r="BN11" s="51">
        <f ca="1">RAND()</f>
        <v>0.52978435435266646</v>
      </c>
      <c r="BO11" s="51">
        <f ca="1">RAND()</f>
        <v>0.6813979182128338</v>
      </c>
      <c r="BP11" s="51">
        <f ca="1">RAND()</f>
        <v>0.22308658232582723</v>
      </c>
      <c r="BQ11" s="51">
        <f ca="1">RAND()</f>
        <v>0.99344738631699092</v>
      </c>
      <c r="BR11" s="51">
        <f ca="1">RAND()</f>
        <v>0.8204989248064698</v>
      </c>
      <c r="BS11" s="51">
        <f ca="1">RAND()</f>
        <v>0.47904319229415238</v>
      </c>
      <c r="BT11" s="51">
        <f ca="1">RAND()</f>
        <v>0.16050604951790193</v>
      </c>
      <c r="BU11" s="51">
        <f ca="1">RAND()</f>
        <v>0.20209131881183062</v>
      </c>
      <c r="BV11" s="51">
        <f ca="1">RAND()</f>
        <v>0.61260397189031168</v>
      </c>
      <c r="BW11" s="51">
        <f ca="1">RAND()</f>
        <v>5.9584990695650375E-2</v>
      </c>
      <c r="BX11" s="51">
        <f ca="1">RAND()</f>
        <v>0.76687533876043579</v>
      </c>
      <c r="BY11" s="51">
        <f ca="1">RAND()</f>
        <v>0.77293956687248788</v>
      </c>
      <c r="BZ11" s="51">
        <f ca="1">RAND()</f>
        <v>0.28151312441490317</v>
      </c>
      <c r="CA11" s="51">
        <f ca="1">RAND()</f>
        <v>0.76761590793909917</v>
      </c>
      <c r="CB11" s="51">
        <f ca="1">RAND()</f>
        <v>7.2781437991939923E-2</v>
      </c>
      <c r="CC11" s="51">
        <f ca="1">RAND()</f>
        <v>0.7097807037108721</v>
      </c>
      <c r="CD11" s="51">
        <f ca="1">RAND()</f>
        <v>0.30000988728204692</v>
      </c>
      <c r="CE11" s="51">
        <f ca="1">RAND()</f>
        <v>0.29222923803883016</v>
      </c>
      <c r="CF11" s="51">
        <f ca="1">RAND()</f>
        <v>0.10389308418345311</v>
      </c>
      <c r="CG11" s="51">
        <f ca="1">RAND()</f>
        <v>0.11935760075130775</v>
      </c>
      <c r="CH11" s="51">
        <f ca="1">RAND()</f>
        <v>0.1765830198252768</v>
      </c>
      <c r="CI11" s="51">
        <f ca="1">RAND()</f>
        <v>0.34567204359465176</v>
      </c>
      <c r="CJ11" s="51">
        <f ca="1">RAND()</f>
        <v>0.72302105041298481</v>
      </c>
      <c r="CK11" s="51">
        <f ca="1">RAND()</f>
        <v>0.10669659495167061</v>
      </c>
      <c r="CL11" s="51">
        <f ca="1">RAND()</f>
        <v>0.47701160031700673</v>
      </c>
      <c r="CM11" s="51">
        <f ca="1">RAND()</f>
        <v>0.1673773380910456</v>
      </c>
      <c r="CN11" s="51">
        <f ca="1">RAND()</f>
        <v>0.5091479428866853</v>
      </c>
      <c r="CO11" s="51">
        <f ca="1">RAND()</f>
        <v>0.27220363090822197</v>
      </c>
      <c r="CP11" s="51">
        <f ca="1">RAND()</f>
        <v>0.10557717531598243</v>
      </c>
      <c r="CQ11" s="51">
        <f ca="1">RAND()</f>
        <v>0.61545251652168931</v>
      </c>
      <c r="CR11" s="51">
        <f ca="1">RAND()</f>
        <v>0.72452321564589783</v>
      </c>
      <c r="CS11" s="51">
        <f ca="1">RAND()</f>
        <v>1.0649150040560662E-2</v>
      </c>
      <c r="CT11" s="51">
        <f ca="1">RAND()</f>
        <v>0.26701322254413118</v>
      </c>
      <c r="CU11" s="51">
        <f ca="1">RAND()</f>
        <v>0.52738545396592162</v>
      </c>
      <c r="CV11" s="51">
        <f ca="1">RAND()</f>
        <v>0.50360920940445941</v>
      </c>
      <c r="CW11" s="51">
        <f ca="1">RAND()</f>
        <v>0.97411915495658841</v>
      </c>
      <c r="CX11" s="51">
        <f ca="1">RAND()</f>
        <v>9.9092162847182585E-2</v>
      </c>
      <c r="CY11" s="51">
        <f ca="1">RAND()</f>
        <v>0.89759105420103658</v>
      </c>
      <c r="CZ11" s="51">
        <f ca="1">RAND()</f>
        <v>0.44657356917259727</v>
      </c>
      <c r="DA11" s="51">
        <f ca="1">RAND()</f>
        <v>8.0375844876988678E-2</v>
      </c>
      <c r="DB11" s="51">
        <f ca="1">RAND()</f>
        <v>5.7116529030422636E-2</v>
      </c>
      <c r="DC11" s="51">
        <f ca="1">RAND()</f>
        <v>0.32602970491085737</v>
      </c>
      <c r="DD11" s="51">
        <f ca="1">RAND()</f>
        <v>0.93633668591612451</v>
      </c>
      <c r="DE11" s="51">
        <f ca="1">RAND()</f>
        <v>0.52558096335132054</v>
      </c>
      <c r="DF11" s="51">
        <f ca="1">RAND()</f>
        <v>0.63215979081333051</v>
      </c>
      <c r="DG11" s="51">
        <f ca="1">RAND()</f>
        <v>0.91876266557259079</v>
      </c>
      <c r="DH11" s="51">
        <f ca="1">RAND()</f>
        <v>0.55340730729939691</v>
      </c>
      <c r="DI11" s="51">
        <f ca="1">RAND()</f>
        <v>0.20343004441595802</v>
      </c>
      <c r="DJ11" s="51">
        <f ca="1">RAND()</f>
        <v>0.88725035849505596</v>
      </c>
      <c r="DK11" s="51">
        <f ca="1">RAND()</f>
        <v>0.62614353914478638</v>
      </c>
      <c r="DL11" s="51">
        <f ca="1">RAND()</f>
        <v>6.9910294268722417E-3</v>
      </c>
      <c r="DM11" s="51">
        <f ca="1">RAND()</f>
        <v>0.57579528299366267</v>
      </c>
      <c r="DN11" s="51">
        <f ca="1">RAND()</f>
        <v>0.90246095590255393</v>
      </c>
      <c r="DO11" s="51">
        <f ca="1">RAND()</f>
        <v>7.7223475227153671E-2</v>
      </c>
      <c r="DP11" s="51">
        <f ca="1">RAND()</f>
        <v>0.14886866481521865</v>
      </c>
      <c r="DQ11" s="51">
        <f ca="1">RAND()</f>
        <v>0.50804506564341334</v>
      </c>
      <c r="DR11" s="51">
        <f ca="1">RAND()</f>
        <v>0.42303686511721073</v>
      </c>
      <c r="DS11" s="51">
        <f ca="1">RAND()</f>
        <v>0.73177866071571118</v>
      </c>
      <c r="DT11" s="51">
        <f ca="1">RAND()</f>
        <v>7.6669117863602865E-2</v>
      </c>
      <c r="DU11" s="51">
        <f ca="1">RAND()</f>
        <v>0.31987830239222814</v>
      </c>
      <c r="DV11" s="51">
        <f ca="1">RAND()</f>
        <v>0.24084097122042791</v>
      </c>
      <c r="DW11" s="51">
        <f ca="1">RAND()</f>
        <v>0.8092294372065435</v>
      </c>
      <c r="DX11" s="51">
        <f ca="1">RAND()</f>
        <v>0.98484909630401052</v>
      </c>
      <c r="DY11" s="51">
        <f ca="1">RAND()</f>
        <v>0.71314402142787958</v>
      </c>
      <c r="DZ11" s="51">
        <f ca="1">RAND()</f>
        <v>0.98026128962655323</v>
      </c>
      <c r="EA11" s="51">
        <f ca="1">RAND()</f>
        <v>0.59635781625332074</v>
      </c>
      <c r="EB11" s="51">
        <f ca="1">RAND()</f>
        <v>0.75487831795402882</v>
      </c>
      <c r="EC11" s="51">
        <f ca="1">RAND()</f>
        <v>0.86152763930853204</v>
      </c>
      <c r="ED11" s="51">
        <f ca="1">RAND()</f>
        <v>0.96557624484274407</v>
      </c>
      <c r="EE11" s="51">
        <f ca="1">RAND()</f>
        <v>0.86260001943147779</v>
      </c>
    </row>
    <row r="12" spans="1:138" x14ac:dyDescent="0.4">
      <c r="A12" s="31" t="str">
        <f t="shared" si="3"/>
        <v>KPI ID 5</v>
      </c>
      <c r="B12" s="49" t="s">
        <v>56</v>
      </c>
      <c r="C12" s="50" t="s">
        <v>21</v>
      </c>
      <c r="D12" s="51">
        <f ca="1">RANDBETWEEN(1, 40)</f>
        <v>8</v>
      </c>
      <c r="E12" s="51">
        <f t="shared" ref="E12:BP14" ca="1" si="10">RANDBETWEEN(1, 40)</f>
        <v>8</v>
      </c>
      <c r="F12" s="51">
        <f t="shared" ca="1" si="10"/>
        <v>13</v>
      </c>
      <c r="G12" s="51">
        <f t="shared" ca="1" si="10"/>
        <v>1</v>
      </c>
      <c r="H12" s="51">
        <f t="shared" ca="1" si="10"/>
        <v>34</v>
      </c>
      <c r="I12" s="51">
        <f t="shared" ca="1" si="10"/>
        <v>12</v>
      </c>
      <c r="J12" s="51">
        <f t="shared" ca="1" si="10"/>
        <v>25</v>
      </c>
      <c r="K12" s="51">
        <f t="shared" ca="1" si="10"/>
        <v>33</v>
      </c>
      <c r="L12" s="51">
        <f t="shared" ca="1" si="10"/>
        <v>29</v>
      </c>
      <c r="M12" s="51">
        <f t="shared" ca="1" si="10"/>
        <v>4</v>
      </c>
      <c r="N12" s="51">
        <f t="shared" ca="1" si="10"/>
        <v>22</v>
      </c>
      <c r="O12" s="51">
        <f t="shared" ca="1" si="10"/>
        <v>18</v>
      </c>
      <c r="P12" s="51">
        <f t="shared" ca="1" si="10"/>
        <v>17</v>
      </c>
      <c r="Q12" s="51">
        <f t="shared" ca="1" si="10"/>
        <v>28</v>
      </c>
      <c r="R12" s="51">
        <f t="shared" ca="1" si="10"/>
        <v>13</v>
      </c>
      <c r="S12" s="51">
        <f t="shared" ca="1" si="10"/>
        <v>31</v>
      </c>
      <c r="T12" s="51">
        <f t="shared" ca="1" si="10"/>
        <v>3</v>
      </c>
      <c r="U12" s="51">
        <f t="shared" ca="1" si="10"/>
        <v>10</v>
      </c>
      <c r="V12" s="51">
        <f t="shared" ca="1" si="10"/>
        <v>6</v>
      </c>
      <c r="W12" s="51">
        <f t="shared" ca="1" si="10"/>
        <v>34</v>
      </c>
      <c r="X12" s="51">
        <f t="shared" ca="1" si="10"/>
        <v>40</v>
      </c>
      <c r="Y12" s="51">
        <f t="shared" ca="1" si="10"/>
        <v>12</v>
      </c>
      <c r="Z12" s="51">
        <f t="shared" ca="1" si="10"/>
        <v>25</v>
      </c>
      <c r="AA12" s="51">
        <f t="shared" ca="1" si="10"/>
        <v>6</v>
      </c>
      <c r="AB12" s="51">
        <f t="shared" ca="1" si="10"/>
        <v>31</v>
      </c>
      <c r="AC12" s="51">
        <f t="shared" ca="1" si="10"/>
        <v>34</v>
      </c>
      <c r="AD12" s="51">
        <f t="shared" ca="1" si="10"/>
        <v>9</v>
      </c>
      <c r="AE12" s="51">
        <f t="shared" ca="1" si="10"/>
        <v>24</v>
      </c>
      <c r="AF12" s="51">
        <f t="shared" ca="1" si="10"/>
        <v>20</v>
      </c>
      <c r="AG12" s="51">
        <f t="shared" ca="1" si="10"/>
        <v>14</v>
      </c>
      <c r="AH12" s="51">
        <f t="shared" ca="1" si="10"/>
        <v>29</v>
      </c>
      <c r="AI12" s="51">
        <f t="shared" ca="1" si="10"/>
        <v>16</v>
      </c>
      <c r="AJ12" s="51">
        <f t="shared" ca="1" si="10"/>
        <v>35</v>
      </c>
      <c r="AK12" s="51">
        <f t="shared" ca="1" si="10"/>
        <v>27</v>
      </c>
      <c r="AL12" s="51">
        <f t="shared" ca="1" si="10"/>
        <v>30</v>
      </c>
      <c r="AM12" s="51">
        <f t="shared" ca="1" si="10"/>
        <v>3</v>
      </c>
      <c r="AN12" s="51">
        <f t="shared" ca="1" si="10"/>
        <v>30</v>
      </c>
      <c r="AO12" s="51">
        <f t="shared" ca="1" si="10"/>
        <v>26</v>
      </c>
      <c r="AP12" s="51">
        <f t="shared" ca="1" si="10"/>
        <v>23</v>
      </c>
      <c r="AQ12" s="51">
        <f t="shared" ca="1" si="10"/>
        <v>7</v>
      </c>
      <c r="AR12" s="51">
        <f t="shared" ca="1" si="10"/>
        <v>3</v>
      </c>
      <c r="AS12" s="51">
        <f t="shared" ca="1" si="10"/>
        <v>10</v>
      </c>
      <c r="AT12" s="51">
        <f t="shared" ca="1" si="10"/>
        <v>2</v>
      </c>
      <c r="AU12" s="51">
        <f t="shared" ca="1" si="10"/>
        <v>10</v>
      </c>
      <c r="AV12" s="51">
        <f t="shared" ca="1" si="10"/>
        <v>10</v>
      </c>
      <c r="AW12" s="51">
        <f t="shared" ca="1" si="10"/>
        <v>30</v>
      </c>
      <c r="AX12" s="51">
        <f t="shared" ca="1" si="10"/>
        <v>5</v>
      </c>
      <c r="AY12" s="51">
        <f t="shared" ca="1" si="10"/>
        <v>9</v>
      </c>
      <c r="AZ12" s="51">
        <f t="shared" ca="1" si="10"/>
        <v>22</v>
      </c>
      <c r="BA12" s="51">
        <f t="shared" ca="1" si="10"/>
        <v>32</v>
      </c>
      <c r="BB12" s="51">
        <f t="shared" ca="1" si="10"/>
        <v>5</v>
      </c>
      <c r="BC12" s="51">
        <f t="shared" ca="1" si="10"/>
        <v>3</v>
      </c>
      <c r="BD12" s="51">
        <f t="shared" ca="1" si="10"/>
        <v>30</v>
      </c>
      <c r="BE12" s="51">
        <f t="shared" ca="1" si="10"/>
        <v>34</v>
      </c>
      <c r="BF12" s="51">
        <f t="shared" ca="1" si="10"/>
        <v>21</v>
      </c>
      <c r="BG12" s="51">
        <f t="shared" ca="1" si="10"/>
        <v>27</v>
      </c>
      <c r="BH12" s="51">
        <f t="shared" ca="1" si="10"/>
        <v>16</v>
      </c>
      <c r="BI12" s="51">
        <f t="shared" ca="1" si="10"/>
        <v>38</v>
      </c>
      <c r="BJ12" s="51">
        <f t="shared" ca="1" si="10"/>
        <v>28</v>
      </c>
      <c r="BK12" s="51">
        <f t="shared" ca="1" si="10"/>
        <v>36</v>
      </c>
      <c r="BL12" s="51">
        <f t="shared" ca="1" si="10"/>
        <v>6</v>
      </c>
      <c r="BM12" s="51">
        <f t="shared" ca="1" si="10"/>
        <v>13</v>
      </c>
      <c r="BN12" s="51">
        <f t="shared" ca="1" si="10"/>
        <v>8</v>
      </c>
      <c r="BO12" s="51">
        <f t="shared" ca="1" si="10"/>
        <v>36</v>
      </c>
      <c r="BP12" s="51">
        <f t="shared" ca="1" si="10"/>
        <v>33</v>
      </c>
      <c r="BQ12" s="51">
        <f t="shared" ref="BQ12:EB14" ca="1" si="11">RANDBETWEEN(1, 40)</f>
        <v>24</v>
      </c>
      <c r="BR12" s="51">
        <f t="shared" ca="1" si="11"/>
        <v>6</v>
      </c>
      <c r="BS12" s="51">
        <f t="shared" ca="1" si="11"/>
        <v>30</v>
      </c>
      <c r="BT12" s="51">
        <f t="shared" ca="1" si="11"/>
        <v>35</v>
      </c>
      <c r="BU12" s="51">
        <f t="shared" ca="1" si="11"/>
        <v>12</v>
      </c>
      <c r="BV12" s="51">
        <f t="shared" ca="1" si="11"/>
        <v>23</v>
      </c>
      <c r="BW12" s="51">
        <f t="shared" ca="1" si="11"/>
        <v>3</v>
      </c>
      <c r="BX12" s="51">
        <f t="shared" ca="1" si="11"/>
        <v>17</v>
      </c>
      <c r="BY12" s="51">
        <f t="shared" ca="1" si="11"/>
        <v>21</v>
      </c>
      <c r="BZ12" s="51">
        <f t="shared" ca="1" si="11"/>
        <v>32</v>
      </c>
      <c r="CA12" s="51">
        <f t="shared" ca="1" si="11"/>
        <v>25</v>
      </c>
      <c r="CB12" s="51">
        <f t="shared" ca="1" si="11"/>
        <v>35</v>
      </c>
      <c r="CC12" s="51">
        <f t="shared" ca="1" si="11"/>
        <v>8</v>
      </c>
      <c r="CD12" s="51">
        <f t="shared" ca="1" si="11"/>
        <v>8</v>
      </c>
      <c r="CE12" s="51">
        <f t="shared" ca="1" si="11"/>
        <v>19</v>
      </c>
      <c r="CF12" s="51">
        <f t="shared" ca="1" si="11"/>
        <v>39</v>
      </c>
      <c r="CG12" s="51">
        <f t="shared" ca="1" si="11"/>
        <v>3</v>
      </c>
      <c r="CH12" s="51">
        <f t="shared" ca="1" si="11"/>
        <v>10</v>
      </c>
      <c r="CI12" s="51">
        <f t="shared" ca="1" si="11"/>
        <v>2</v>
      </c>
      <c r="CJ12" s="51">
        <f t="shared" ca="1" si="11"/>
        <v>8</v>
      </c>
      <c r="CK12" s="51">
        <f t="shared" ca="1" si="11"/>
        <v>2</v>
      </c>
      <c r="CL12" s="51">
        <f t="shared" ca="1" si="11"/>
        <v>32</v>
      </c>
      <c r="CM12" s="51">
        <f t="shared" ca="1" si="11"/>
        <v>12</v>
      </c>
      <c r="CN12" s="51">
        <f t="shared" ca="1" si="11"/>
        <v>9</v>
      </c>
      <c r="CO12" s="51">
        <f t="shared" ca="1" si="11"/>
        <v>40</v>
      </c>
      <c r="CP12" s="51">
        <f t="shared" ca="1" si="11"/>
        <v>32</v>
      </c>
      <c r="CQ12" s="51">
        <f t="shared" ca="1" si="11"/>
        <v>3</v>
      </c>
      <c r="CR12" s="51">
        <f t="shared" ca="1" si="11"/>
        <v>23</v>
      </c>
      <c r="CS12" s="51">
        <f t="shared" ca="1" si="11"/>
        <v>20</v>
      </c>
      <c r="CT12" s="51">
        <f t="shared" ca="1" si="11"/>
        <v>30</v>
      </c>
      <c r="CU12" s="51">
        <f t="shared" ca="1" si="11"/>
        <v>13</v>
      </c>
      <c r="CV12" s="51">
        <f t="shared" ca="1" si="11"/>
        <v>22</v>
      </c>
      <c r="CW12" s="51">
        <f t="shared" ca="1" si="11"/>
        <v>17</v>
      </c>
      <c r="CX12" s="51">
        <f t="shared" ca="1" si="11"/>
        <v>12</v>
      </c>
      <c r="CY12" s="51">
        <f t="shared" ca="1" si="11"/>
        <v>1</v>
      </c>
      <c r="CZ12" s="51">
        <f t="shared" ca="1" si="11"/>
        <v>35</v>
      </c>
      <c r="DA12" s="51">
        <f t="shared" ca="1" si="11"/>
        <v>2</v>
      </c>
      <c r="DB12" s="51">
        <f t="shared" ca="1" si="11"/>
        <v>20</v>
      </c>
      <c r="DC12" s="51">
        <f t="shared" ca="1" si="11"/>
        <v>29</v>
      </c>
      <c r="DD12" s="51">
        <f t="shared" ca="1" si="11"/>
        <v>32</v>
      </c>
      <c r="DE12" s="51">
        <f t="shared" ca="1" si="11"/>
        <v>28</v>
      </c>
      <c r="DF12" s="51">
        <f t="shared" ca="1" si="11"/>
        <v>14</v>
      </c>
      <c r="DG12" s="51">
        <f t="shared" ca="1" si="11"/>
        <v>36</v>
      </c>
      <c r="DH12" s="51">
        <f t="shared" ca="1" si="11"/>
        <v>28</v>
      </c>
      <c r="DI12" s="51">
        <f t="shared" ca="1" si="11"/>
        <v>4</v>
      </c>
      <c r="DJ12" s="51">
        <f t="shared" ca="1" si="11"/>
        <v>10</v>
      </c>
      <c r="DK12" s="51">
        <f t="shared" ca="1" si="11"/>
        <v>12</v>
      </c>
      <c r="DL12" s="51">
        <f t="shared" ca="1" si="11"/>
        <v>23</v>
      </c>
      <c r="DM12" s="51">
        <f t="shared" ca="1" si="11"/>
        <v>25</v>
      </c>
      <c r="DN12" s="51">
        <f t="shared" ca="1" si="11"/>
        <v>15</v>
      </c>
      <c r="DO12" s="51">
        <f t="shared" ca="1" si="11"/>
        <v>22</v>
      </c>
      <c r="DP12" s="51">
        <f t="shared" ca="1" si="11"/>
        <v>39</v>
      </c>
      <c r="DQ12" s="51">
        <f t="shared" ca="1" si="11"/>
        <v>21</v>
      </c>
      <c r="DR12" s="51">
        <f t="shared" ca="1" si="11"/>
        <v>27</v>
      </c>
      <c r="DS12" s="51">
        <f t="shared" ca="1" si="11"/>
        <v>26</v>
      </c>
      <c r="DT12" s="51">
        <f t="shared" ca="1" si="11"/>
        <v>13</v>
      </c>
      <c r="DU12" s="51">
        <f t="shared" ca="1" si="11"/>
        <v>3</v>
      </c>
      <c r="DV12" s="51">
        <f t="shared" ca="1" si="11"/>
        <v>13</v>
      </c>
      <c r="DW12" s="51">
        <f t="shared" ca="1" si="11"/>
        <v>40</v>
      </c>
      <c r="DX12" s="51">
        <f t="shared" ca="1" si="11"/>
        <v>32</v>
      </c>
      <c r="DY12" s="51">
        <f t="shared" ca="1" si="11"/>
        <v>27</v>
      </c>
      <c r="DZ12" s="51">
        <f t="shared" ca="1" si="11"/>
        <v>39</v>
      </c>
      <c r="EA12" s="51">
        <f t="shared" ca="1" si="11"/>
        <v>9</v>
      </c>
      <c r="EB12" s="51">
        <f t="shared" ca="1" si="11"/>
        <v>39</v>
      </c>
      <c r="EC12" s="51">
        <f t="shared" ref="EC12:EE14" ca="1" si="12">RANDBETWEEN(1, 40)</f>
        <v>18</v>
      </c>
      <c r="ED12" s="51">
        <f t="shared" ca="1" si="12"/>
        <v>9</v>
      </c>
      <c r="EE12" s="51">
        <f t="shared" ca="1" si="12"/>
        <v>21</v>
      </c>
    </row>
    <row r="13" spans="1:138" x14ac:dyDescent="0.4">
      <c r="A13" s="31" t="str">
        <f t="shared" si="3"/>
        <v>KPI ID 6</v>
      </c>
      <c r="B13" s="49" t="s">
        <v>66</v>
      </c>
      <c r="C13" s="50" t="s">
        <v>22</v>
      </c>
      <c r="D13" s="51">
        <f ca="1">RANDBETWEEN(1, 40)</f>
        <v>15</v>
      </c>
      <c r="E13" s="51">
        <f t="shared" ca="1" si="10"/>
        <v>32</v>
      </c>
      <c r="F13" s="51">
        <f t="shared" ca="1" si="10"/>
        <v>40</v>
      </c>
      <c r="G13" s="51">
        <f t="shared" ca="1" si="10"/>
        <v>25</v>
      </c>
      <c r="H13" s="51">
        <f t="shared" ca="1" si="10"/>
        <v>24</v>
      </c>
      <c r="I13" s="51">
        <f t="shared" ca="1" si="10"/>
        <v>3</v>
      </c>
      <c r="J13" s="51">
        <f t="shared" ca="1" si="10"/>
        <v>39</v>
      </c>
      <c r="K13" s="51">
        <f t="shared" ca="1" si="10"/>
        <v>12</v>
      </c>
      <c r="L13" s="51">
        <f t="shared" ca="1" si="10"/>
        <v>7</v>
      </c>
      <c r="M13" s="51">
        <f t="shared" ca="1" si="10"/>
        <v>9</v>
      </c>
      <c r="N13" s="51">
        <f t="shared" ca="1" si="10"/>
        <v>18</v>
      </c>
      <c r="O13" s="51">
        <f t="shared" ca="1" si="10"/>
        <v>29</v>
      </c>
      <c r="P13" s="51">
        <f t="shared" ca="1" si="10"/>
        <v>35</v>
      </c>
      <c r="Q13" s="51">
        <f t="shared" ca="1" si="10"/>
        <v>38</v>
      </c>
      <c r="R13" s="51">
        <f t="shared" ca="1" si="10"/>
        <v>1</v>
      </c>
      <c r="S13" s="51">
        <f t="shared" ca="1" si="10"/>
        <v>6</v>
      </c>
      <c r="T13" s="51">
        <f t="shared" ca="1" si="10"/>
        <v>28</v>
      </c>
      <c r="U13" s="51">
        <f t="shared" ca="1" si="10"/>
        <v>4</v>
      </c>
      <c r="V13" s="51">
        <f t="shared" ca="1" si="10"/>
        <v>24</v>
      </c>
      <c r="W13" s="51">
        <f t="shared" ca="1" si="10"/>
        <v>8</v>
      </c>
      <c r="X13" s="51">
        <f t="shared" ca="1" si="10"/>
        <v>21</v>
      </c>
      <c r="Y13" s="51">
        <f t="shared" ca="1" si="10"/>
        <v>33</v>
      </c>
      <c r="Z13" s="51">
        <f t="shared" ca="1" si="10"/>
        <v>36</v>
      </c>
      <c r="AA13" s="51">
        <f t="shared" ca="1" si="10"/>
        <v>32</v>
      </c>
      <c r="AB13" s="51">
        <f t="shared" ca="1" si="10"/>
        <v>34</v>
      </c>
      <c r="AC13" s="51">
        <f t="shared" ca="1" si="10"/>
        <v>38</v>
      </c>
      <c r="AD13" s="51">
        <f t="shared" ca="1" si="10"/>
        <v>28</v>
      </c>
      <c r="AE13" s="51">
        <f t="shared" ca="1" si="10"/>
        <v>26</v>
      </c>
      <c r="AF13" s="51">
        <f t="shared" ca="1" si="10"/>
        <v>18</v>
      </c>
      <c r="AG13" s="51">
        <f t="shared" ca="1" si="10"/>
        <v>30</v>
      </c>
      <c r="AH13" s="51">
        <f t="shared" ca="1" si="10"/>
        <v>20</v>
      </c>
      <c r="AI13" s="51">
        <f t="shared" ca="1" si="10"/>
        <v>12</v>
      </c>
      <c r="AJ13" s="51">
        <f t="shared" ca="1" si="10"/>
        <v>21</v>
      </c>
      <c r="AK13" s="51">
        <f t="shared" ca="1" si="10"/>
        <v>10</v>
      </c>
      <c r="AL13" s="51">
        <f t="shared" ca="1" si="10"/>
        <v>5</v>
      </c>
      <c r="AM13" s="51">
        <f t="shared" ca="1" si="10"/>
        <v>23</v>
      </c>
      <c r="AN13" s="51">
        <f t="shared" ca="1" si="10"/>
        <v>19</v>
      </c>
      <c r="AO13" s="51">
        <f t="shared" ca="1" si="10"/>
        <v>24</v>
      </c>
      <c r="AP13" s="51">
        <f t="shared" ca="1" si="10"/>
        <v>3</v>
      </c>
      <c r="AQ13" s="51">
        <f t="shared" ca="1" si="10"/>
        <v>2</v>
      </c>
      <c r="AR13" s="51">
        <f t="shared" ca="1" si="10"/>
        <v>25</v>
      </c>
      <c r="AS13" s="51">
        <f t="shared" ca="1" si="10"/>
        <v>8</v>
      </c>
      <c r="AT13" s="51">
        <f t="shared" ca="1" si="10"/>
        <v>24</v>
      </c>
      <c r="AU13" s="51">
        <f t="shared" ca="1" si="10"/>
        <v>27</v>
      </c>
      <c r="AV13" s="51">
        <f t="shared" ca="1" si="10"/>
        <v>34</v>
      </c>
      <c r="AW13" s="51">
        <f t="shared" ca="1" si="10"/>
        <v>10</v>
      </c>
      <c r="AX13" s="51">
        <f t="shared" ca="1" si="10"/>
        <v>18</v>
      </c>
      <c r="AY13" s="51">
        <f t="shared" ca="1" si="10"/>
        <v>31</v>
      </c>
      <c r="AZ13" s="51">
        <f t="shared" ca="1" si="10"/>
        <v>32</v>
      </c>
      <c r="BA13" s="51">
        <f t="shared" ca="1" si="10"/>
        <v>33</v>
      </c>
      <c r="BB13" s="51">
        <f t="shared" ca="1" si="10"/>
        <v>26</v>
      </c>
      <c r="BC13" s="51">
        <f t="shared" ca="1" si="10"/>
        <v>29</v>
      </c>
      <c r="BD13" s="51">
        <f t="shared" ca="1" si="10"/>
        <v>21</v>
      </c>
      <c r="BE13" s="51">
        <f t="shared" ca="1" si="10"/>
        <v>38</v>
      </c>
      <c r="BF13" s="51">
        <f t="shared" ca="1" si="10"/>
        <v>28</v>
      </c>
      <c r="BG13" s="51">
        <f t="shared" ca="1" si="10"/>
        <v>11</v>
      </c>
      <c r="BH13" s="51">
        <f t="shared" ca="1" si="10"/>
        <v>20</v>
      </c>
      <c r="BI13" s="51">
        <f t="shared" ca="1" si="10"/>
        <v>36</v>
      </c>
      <c r="BJ13" s="51">
        <f t="shared" ca="1" si="10"/>
        <v>22</v>
      </c>
      <c r="BK13" s="51">
        <f t="shared" ca="1" si="10"/>
        <v>17</v>
      </c>
      <c r="BL13" s="51">
        <f t="shared" ca="1" si="10"/>
        <v>28</v>
      </c>
      <c r="BM13" s="51">
        <f t="shared" ca="1" si="10"/>
        <v>19</v>
      </c>
      <c r="BN13" s="51">
        <f t="shared" ca="1" si="10"/>
        <v>12</v>
      </c>
      <c r="BO13" s="51">
        <f t="shared" ca="1" si="10"/>
        <v>17</v>
      </c>
      <c r="BP13" s="51">
        <f t="shared" ca="1" si="10"/>
        <v>24</v>
      </c>
      <c r="BQ13" s="51">
        <f t="shared" ca="1" si="11"/>
        <v>7</v>
      </c>
      <c r="BR13" s="51">
        <f t="shared" ca="1" si="11"/>
        <v>20</v>
      </c>
      <c r="BS13" s="51">
        <f t="shared" ca="1" si="11"/>
        <v>37</v>
      </c>
      <c r="BT13" s="51">
        <f t="shared" ca="1" si="11"/>
        <v>34</v>
      </c>
      <c r="BU13" s="51">
        <f t="shared" ca="1" si="11"/>
        <v>12</v>
      </c>
      <c r="BV13" s="51">
        <f t="shared" ca="1" si="11"/>
        <v>2</v>
      </c>
      <c r="BW13" s="51">
        <f t="shared" ca="1" si="11"/>
        <v>26</v>
      </c>
      <c r="BX13" s="51">
        <f t="shared" ca="1" si="11"/>
        <v>21</v>
      </c>
      <c r="BY13" s="51">
        <f t="shared" ca="1" si="11"/>
        <v>16</v>
      </c>
      <c r="BZ13" s="51">
        <f t="shared" ca="1" si="11"/>
        <v>29</v>
      </c>
      <c r="CA13" s="51">
        <f t="shared" ca="1" si="11"/>
        <v>28</v>
      </c>
      <c r="CB13" s="51">
        <f t="shared" ca="1" si="11"/>
        <v>7</v>
      </c>
      <c r="CC13" s="51">
        <f t="shared" ca="1" si="11"/>
        <v>18</v>
      </c>
      <c r="CD13" s="51">
        <f t="shared" ca="1" si="11"/>
        <v>17</v>
      </c>
      <c r="CE13" s="51">
        <f t="shared" ca="1" si="11"/>
        <v>1</v>
      </c>
      <c r="CF13" s="51">
        <f t="shared" ca="1" si="11"/>
        <v>4</v>
      </c>
      <c r="CG13" s="51">
        <f t="shared" ca="1" si="11"/>
        <v>36</v>
      </c>
      <c r="CH13" s="51">
        <f t="shared" ca="1" si="11"/>
        <v>34</v>
      </c>
      <c r="CI13" s="51">
        <f t="shared" ca="1" si="11"/>
        <v>18</v>
      </c>
      <c r="CJ13" s="51">
        <f t="shared" ca="1" si="11"/>
        <v>16</v>
      </c>
      <c r="CK13" s="51">
        <f t="shared" ca="1" si="11"/>
        <v>32</v>
      </c>
      <c r="CL13" s="51">
        <f t="shared" ca="1" si="11"/>
        <v>6</v>
      </c>
      <c r="CM13" s="51">
        <f t="shared" ca="1" si="11"/>
        <v>4</v>
      </c>
      <c r="CN13" s="51">
        <f t="shared" ca="1" si="11"/>
        <v>25</v>
      </c>
      <c r="CO13" s="51">
        <f t="shared" ca="1" si="11"/>
        <v>5</v>
      </c>
      <c r="CP13" s="51">
        <f t="shared" ca="1" si="11"/>
        <v>22</v>
      </c>
      <c r="CQ13" s="51">
        <f t="shared" ca="1" si="11"/>
        <v>14</v>
      </c>
      <c r="CR13" s="51">
        <f t="shared" ca="1" si="11"/>
        <v>16</v>
      </c>
      <c r="CS13" s="51">
        <f t="shared" ca="1" si="11"/>
        <v>30</v>
      </c>
      <c r="CT13" s="51">
        <f t="shared" ca="1" si="11"/>
        <v>37</v>
      </c>
      <c r="CU13" s="51">
        <f t="shared" ca="1" si="11"/>
        <v>40</v>
      </c>
      <c r="CV13" s="51">
        <f t="shared" ca="1" si="11"/>
        <v>1</v>
      </c>
      <c r="CW13" s="51">
        <f t="shared" ca="1" si="11"/>
        <v>23</v>
      </c>
      <c r="CX13" s="51">
        <f t="shared" ca="1" si="11"/>
        <v>32</v>
      </c>
      <c r="CY13" s="51">
        <f t="shared" ca="1" si="11"/>
        <v>35</v>
      </c>
      <c r="CZ13" s="51">
        <f t="shared" ca="1" si="11"/>
        <v>34</v>
      </c>
      <c r="DA13" s="51">
        <f t="shared" ca="1" si="11"/>
        <v>7</v>
      </c>
      <c r="DB13" s="51">
        <f t="shared" ca="1" si="11"/>
        <v>18</v>
      </c>
      <c r="DC13" s="51">
        <f t="shared" ca="1" si="11"/>
        <v>34</v>
      </c>
      <c r="DD13" s="51">
        <f t="shared" ca="1" si="11"/>
        <v>23</v>
      </c>
      <c r="DE13" s="51">
        <f t="shared" ca="1" si="11"/>
        <v>22</v>
      </c>
      <c r="DF13" s="51">
        <f t="shared" ca="1" si="11"/>
        <v>1</v>
      </c>
      <c r="DG13" s="51">
        <f t="shared" ca="1" si="11"/>
        <v>22</v>
      </c>
      <c r="DH13" s="51">
        <f t="shared" ca="1" si="11"/>
        <v>24</v>
      </c>
      <c r="DI13" s="51">
        <f t="shared" ca="1" si="11"/>
        <v>7</v>
      </c>
      <c r="DJ13" s="51">
        <f t="shared" ca="1" si="11"/>
        <v>9</v>
      </c>
      <c r="DK13" s="51">
        <f t="shared" ca="1" si="11"/>
        <v>37</v>
      </c>
      <c r="DL13" s="51">
        <f t="shared" ca="1" si="11"/>
        <v>34</v>
      </c>
      <c r="DM13" s="51">
        <f t="shared" ca="1" si="11"/>
        <v>3</v>
      </c>
      <c r="DN13" s="51">
        <f t="shared" ca="1" si="11"/>
        <v>27</v>
      </c>
      <c r="DO13" s="51">
        <f t="shared" ca="1" si="11"/>
        <v>33</v>
      </c>
      <c r="DP13" s="51">
        <f t="shared" ca="1" si="11"/>
        <v>10</v>
      </c>
      <c r="DQ13" s="51">
        <f t="shared" ca="1" si="11"/>
        <v>33</v>
      </c>
      <c r="DR13" s="51">
        <f t="shared" ca="1" si="11"/>
        <v>36</v>
      </c>
      <c r="DS13" s="51">
        <f t="shared" ca="1" si="11"/>
        <v>22</v>
      </c>
      <c r="DT13" s="51">
        <f t="shared" ca="1" si="11"/>
        <v>38</v>
      </c>
      <c r="DU13" s="51">
        <f t="shared" ca="1" si="11"/>
        <v>19</v>
      </c>
      <c r="DV13" s="51">
        <f t="shared" ca="1" si="11"/>
        <v>36</v>
      </c>
      <c r="DW13" s="51">
        <f t="shared" ca="1" si="11"/>
        <v>3</v>
      </c>
      <c r="DX13" s="51">
        <f t="shared" ca="1" si="11"/>
        <v>12</v>
      </c>
      <c r="DY13" s="51">
        <f t="shared" ca="1" si="11"/>
        <v>27</v>
      </c>
      <c r="DZ13" s="51">
        <f t="shared" ca="1" si="11"/>
        <v>32</v>
      </c>
      <c r="EA13" s="51">
        <f t="shared" ca="1" si="11"/>
        <v>5</v>
      </c>
      <c r="EB13" s="51">
        <f t="shared" ca="1" si="11"/>
        <v>21</v>
      </c>
      <c r="EC13" s="51">
        <f t="shared" ca="1" si="12"/>
        <v>6</v>
      </c>
      <c r="ED13" s="51">
        <f t="shared" ca="1" si="12"/>
        <v>3</v>
      </c>
      <c r="EE13" s="51">
        <f t="shared" ca="1" si="12"/>
        <v>20</v>
      </c>
    </row>
    <row r="14" spans="1:138" x14ac:dyDescent="0.4">
      <c r="A14" s="31" t="str">
        <f t="shared" si="3"/>
        <v>KPI ID 7</v>
      </c>
      <c r="B14" s="49" t="s">
        <v>57</v>
      </c>
      <c r="C14" s="50" t="s">
        <v>23</v>
      </c>
      <c r="D14" s="51">
        <f ca="1">RANDBETWEEN(1, 40)</f>
        <v>10</v>
      </c>
      <c r="E14" s="51">
        <f t="shared" ca="1" si="10"/>
        <v>10</v>
      </c>
      <c r="F14" s="51">
        <f t="shared" ca="1" si="10"/>
        <v>23</v>
      </c>
      <c r="G14" s="51">
        <f t="shared" ca="1" si="10"/>
        <v>10</v>
      </c>
      <c r="H14" s="51">
        <f t="shared" ca="1" si="10"/>
        <v>26</v>
      </c>
      <c r="I14" s="51">
        <f t="shared" ca="1" si="10"/>
        <v>10</v>
      </c>
      <c r="J14" s="51">
        <f t="shared" ca="1" si="10"/>
        <v>35</v>
      </c>
      <c r="K14" s="51">
        <f t="shared" ca="1" si="10"/>
        <v>24</v>
      </c>
      <c r="L14" s="51">
        <f t="shared" ca="1" si="10"/>
        <v>35</v>
      </c>
      <c r="M14" s="51">
        <f t="shared" ca="1" si="10"/>
        <v>15</v>
      </c>
      <c r="N14" s="51">
        <f t="shared" ca="1" si="10"/>
        <v>21</v>
      </c>
      <c r="O14" s="51">
        <f t="shared" ca="1" si="10"/>
        <v>39</v>
      </c>
      <c r="P14" s="51">
        <f t="shared" ca="1" si="10"/>
        <v>26</v>
      </c>
      <c r="Q14" s="51">
        <f t="shared" ca="1" si="10"/>
        <v>40</v>
      </c>
      <c r="R14" s="51">
        <f t="shared" ca="1" si="10"/>
        <v>6</v>
      </c>
      <c r="S14" s="51">
        <f t="shared" ca="1" si="10"/>
        <v>40</v>
      </c>
      <c r="T14" s="51">
        <f t="shared" ca="1" si="10"/>
        <v>31</v>
      </c>
      <c r="U14" s="51">
        <f t="shared" ca="1" si="10"/>
        <v>36</v>
      </c>
      <c r="V14" s="51">
        <f t="shared" ca="1" si="10"/>
        <v>35</v>
      </c>
      <c r="W14" s="51">
        <f t="shared" ca="1" si="10"/>
        <v>18</v>
      </c>
      <c r="X14" s="51">
        <f t="shared" ca="1" si="10"/>
        <v>3</v>
      </c>
      <c r="Y14" s="51">
        <f t="shared" ca="1" si="10"/>
        <v>25</v>
      </c>
      <c r="Z14" s="51">
        <f t="shared" ca="1" si="10"/>
        <v>19</v>
      </c>
      <c r="AA14" s="51">
        <f t="shared" ca="1" si="10"/>
        <v>17</v>
      </c>
      <c r="AB14" s="51">
        <f t="shared" ca="1" si="10"/>
        <v>32</v>
      </c>
      <c r="AC14" s="51">
        <f t="shared" ca="1" si="10"/>
        <v>1</v>
      </c>
      <c r="AD14" s="51">
        <f t="shared" ca="1" si="10"/>
        <v>34</v>
      </c>
      <c r="AE14" s="51">
        <f t="shared" ca="1" si="10"/>
        <v>2</v>
      </c>
      <c r="AF14" s="51">
        <f t="shared" ca="1" si="10"/>
        <v>25</v>
      </c>
      <c r="AG14" s="51">
        <f t="shared" ca="1" si="10"/>
        <v>30</v>
      </c>
      <c r="AH14" s="51">
        <f t="shared" ca="1" si="10"/>
        <v>9</v>
      </c>
      <c r="AI14" s="51">
        <f t="shared" ca="1" si="10"/>
        <v>40</v>
      </c>
      <c r="AJ14" s="51">
        <f t="shared" ca="1" si="10"/>
        <v>27</v>
      </c>
      <c r="AK14" s="51">
        <f t="shared" ca="1" si="10"/>
        <v>15</v>
      </c>
      <c r="AL14" s="51">
        <f t="shared" ca="1" si="10"/>
        <v>29</v>
      </c>
      <c r="AM14" s="51">
        <f t="shared" ca="1" si="10"/>
        <v>1</v>
      </c>
      <c r="AN14" s="51">
        <f t="shared" ca="1" si="10"/>
        <v>37</v>
      </c>
      <c r="AO14" s="51">
        <f t="shared" ca="1" si="10"/>
        <v>21</v>
      </c>
      <c r="AP14" s="51">
        <f t="shared" ca="1" si="10"/>
        <v>6</v>
      </c>
      <c r="AQ14" s="51">
        <f t="shared" ca="1" si="10"/>
        <v>15</v>
      </c>
      <c r="AR14" s="51">
        <f t="shared" ca="1" si="10"/>
        <v>4</v>
      </c>
      <c r="AS14" s="51">
        <f t="shared" ca="1" si="10"/>
        <v>33</v>
      </c>
      <c r="AT14" s="51">
        <f t="shared" ca="1" si="10"/>
        <v>7</v>
      </c>
      <c r="AU14" s="51">
        <f t="shared" ca="1" si="10"/>
        <v>17</v>
      </c>
      <c r="AV14" s="51">
        <f t="shared" ca="1" si="10"/>
        <v>18</v>
      </c>
      <c r="AW14" s="51">
        <f t="shared" ca="1" si="10"/>
        <v>1</v>
      </c>
      <c r="AX14" s="51">
        <f t="shared" ca="1" si="10"/>
        <v>6</v>
      </c>
      <c r="AY14" s="51">
        <f t="shared" ca="1" si="10"/>
        <v>26</v>
      </c>
      <c r="AZ14" s="51">
        <f t="shared" ca="1" si="10"/>
        <v>26</v>
      </c>
      <c r="BA14" s="51">
        <f t="shared" ca="1" si="10"/>
        <v>5</v>
      </c>
      <c r="BB14" s="51">
        <f t="shared" ca="1" si="10"/>
        <v>4</v>
      </c>
      <c r="BC14" s="51">
        <f t="shared" ca="1" si="10"/>
        <v>7</v>
      </c>
      <c r="BD14" s="51">
        <f t="shared" ca="1" si="10"/>
        <v>4</v>
      </c>
      <c r="BE14" s="51">
        <f t="shared" ca="1" si="10"/>
        <v>40</v>
      </c>
      <c r="BF14" s="51">
        <f t="shared" ca="1" si="10"/>
        <v>30</v>
      </c>
      <c r="BG14" s="51">
        <f t="shared" ca="1" si="10"/>
        <v>27</v>
      </c>
      <c r="BH14" s="51">
        <f t="shared" ca="1" si="10"/>
        <v>32</v>
      </c>
      <c r="BI14" s="51">
        <f t="shared" ca="1" si="10"/>
        <v>34</v>
      </c>
      <c r="BJ14" s="51">
        <f t="shared" ca="1" si="10"/>
        <v>12</v>
      </c>
      <c r="BK14" s="51">
        <f t="shared" ca="1" si="10"/>
        <v>21</v>
      </c>
      <c r="BL14" s="51">
        <f t="shared" ca="1" si="10"/>
        <v>19</v>
      </c>
      <c r="BM14" s="51">
        <f t="shared" ca="1" si="10"/>
        <v>33</v>
      </c>
      <c r="BN14" s="51">
        <f t="shared" ca="1" si="10"/>
        <v>36</v>
      </c>
      <c r="BO14" s="51">
        <f t="shared" ca="1" si="10"/>
        <v>3</v>
      </c>
      <c r="BP14" s="51">
        <f t="shared" ca="1" si="10"/>
        <v>21</v>
      </c>
      <c r="BQ14" s="51">
        <f t="shared" ca="1" si="11"/>
        <v>11</v>
      </c>
      <c r="BR14" s="51">
        <f t="shared" ca="1" si="11"/>
        <v>23</v>
      </c>
      <c r="BS14" s="51">
        <f t="shared" ca="1" si="11"/>
        <v>22</v>
      </c>
      <c r="BT14" s="51">
        <f t="shared" ca="1" si="11"/>
        <v>9</v>
      </c>
      <c r="BU14" s="51">
        <f t="shared" ca="1" si="11"/>
        <v>31</v>
      </c>
      <c r="BV14" s="51">
        <f t="shared" ca="1" si="11"/>
        <v>19</v>
      </c>
      <c r="BW14" s="51">
        <f t="shared" ca="1" si="11"/>
        <v>23</v>
      </c>
      <c r="BX14" s="51">
        <f t="shared" ca="1" si="11"/>
        <v>18</v>
      </c>
      <c r="BY14" s="51">
        <f t="shared" ca="1" si="11"/>
        <v>33</v>
      </c>
      <c r="BZ14" s="51">
        <f t="shared" ca="1" si="11"/>
        <v>36</v>
      </c>
      <c r="CA14" s="51">
        <f t="shared" ca="1" si="11"/>
        <v>26</v>
      </c>
      <c r="CB14" s="51">
        <f t="shared" ca="1" si="11"/>
        <v>39</v>
      </c>
      <c r="CC14" s="51">
        <f t="shared" ca="1" si="11"/>
        <v>14</v>
      </c>
      <c r="CD14" s="51">
        <f t="shared" ca="1" si="11"/>
        <v>25</v>
      </c>
      <c r="CE14" s="51">
        <f t="shared" ca="1" si="11"/>
        <v>39</v>
      </c>
      <c r="CF14" s="51">
        <f t="shared" ca="1" si="11"/>
        <v>6</v>
      </c>
      <c r="CG14" s="51">
        <f t="shared" ca="1" si="11"/>
        <v>17</v>
      </c>
      <c r="CH14" s="51">
        <f t="shared" ca="1" si="11"/>
        <v>23</v>
      </c>
      <c r="CI14" s="51">
        <f t="shared" ca="1" si="11"/>
        <v>24</v>
      </c>
      <c r="CJ14" s="51">
        <f t="shared" ca="1" si="11"/>
        <v>32</v>
      </c>
      <c r="CK14" s="51">
        <f t="shared" ca="1" si="11"/>
        <v>31</v>
      </c>
      <c r="CL14" s="51">
        <f t="shared" ca="1" si="11"/>
        <v>40</v>
      </c>
      <c r="CM14" s="51">
        <f t="shared" ca="1" si="11"/>
        <v>22</v>
      </c>
      <c r="CN14" s="51">
        <f t="shared" ca="1" si="11"/>
        <v>2</v>
      </c>
      <c r="CO14" s="51">
        <f t="shared" ca="1" si="11"/>
        <v>5</v>
      </c>
      <c r="CP14" s="51">
        <f t="shared" ca="1" si="11"/>
        <v>30</v>
      </c>
      <c r="CQ14" s="51">
        <f t="shared" ca="1" si="11"/>
        <v>24</v>
      </c>
      <c r="CR14" s="51">
        <f t="shared" ca="1" si="11"/>
        <v>5</v>
      </c>
      <c r="CS14" s="51">
        <f t="shared" ca="1" si="11"/>
        <v>23</v>
      </c>
      <c r="CT14" s="51">
        <f t="shared" ca="1" si="11"/>
        <v>4</v>
      </c>
      <c r="CU14" s="51">
        <f t="shared" ca="1" si="11"/>
        <v>36</v>
      </c>
      <c r="CV14" s="51">
        <f t="shared" ca="1" si="11"/>
        <v>35</v>
      </c>
      <c r="CW14" s="51">
        <f t="shared" ca="1" si="11"/>
        <v>27</v>
      </c>
      <c r="CX14" s="51">
        <f t="shared" ca="1" si="11"/>
        <v>27</v>
      </c>
      <c r="CY14" s="51">
        <f t="shared" ca="1" si="11"/>
        <v>21</v>
      </c>
      <c r="CZ14" s="51">
        <f t="shared" ca="1" si="11"/>
        <v>38</v>
      </c>
      <c r="DA14" s="51">
        <f t="shared" ca="1" si="11"/>
        <v>35</v>
      </c>
      <c r="DB14" s="51">
        <f t="shared" ca="1" si="11"/>
        <v>33</v>
      </c>
      <c r="DC14" s="51">
        <f t="shared" ca="1" si="11"/>
        <v>15</v>
      </c>
      <c r="DD14" s="51">
        <f t="shared" ca="1" si="11"/>
        <v>38</v>
      </c>
      <c r="DE14" s="51">
        <f t="shared" ca="1" si="11"/>
        <v>24</v>
      </c>
      <c r="DF14" s="51">
        <f t="shared" ca="1" si="11"/>
        <v>30</v>
      </c>
      <c r="DG14" s="51">
        <f t="shared" ca="1" si="11"/>
        <v>16</v>
      </c>
      <c r="DH14" s="51">
        <f t="shared" ca="1" si="11"/>
        <v>40</v>
      </c>
      <c r="DI14" s="51">
        <f t="shared" ca="1" si="11"/>
        <v>27</v>
      </c>
      <c r="DJ14" s="51">
        <f t="shared" ca="1" si="11"/>
        <v>22</v>
      </c>
      <c r="DK14" s="51">
        <f t="shared" ca="1" si="11"/>
        <v>21</v>
      </c>
      <c r="DL14" s="51">
        <f t="shared" ca="1" si="11"/>
        <v>37</v>
      </c>
      <c r="DM14" s="51">
        <f t="shared" ca="1" si="11"/>
        <v>12</v>
      </c>
      <c r="DN14" s="51">
        <f t="shared" ca="1" si="11"/>
        <v>1</v>
      </c>
      <c r="DO14" s="51">
        <f t="shared" ca="1" si="11"/>
        <v>35</v>
      </c>
      <c r="DP14" s="51">
        <f t="shared" ca="1" si="11"/>
        <v>7</v>
      </c>
      <c r="DQ14" s="51">
        <f t="shared" ca="1" si="11"/>
        <v>14</v>
      </c>
      <c r="DR14" s="51">
        <f t="shared" ca="1" si="11"/>
        <v>13</v>
      </c>
      <c r="DS14" s="51">
        <f t="shared" ca="1" si="11"/>
        <v>37</v>
      </c>
      <c r="DT14" s="51">
        <f t="shared" ca="1" si="11"/>
        <v>23</v>
      </c>
      <c r="DU14" s="51">
        <f t="shared" ca="1" si="11"/>
        <v>24</v>
      </c>
      <c r="DV14" s="51">
        <f t="shared" ca="1" si="11"/>
        <v>1</v>
      </c>
      <c r="DW14" s="51">
        <f t="shared" ca="1" si="11"/>
        <v>31</v>
      </c>
      <c r="DX14" s="51">
        <f t="shared" ca="1" si="11"/>
        <v>40</v>
      </c>
      <c r="DY14" s="51">
        <f t="shared" ca="1" si="11"/>
        <v>24</v>
      </c>
      <c r="DZ14" s="51">
        <f t="shared" ca="1" si="11"/>
        <v>17</v>
      </c>
      <c r="EA14" s="51">
        <f t="shared" ca="1" si="11"/>
        <v>15</v>
      </c>
      <c r="EB14" s="51">
        <f t="shared" ca="1" si="11"/>
        <v>10</v>
      </c>
      <c r="EC14" s="51">
        <f t="shared" ca="1" si="12"/>
        <v>23</v>
      </c>
      <c r="ED14" s="51">
        <f t="shared" ca="1" si="12"/>
        <v>11</v>
      </c>
      <c r="EE14" s="51">
        <f t="shared" ca="1" si="12"/>
        <v>13</v>
      </c>
    </row>
    <row r="15" spans="1:138" x14ac:dyDescent="0.4">
      <c r="A15" s="31" t="str">
        <f t="shared" si="3"/>
        <v>KPI ID 8 %</v>
      </c>
      <c r="B15" s="49" t="s">
        <v>58</v>
      </c>
      <c r="C15" s="50" t="s">
        <v>24</v>
      </c>
      <c r="D15" s="51">
        <f ca="1">RAND()</f>
        <v>0.15283628698792462</v>
      </c>
      <c r="E15" s="51">
        <f ca="1">RAND()</f>
        <v>5.262539544249567E-2</v>
      </c>
      <c r="F15" s="51">
        <f ca="1">RAND()</f>
        <v>0.36283128324676173</v>
      </c>
      <c r="G15" s="51">
        <f ca="1">RAND()</f>
        <v>0.5585027620905848</v>
      </c>
      <c r="H15" s="51">
        <f ca="1">RAND()</f>
        <v>0.31004620855148635</v>
      </c>
      <c r="I15" s="51">
        <f ca="1">RAND()</f>
        <v>0.24997184333756406</v>
      </c>
      <c r="J15" s="51">
        <f ca="1">RAND()</f>
        <v>0.93529106039637022</v>
      </c>
      <c r="K15" s="51">
        <f ca="1">RAND()</f>
        <v>9.183286406833413E-3</v>
      </c>
      <c r="L15" s="51">
        <f ca="1">RAND()</f>
        <v>0.78637582007912377</v>
      </c>
      <c r="M15" s="51">
        <f ca="1">RAND()</f>
        <v>0.91427266280602026</v>
      </c>
      <c r="N15" s="51">
        <f ca="1">RAND()</f>
        <v>0.11395810481367341</v>
      </c>
      <c r="O15" s="51">
        <f ca="1">RAND()</f>
        <v>0.4319670194845594</v>
      </c>
      <c r="P15" s="51">
        <f ca="1">RAND()</f>
        <v>0.383910347417727</v>
      </c>
      <c r="Q15" s="51">
        <f ca="1">RAND()</f>
        <v>0.68538686881890731</v>
      </c>
      <c r="R15" s="51">
        <f ca="1">RAND()</f>
        <v>8.9383301012323058E-2</v>
      </c>
      <c r="S15" s="51">
        <f ca="1">RAND()</f>
        <v>0.77813539381956631</v>
      </c>
      <c r="T15" s="51">
        <f ca="1">RAND()</f>
        <v>0.293734882905756</v>
      </c>
      <c r="U15" s="51">
        <f ca="1">RAND()</f>
        <v>0.84439235196131823</v>
      </c>
      <c r="V15" s="51">
        <f ca="1">RAND()</f>
        <v>0.92979310846498009</v>
      </c>
      <c r="W15" s="51">
        <f ca="1">RAND()</f>
        <v>0.88919650544565498</v>
      </c>
      <c r="X15" s="51">
        <f ca="1">RAND()</f>
        <v>0.15018425776555766</v>
      </c>
      <c r="Y15" s="51">
        <f ca="1">RAND()</f>
        <v>0.10374939650923898</v>
      </c>
      <c r="Z15" s="51">
        <f ca="1">RAND()</f>
        <v>0.54128162025510762</v>
      </c>
      <c r="AA15" s="51">
        <f ca="1">RAND()</f>
        <v>0.64787930167527807</v>
      </c>
      <c r="AB15" s="51">
        <f ca="1">RAND()</f>
        <v>0.41327369852690055</v>
      </c>
      <c r="AC15" s="51">
        <f ca="1">RAND()</f>
        <v>0.29105523139528999</v>
      </c>
      <c r="AD15" s="51">
        <f ca="1">RAND()</f>
        <v>0.42059639773204438</v>
      </c>
      <c r="AE15" s="51">
        <f ca="1">RAND()</f>
        <v>8.5781770849791772E-2</v>
      </c>
      <c r="AF15" s="51">
        <f ca="1">RAND()</f>
        <v>8.3401235984455702E-2</v>
      </c>
      <c r="AG15" s="51">
        <f ca="1">RAND()</f>
        <v>0.75161564801912784</v>
      </c>
      <c r="AH15" s="51">
        <f ca="1">RAND()</f>
        <v>0.29342150685615287</v>
      </c>
      <c r="AI15" s="51">
        <f ca="1">RAND()</f>
        <v>0.42287552397768113</v>
      </c>
      <c r="AJ15" s="51">
        <f ca="1">RAND()</f>
        <v>0.22862267414114124</v>
      </c>
      <c r="AK15" s="51">
        <f ca="1">RAND()</f>
        <v>0.78003417317481738</v>
      </c>
      <c r="AL15" s="51">
        <f ca="1">RAND()</f>
        <v>0.80498043465683677</v>
      </c>
      <c r="AM15" s="51">
        <f ca="1">RAND()</f>
        <v>0.59535838685005815</v>
      </c>
      <c r="AN15" s="51">
        <f ca="1">RAND()</f>
        <v>0.5570342149057983</v>
      </c>
      <c r="AO15" s="51">
        <f ca="1">RAND()</f>
        <v>0.7328239936825891</v>
      </c>
      <c r="AP15" s="51">
        <f ca="1">RAND()</f>
        <v>0.93030752907411751</v>
      </c>
      <c r="AQ15" s="51">
        <f ca="1">RAND()</f>
        <v>8.5753524826909566E-2</v>
      </c>
      <c r="AR15" s="51">
        <f ca="1">RAND()</f>
        <v>0.6734654598501868</v>
      </c>
      <c r="AS15" s="51">
        <f ca="1">RAND()</f>
        <v>0.31115031263593662</v>
      </c>
      <c r="AT15" s="51">
        <f ca="1">RAND()</f>
        <v>0.6505587279180256</v>
      </c>
      <c r="AU15" s="51">
        <f ca="1">RAND()</f>
        <v>0.40946721690268673</v>
      </c>
      <c r="AV15" s="51">
        <f ca="1">RAND()</f>
        <v>0.84363297171823193</v>
      </c>
      <c r="AW15" s="51">
        <f ca="1">RAND()</f>
        <v>0.68279175625620292</v>
      </c>
      <c r="AX15" s="51">
        <f ca="1">RAND()</f>
        <v>0.24391868329357702</v>
      </c>
      <c r="AY15" s="51">
        <f ca="1">RAND()</f>
        <v>0.38650084225451653</v>
      </c>
      <c r="AZ15" s="51">
        <f ca="1">RAND()</f>
        <v>0.3398031702817742</v>
      </c>
      <c r="BA15" s="51">
        <f ca="1">RAND()</f>
        <v>0.75971412836083452</v>
      </c>
      <c r="BB15" s="51">
        <f ca="1">RAND()</f>
        <v>0.53736783414104683</v>
      </c>
      <c r="BC15" s="51">
        <f ca="1">RAND()</f>
        <v>0.88389265603125</v>
      </c>
      <c r="BD15" s="51">
        <f ca="1">RAND()</f>
        <v>0.2824734070777617</v>
      </c>
      <c r="BE15" s="51">
        <f ca="1">RAND()</f>
        <v>0.25949498789014358</v>
      </c>
      <c r="BF15" s="51">
        <f ca="1">RAND()</f>
        <v>0.29180585396067216</v>
      </c>
      <c r="BG15" s="51">
        <f ca="1">RAND()</f>
        <v>0.41989734816064539</v>
      </c>
      <c r="BH15" s="51">
        <f ca="1">RAND()</f>
        <v>0.49221563741358099</v>
      </c>
      <c r="BI15" s="51">
        <f ca="1">RAND()</f>
        <v>0.48160778089980871</v>
      </c>
      <c r="BJ15" s="51">
        <f ca="1">RAND()</f>
        <v>0.79396827350470456</v>
      </c>
      <c r="BK15" s="51">
        <f ca="1">RAND()</f>
        <v>0.99380875634983368</v>
      </c>
      <c r="BL15" s="51">
        <f ca="1">RAND()</f>
        <v>0.81125415953098001</v>
      </c>
      <c r="BM15" s="51">
        <f ca="1">RAND()</f>
        <v>0.62295222515677462</v>
      </c>
      <c r="BN15" s="51">
        <f ca="1">RAND()</f>
        <v>1.7779331416474031E-2</v>
      </c>
      <c r="BO15" s="51">
        <f ca="1">RAND()</f>
        <v>0.45313595189361211</v>
      </c>
      <c r="BP15" s="51">
        <f ca="1">RAND()</f>
        <v>0.46111411012133108</v>
      </c>
      <c r="BQ15" s="51">
        <f ca="1">RAND()</f>
        <v>0.3628950430300758</v>
      </c>
      <c r="BR15" s="51">
        <f ca="1">RAND()</f>
        <v>0.86353853909568745</v>
      </c>
      <c r="BS15" s="51">
        <f ca="1">RAND()</f>
        <v>0.44573031180517686</v>
      </c>
      <c r="BT15" s="51">
        <f ca="1">RAND()</f>
        <v>4.0724700246870693E-2</v>
      </c>
      <c r="BU15" s="51">
        <f ca="1">RAND()</f>
        <v>0.76022469911807933</v>
      </c>
      <c r="BV15" s="51">
        <f ca="1">RAND()</f>
        <v>0.28406244892992893</v>
      </c>
      <c r="BW15" s="51">
        <f ca="1">RAND()</f>
        <v>0.41749049481315403</v>
      </c>
      <c r="BX15" s="51">
        <f ca="1">RAND()</f>
        <v>0.90789636801235141</v>
      </c>
      <c r="BY15" s="51">
        <f ca="1">RAND()</f>
        <v>0.68437473461102727</v>
      </c>
      <c r="BZ15" s="51">
        <f ca="1">RAND()</f>
        <v>0.79855986884209262</v>
      </c>
      <c r="CA15" s="51">
        <f ca="1">RAND()</f>
        <v>0.19762808386269703</v>
      </c>
      <c r="CB15" s="51">
        <f ca="1">RAND()</f>
        <v>0.23796877128604621</v>
      </c>
      <c r="CC15" s="51">
        <f ca="1">RAND()</f>
        <v>0.89935026754831504</v>
      </c>
      <c r="CD15" s="51">
        <f ca="1">RAND()</f>
        <v>0.70322421115443534</v>
      </c>
      <c r="CE15" s="51">
        <f ca="1">RAND()</f>
        <v>0.88697514419169898</v>
      </c>
      <c r="CF15" s="51">
        <f ca="1">RAND()</f>
        <v>0.79783089801095686</v>
      </c>
      <c r="CG15" s="51">
        <f ca="1">RAND()</f>
        <v>0.1835546835989017</v>
      </c>
      <c r="CH15" s="51">
        <f ca="1">RAND()</f>
        <v>0.94897199430950707</v>
      </c>
      <c r="CI15" s="51">
        <f ca="1">RAND()</f>
        <v>0.81286298690491665</v>
      </c>
      <c r="CJ15" s="51">
        <f ca="1">RAND()</f>
        <v>0.92450096374007473</v>
      </c>
      <c r="CK15" s="51">
        <f ca="1">RAND()</f>
        <v>0.774681408441383</v>
      </c>
      <c r="CL15" s="51">
        <f ca="1">RAND()</f>
        <v>0.3425953918925646</v>
      </c>
      <c r="CM15" s="51">
        <f ca="1">RAND()</f>
        <v>4.8761082128601418E-2</v>
      </c>
      <c r="CN15" s="51">
        <f ca="1">RAND()</f>
        <v>0.94696110225325536</v>
      </c>
      <c r="CO15" s="51">
        <f ca="1">RAND()</f>
        <v>0.13289520569301783</v>
      </c>
      <c r="CP15" s="51">
        <f ca="1">RAND()</f>
        <v>6.8787726410190819E-2</v>
      </c>
      <c r="CQ15" s="51">
        <f ca="1">RAND()</f>
        <v>0.67475881196992626</v>
      </c>
      <c r="CR15" s="51">
        <f ca="1">RAND()</f>
        <v>0.36182600894495942</v>
      </c>
      <c r="CS15" s="51">
        <f ca="1">RAND()</f>
        <v>0.84224198355762836</v>
      </c>
      <c r="CT15" s="51">
        <f ca="1">RAND()</f>
        <v>0.3485946775655151</v>
      </c>
      <c r="CU15" s="51">
        <f ca="1">RAND()</f>
        <v>0.43247014909671744</v>
      </c>
      <c r="CV15" s="51">
        <f ca="1">RAND()</f>
        <v>0.82262857892580155</v>
      </c>
      <c r="CW15" s="51">
        <f ca="1">RAND()</f>
        <v>0.89525494648997128</v>
      </c>
      <c r="CX15" s="51">
        <f ca="1">RAND()</f>
        <v>0.99853197474967414</v>
      </c>
      <c r="CY15" s="51">
        <f ca="1">RAND()</f>
        <v>0.91534346683653245</v>
      </c>
      <c r="CZ15" s="51">
        <f ca="1">RAND()</f>
        <v>0.47795798012481705</v>
      </c>
      <c r="DA15" s="51">
        <f ca="1">RAND()</f>
        <v>0.9428125795879394</v>
      </c>
      <c r="DB15" s="51">
        <f ca="1">RAND()</f>
        <v>0.95921892177994383</v>
      </c>
      <c r="DC15" s="51">
        <f ca="1">RAND()</f>
        <v>0.98488704764960866</v>
      </c>
      <c r="DD15" s="51">
        <f ca="1">RAND()</f>
        <v>0.37229198052376755</v>
      </c>
      <c r="DE15" s="51">
        <f ca="1">RAND()</f>
        <v>0.89469090879117019</v>
      </c>
      <c r="DF15" s="51">
        <f ca="1">RAND()</f>
        <v>0.92213166986768058</v>
      </c>
      <c r="DG15" s="51">
        <f ca="1">RAND()</f>
        <v>0.91318788751887325</v>
      </c>
      <c r="DH15" s="51">
        <f ca="1">RAND()</f>
        <v>0.53488219895856848</v>
      </c>
      <c r="DI15" s="51">
        <f ca="1">RAND()</f>
        <v>0.28192476119754417</v>
      </c>
      <c r="DJ15" s="51">
        <f ca="1">RAND()</f>
        <v>0.1182539374617475</v>
      </c>
      <c r="DK15" s="51">
        <f ca="1">RAND()</f>
        <v>3.5268223774020946E-4</v>
      </c>
      <c r="DL15" s="51">
        <f ca="1">RAND()</f>
        <v>0.49504333549638468</v>
      </c>
      <c r="DM15" s="51">
        <f ca="1">RAND()</f>
        <v>9.5489677726787181E-2</v>
      </c>
      <c r="DN15" s="51">
        <f ca="1">RAND()</f>
        <v>0.18121400554231193</v>
      </c>
      <c r="DO15" s="51">
        <f ca="1">RAND()</f>
        <v>0.53454825485223001</v>
      </c>
      <c r="DP15" s="51">
        <f ca="1">RAND()</f>
        <v>0.72372361539019314</v>
      </c>
      <c r="DQ15" s="51">
        <f ca="1">RAND()</f>
        <v>0.73460413035850769</v>
      </c>
      <c r="DR15" s="51">
        <f ca="1">RAND()</f>
        <v>0.7491842342942745</v>
      </c>
      <c r="DS15" s="51">
        <f ca="1">RAND()</f>
        <v>0.60592586149652661</v>
      </c>
      <c r="DT15" s="51">
        <f ca="1">RAND()</f>
        <v>0.49451487932879912</v>
      </c>
      <c r="DU15" s="51">
        <f ca="1">RAND()</f>
        <v>0.69133944254349489</v>
      </c>
      <c r="DV15" s="51">
        <f ca="1">RAND()</f>
        <v>0.612210864098924</v>
      </c>
      <c r="DW15" s="51">
        <f ca="1">RAND()</f>
        <v>0.68244301909199101</v>
      </c>
      <c r="DX15" s="51">
        <f ca="1">RAND()</f>
        <v>0.91535349662470178</v>
      </c>
      <c r="DY15" s="51">
        <f ca="1">RAND()</f>
        <v>0.89706872554465189</v>
      </c>
      <c r="DZ15" s="51">
        <f ca="1">RAND()</f>
        <v>0.83609334828136883</v>
      </c>
      <c r="EA15" s="51">
        <f ca="1">RAND()</f>
        <v>0.33367124482051314</v>
      </c>
      <c r="EB15" s="51">
        <f ca="1">RAND()</f>
        <v>0.54009284055075779</v>
      </c>
      <c r="EC15" s="51">
        <f ca="1">RAND()</f>
        <v>0.94892878646187928</v>
      </c>
      <c r="ED15" s="51">
        <f ca="1">RAND()</f>
        <v>0.18281279683933238</v>
      </c>
      <c r="EE15" s="51">
        <f ca="1">RAND()</f>
        <v>0.34270633771225678</v>
      </c>
    </row>
    <row r="16" spans="1:138" ht="29.15" x14ac:dyDescent="0.4">
      <c r="A16" s="31" t="str">
        <f t="shared" si="3"/>
        <v>KPI ID 9 %</v>
      </c>
      <c r="B16" s="49" t="s">
        <v>59</v>
      </c>
      <c r="C16" s="50" t="s">
        <v>25</v>
      </c>
      <c r="D16" s="51">
        <f ca="1">RAND()</f>
        <v>0.32233956214438098</v>
      </c>
      <c r="E16" s="51">
        <f ca="1">RAND()</f>
        <v>0.28867499261719842</v>
      </c>
      <c r="F16" s="51">
        <f ca="1">RAND()</f>
        <v>0.35164941686040607</v>
      </c>
      <c r="G16" s="51">
        <f ca="1">RAND()</f>
        <v>0.93510701971435894</v>
      </c>
      <c r="H16" s="51">
        <f ca="1">RAND()</f>
        <v>0.91438973774105525</v>
      </c>
      <c r="I16" s="51">
        <f ca="1">RAND()</f>
        <v>0.82833389507720767</v>
      </c>
      <c r="J16" s="51">
        <f ca="1">RAND()</f>
        <v>0.25309988597204047</v>
      </c>
      <c r="K16" s="51">
        <f ca="1">RAND()</f>
        <v>0.47938966270328431</v>
      </c>
      <c r="L16" s="51">
        <f ca="1">RAND()</f>
        <v>0.67121765691138791</v>
      </c>
      <c r="M16" s="51">
        <f ca="1">RAND()</f>
        <v>5.0996347745420167E-2</v>
      </c>
      <c r="N16" s="51">
        <f ca="1">RAND()</f>
        <v>0.65219870518011158</v>
      </c>
      <c r="O16" s="51">
        <f ca="1">RAND()</f>
        <v>0.56210229047831417</v>
      </c>
      <c r="P16" s="51">
        <f ca="1">RAND()</f>
        <v>0.4052197811190883</v>
      </c>
      <c r="Q16" s="51">
        <f ca="1">RAND()</f>
        <v>0.80102143676434945</v>
      </c>
      <c r="R16" s="51">
        <f ca="1">RAND()</f>
        <v>0.20412136733562902</v>
      </c>
      <c r="S16" s="51">
        <f ca="1">RAND()</f>
        <v>0.23206505411721667</v>
      </c>
      <c r="T16" s="51">
        <f ca="1">RAND()</f>
        <v>0.17535866590089855</v>
      </c>
      <c r="U16" s="51">
        <f ca="1">RAND()</f>
        <v>0.80704365073671591</v>
      </c>
      <c r="V16" s="51">
        <f ca="1">RAND()</f>
        <v>0.25638678081885091</v>
      </c>
      <c r="W16" s="51">
        <f ca="1">RAND()</f>
        <v>0.57057500226450852</v>
      </c>
      <c r="X16" s="51">
        <f ca="1">RAND()</f>
        <v>0.28775853365302084</v>
      </c>
      <c r="Y16" s="51">
        <f ca="1">RAND()</f>
        <v>0.36812078819947336</v>
      </c>
      <c r="Z16" s="51">
        <f ca="1">RAND()</f>
        <v>0.55856835094104929</v>
      </c>
      <c r="AA16" s="51">
        <f ca="1">RAND()</f>
        <v>0.39102883702750035</v>
      </c>
      <c r="AB16" s="51">
        <f ca="1">RAND()</f>
        <v>0.99345110739240972</v>
      </c>
      <c r="AC16" s="51">
        <f ca="1">RAND()</f>
        <v>1.8712916125739554E-2</v>
      </c>
      <c r="AD16" s="51">
        <f ca="1">RAND()</f>
        <v>0.41118624544160487</v>
      </c>
      <c r="AE16" s="51">
        <f ca="1">RAND()</f>
        <v>0.83409178098987991</v>
      </c>
      <c r="AF16" s="51">
        <f ca="1">RAND()</f>
        <v>0.43596701443339714</v>
      </c>
      <c r="AG16" s="51">
        <f ca="1">RAND()</f>
        <v>0.2199511296541985</v>
      </c>
      <c r="AH16" s="51">
        <f ca="1">RAND()</f>
        <v>0.18510722148676895</v>
      </c>
      <c r="AI16" s="51">
        <f ca="1">RAND()</f>
        <v>0.62029313755139681</v>
      </c>
      <c r="AJ16" s="51">
        <f ca="1">RAND()</f>
        <v>0.9447125106006109</v>
      </c>
      <c r="AK16" s="51">
        <f ca="1">RAND()</f>
        <v>0.99049146886968609</v>
      </c>
      <c r="AL16" s="51">
        <f ca="1">RAND()</f>
        <v>0.74974352887389961</v>
      </c>
      <c r="AM16" s="51">
        <f ca="1">RAND()</f>
        <v>0.55760472276921114</v>
      </c>
      <c r="AN16" s="51">
        <f ca="1">RAND()</f>
        <v>0.25671210894618246</v>
      </c>
      <c r="AO16" s="51">
        <f ca="1">RAND()</f>
        <v>0.79183007291449559</v>
      </c>
      <c r="AP16" s="51">
        <f ca="1">RAND()</f>
        <v>0.7305786876644228</v>
      </c>
      <c r="AQ16" s="51">
        <f ca="1">RAND()</f>
        <v>0.23398211910806188</v>
      </c>
      <c r="AR16" s="51">
        <f ca="1">RAND()</f>
        <v>0.63547928139097476</v>
      </c>
      <c r="AS16" s="51">
        <f ca="1">RAND()</f>
        <v>2.5290085065816537E-2</v>
      </c>
      <c r="AT16" s="51">
        <f ca="1">RAND()</f>
        <v>0.76607459645872811</v>
      </c>
      <c r="AU16" s="51">
        <f ca="1">RAND()</f>
        <v>0.6698207903170813</v>
      </c>
      <c r="AV16" s="51">
        <f ca="1">RAND()</f>
        <v>0.52888896920110984</v>
      </c>
      <c r="AW16" s="51">
        <f ca="1">RAND()</f>
        <v>0.61091871140657539</v>
      </c>
      <c r="AX16" s="51">
        <f ca="1">RAND()</f>
        <v>0.90341553811496644</v>
      </c>
      <c r="AY16" s="51">
        <f ca="1">RAND()</f>
        <v>0.5814029015807517</v>
      </c>
      <c r="AZ16" s="51">
        <f ca="1">RAND()</f>
        <v>0.86747273428688165</v>
      </c>
      <c r="BA16" s="51">
        <f ca="1">RAND()</f>
        <v>0.48029653827953411</v>
      </c>
      <c r="BB16" s="51">
        <f ca="1">RAND()</f>
        <v>0.15973641318530651</v>
      </c>
      <c r="BC16" s="51">
        <f ca="1">RAND()</f>
        <v>0.41799045031947335</v>
      </c>
      <c r="BD16" s="51">
        <f ca="1">RAND()</f>
        <v>0.28485497419561889</v>
      </c>
      <c r="BE16" s="51">
        <f ca="1">RAND()</f>
        <v>0.66474062079049911</v>
      </c>
      <c r="BF16" s="51">
        <f ca="1">RAND()</f>
        <v>0.26126478635478612</v>
      </c>
      <c r="BG16" s="51">
        <f ca="1">RAND()</f>
        <v>0.61144735794576732</v>
      </c>
      <c r="BH16" s="51">
        <f ca="1">RAND()</f>
        <v>0.65930012246724923</v>
      </c>
      <c r="BI16" s="51">
        <f ca="1">RAND()</f>
        <v>0.20083208026423305</v>
      </c>
      <c r="BJ16" s="51">
        <f ca="1">RAND()</f>
        <v>0.13459211409606375</v>
      </c>
      <c r="BK16" s="51">
        <f ca="1">RAND()</f>
        <v>2.4901794954906409E-2</v>
      </c>
      <c r="BL16" s="51">
        <f ca="1">RAND()</f>
        <v>0.39683222963300224</v>
      </c>
      <c r="BM16" s="51">
        <f ca="1">RAND()</f>
        <v>0.15327947704674305</v>
      </c>
      <c r="BN16" s="51">
        <f ca="1">RAND()</f>
        <v>0.99422400385368725</v>
      </c>
      <c r="BO16" s="51">
        <f ca="1">RAND()</f>
        <v>0.62478440688842618</v>
      </c>
      <c r="BP16" s="51">
        <f ca="1">RAND()</f>
        <v>0.85944594197302493</v>
      </c>
      <c r="BQ16" s="51">
        <f ca="1">RAND()</f>
        <v>0.98165178977834178</v>
      </c>
      <c r="BR16" s="51">
        <f ca="1">RAND()</f>
        <v>0.468465518137958</v>
      </c>
      <c r="BS16" s="51">
        <f ca="1">RAND()</f>
        <v>0.90400058251514115</v>
      </c>
      <c r="BT16" s="51">
        <f ca="1">RAND()</f>
        <v>0.23226208358348688</v>
      </c>
      <c r="BU16" s="51">
        <f ca="1">RAND()</f>
        <v>0.71037778297471899</v>
      </c>
      <c r="BV16" s="51">
        <f ca="1">RAND()</f>
        <v>0.43381686421293542</v>
      </c>
      <c r="BW16" s="51">
        <f ca="1">RAND()</f>
        <v>0.94355564882729048</v>
      </c>
      <c r="BX16" s="51">
        <f ca="1">RAND()</f>
        <v>0.26922282485012483</v>
      </c>
      <c r="BY16" s="51">
        <f ca="1">RAND()</f>
        <v>0.51205387520770795</v>
      </c>
      <c r="BZ16" s="51">
        <f ca="1">RAND()</f>
        <v>0.57368199906092787</v>
      </c>
      <c r="CA16" s="51">
        <f ca="1">RAND()</f>
        <v>0.37418627446674679</v>
      </c>
      <c r="CB16" s="51">
        <f ca="1">RAND()</f>
        <v>0.30165441303919427</v>
      </c>
      <c r="CC16" s="51">
        <f ca="1">RAND()</f>
        <v>0.59728473958260953</v>
      </c>
      <c r="CD16" s="51">
        <f ca="1">RAND()</f>
        <v>4.0379262775344538E-2</v>
      </c>
      <c r="CE16" s="51">
        <f ca="1">RAND()</f>
        <v>0.97466395903897951</v>
      </c>
      <c r="CF16" s="51">
        <f ca="1">RAND()</f>
        <v>0.77850271523615766</v>
      </c>
      <c r="CG16" s="51">
        <f ca="1">RAND()</f>
        <v>0.19449941271577265</v>
      </c>
      <c r="CH16" s="51">
        <f ca="1">RAND()</f>
        <v>0.18642018785785519</v>
      </c>
      <c r="CI16" s="51">
        <f ca="1">RAND()</f>
        <v>0.97924518632713287</v>
      </c>
      <c r="CJ16" s="51">
        <f ca="1">RAND()</f>
        <v>0.61106155817071794</v>
      </c>
      <c r="CK16" s="51">
        <f ca="1">RAND()</f>
        <v>0.27464260879059077</v>
      </c>
      <c r="CL16" s="51">
        <f ca="1">RAND()</f>
        <v>0.76964756372831555</v>
      </c>
      <c r="CM16" s="51">
        <f ca="1">RAND()</f>
        <v>0.91634259476420177</v>
      </c>
      <c r="CN16" s="51">
        <f ca="1">RAND()</f>
        <v>0.76441901431031756</v>
      </c>
      <c r="CO16" s="51">
        <f ca="1">RAND()</f>
        <v>0.98730937955658749</v>
      </c>
      <c r="CP16" s="51">
        <f ca="1">RAND()</f>
        <v>1.7091501230226736E-2</v>
      </c>
      <c r="CQ16" s="51">
        <f ca="1">RAND()</f>
        <v>0.51378444567767989</v>
      </c>
      <c r="CR16" s="51">
        <f ca="1">RAND()</f>
        <v>0.78572154104038561</v>
      </c>
      <c r="CS16" s="51">
        <f ca="1">RAND()</f>
        <v>0.80528966067834051</v>
      </c>
      <c r="CT16" s="51">
        <f ca="1">RAND()</f>
        <v>0.39722209491063742</v>
      </c>
      <c r="CU16" s="51">
        <f ca="1">RAND()</f>
        <v>0.15652378851819049</v>
      </c>
      <c r="CV16" s="51">
        <f ca="1">RAND()</f>
        <v>0.22909903307238699</v>
      </c>
      <c r="CW16" s="51">
        <f ca="1">RAND()</f>
        <v>0.13931813619545019</v>
      </c>
      <c r="CX16" s="51">
        <f ca="1">RAND()</f>
        <v>0.39066983645472431</v>
      </c>
      <c r="CY16" s="51">
        <f ca="1">RAND()</f>
        <v>0.35545865269160204</v>
      </c>
      <c r="CZ16" s="51">
        <f ca="1">RAND()</f>
        <v>0.65533347516661522</v>
      </c>
      <c r="DA16" s="51">
        <f ca="1">RAND()</f>
        <v>0.23218466466644738</v>
      </c>
      <c r="DB16" s="51">
        <f ca="1">RAND()</f>
        <v>0.51396446422552744</v>
      </c>
      <c r="DC16" s="51">
        <f ca="1">RAND()</f>
        <v>0.92586016845190522</v>
      </c>
      <c r="DD16" s="51">
        <f ca="1">RAND()</f>
        <v>0.4999904423738043</v>
      </c>
      <c r="DE16" s="51">
        <f ca="1">RAND()</f>
        <v>0.18578109731957515</v>
      </c>
      <c r="DF16" s="51">
        <f ca="1">RAND()</f>
        <v>0.80231823139070391</v>
      </c>
      <c r="DG16" s="51">
        <f ca="1">RAND()</f>
        <v>0.25905884078191554</v>
      </c>
      <c r="DH16" s="51">
        <f ca="1">RAND()</f>
        <v>0.73600479476982694</v>
      </c>
      <c r="DI16" s="51">
        <f ca="1">RAND()</f>
        <v>0.33621145444884282</v>
      </c>
      <c r="DJ16" s="51">
        <f ca="1">RAND()</f>
        <v>0.31725396788722926</v>
      </c>
      <c r="DK16" s="51">
        <f ca="1">RAND()</f>
        <v>0.38402763373834226</v>
      </c>
      <c r="DL16" s="51">
        <f ca="1">RAND()</f>
        <v>0.98733941268550973</v>
      </c>
      <c r="DM16" s="51">
        <f ca="1">RAND()</f>
        <v>0.15256218476383909</v>
      </c>
      <c r="DN16" s="51">
        <f ca="1">RAND()</f>
        <v>0.52383899203016615</v>
      </c>
      <c r="DO16" s="51">
        <f ca="1">RAND()</f>
        <v>0.65758526030311359</v>
      </c>
      <c r="DP16" s="51">
        <f ca="1">RAND()</f>
        <v>8.5039793958186283E-2</v>
      </c>
      <c r="DQ16" s="51">
        <f ca="1">RAND()</f>
        <v>0.45043061686736297</v>
      </c>
      <c r="DR16" s="51">
        <f ca="1">RAND()</f>
        <v>5.224658587455322E-2</v>
      </c>
      <c r="DS16" s="51">
        <f ca="1">RAND()</f>
        <v>0.4261801313714294</v>
      </c>
      <c r="DT16" s="51">
        <f ca="1">RAND()</f>
        <v>0.47403898925304955</v>
      </c>
      <c r="DU16" s="51">
        <f ca="1">RAND()</f>
        <v>0.15371111612021793</v>
      </c>
      <c r="DV16" s="51">
        <f ca="1">RAND()</f>
        <v>0.84147706622253959</v>
      </c>
      <c r="DW16" s="51">
        <f ca="1">RAND()</f>
        <v>0.50563884490106004</v>
      </c>
      <c r="DX16" s="51">
        <f ca="1">RAND()</f>
        <v>0.37071678394818552</v>
      </c>
      <c r="DY16" s="51">
        <f ca="1">RAND()</f>
        <v>0.12770956657204346</v>
      </c>
      <c r="DZ16" s="51">
        <f ca="1">RAND()</f>
        <v>0.93745407184567109</v>
      </c>
      <c r="EA16" s="51">
        <f ca="1">RAND()</f>
        <v>0.2694045081255757</v>
      </c>
      <c r="EB16" s="51">
        <f ca="1">RAND()</f>
        <v>0.80269376803190562</v>
      </c>
      <c r="EC16" s="51">
        <f ca="1">RAND()</f>
        <v>0.45506117685154102</v>
      </c>
      <c r="ED16" s="51">
        <f ca="1">RAND()</f>
        <v>0.2896121595537734</v>
      </c>
      <c r="EE16" s="51">
        <f ca="1">RAND()</f>
        <v>3.0564294150317695E-2</v>
      </c>
    </row>
    <row r="17" spans="1:135" x14ac:dyDescent="0.4">
      <c r="A17" s="31" t="str">
        <f t="shared" si="3"/>
        <v>KPI ID 10</v>
      </c>
      <c r="B17" s="49" t="s">
        <v>60</v>
      </c>
      <c r="C17" s="50" t="s">
        <v>26</v>
      </c>
      <c r="D17" s="51">
        <f ca="1">RANDBETWEEN(1, 100)</f>
        <v>7</v>
      </c>
      <c r="E17" s="51">
        <f ca="1">RANDBETWEEN(1, 100)</f>
        <v>6</v>
      </c>
      <c r="F17" s="51">
        <f ca="1">RANDBETWEEN(1, 100)</f>
        <v>40</v>
      </c>
      <c r="G17" s="51">
        <f ca="1">RANDBETWEEN(1, 100)</f>
        <v>85</v>
      </c>
      <c r="H17" s="51">
        <f ca="1">RANDBETWEEN(1, 100)</f>
        <v>61</v>
      </c>
      <c r="I17" s="51">
        <f ca="1">RANDBETWEEN(1, 100)</f>
        <v>36</v>
      </c>
      <c r="J17" s="51">
        <f ca="1">RANDBETWEEN(1, 100)</f>
        <v>25</v>
      </c>
      <c r="K17" s="51">
        <f ca="1">RANDBETWEEN(1, 100)</f>
        <v>63</v>
      </c>
      <c r="L17" s="51">
        <f ca="1">RANDBETWEEN(1, 100)</f>
        <v>62</v>
      </c>
      <c r="M17" s="51">
        <f ca="1">RANDBETWEEN(1, 100)</f>
        <v>1</v>
      </c>
      <c r="N17" s="51">
        <f ca="1">RANDBETWEEN(1, 100)</f>
        <v>55</v>
      </c>
      <c r="O17" s="51">
        <f ca="1">RANDBETWEEN(1, 100)</f>
        <v>70</v>
      </c>
      <c r="P17" s="51">
        <f ca="1">RANDBETWEEN(1, 100)</f>
        <v>48</v>
      </c>
      <c r="Q17" s="51">
        <f ca="1">RANDBETWEEN(1, 100)</f>
        <v>63</v>
      </c>
      <c r="R17" s="51">
        <f ca="1">RANDBETWEEN(1, 100)</f>
        <v>68</v>
      </c>
      <c r="S17" s="51">
        <f ca="1">RANDBETWEEN(1, 100)</f>
        <v>8</v>
      </c>
      <c r="T17" s="51">
        <f ca="1">RANDBETWEEN(1, 100)</f>
        <v>59</v>
      </c>
      <c r="U17" s="51">
        <f ca="1">RANDBETWEEN(1, 100)</f>
        <v>5</v>
      </c>
      <c r="V17" s="51">
        <f ca="1">RANDBETWEEN(1, 100)</f>
        <v>80</v>
      </c>
      <c r="W17" s="51">
        <f ca="1">RANDBETWEEN(1, 100)</f>
        <v>73</v>
      </c>
      <c r="X17" s="51">
        <f ca="1">RANDBETWEEN(1, 100)</f>
        <v>17</v>
      </c>
      <c r="Y17" s="51">
        <f ca="1">RANDBETWEEN(1, 100)</f>
        <v>90</v>
      </c>
      <c r="Z17" s="51">
        <f ca="1">RANDBETWEEN(1, 100)</f>
        <v>88</v>
      </c>
      <c r="AA17" s="51">
        <f ca="1">RANDBETWEEN(1, 100)</f>
        <v>86</v>
      </c>
      <c r="AB17" s="51">
        <f ca="1">RANDBETWEEN(1, 100)</f>
        <v>65</v>
      </c>
      <c r="AC17" s="51">
        <f ca="1">RANDBETWEEN(1, 100)</f>
        <v>51</v>
      </c>
      <c r="AD17" s="51">
        <f ca="1">RANDBETWEEN(1, 100)</f>
        <v>3</v>
      </c>
      <c r="AE17" s="51">
        <f ca="1">RANDBETWEEN(1, 100)</f>
        <v>26</v>
      </c>
      <c r="AF17" s="51">
        <f ca="1">RANDBETWEEN(1, 100)</f>
        <v>87</v>
      </c>
      <c r="AG17" s="51">
        <f ca="1">RANDBETWEEN(1, 100)</f>
        <v>26</v>
      </c>
      <c r="AH17" s="51">
        <f ca="1">RANDBETWEEN(1, 100)</f>
        <v>27</v>
      </c>
      <c r="AI17" s="51">
        <f ca="1">RANDBETWEEN(1, 100)</f>
        <v>16</v>
      </c>
      <c r="AJ17" s="51">
        <f ca="1">RANDBETWEEN(1, 100)</f>
        <v>92</v>
      </c>
      <c r="AK17" s="51">
        <f ca="1">RANDBETWEEN(1, 100)</f>
        <v>45</v>
      </c>
      <c r="AL17" s="51">
        <f ca="1">RANDBETWEEN(1, 100)</f>
        <v>3</v>
      </c>
      <c r="AM17" s="51">
        <f ca="1">RANDBETWEEN(1, 100)</f>
        <v>41</v>
      </c>
      <c r="AN17" s="51">
        <f ca="1">RANDBETWEEN(1, 100)</f>
        <v>36</v>
      </c>
      <c r="AO17" s="51">
        <f ca="1">RANDBETWEEN(1, 100)</f>
        <v>99</v>
      </c>
      <c r="AP17" s="51">
        <f ca="1">RANDBETWEEN(1, 100)</f>
        <v>82</v>
      </c>
      <c r="AQ17" s="51">
        <f ca="1">RANDBETWEEN(1, 100)</f>
        <v>24</v>
      </c>
      <c r="AR17" s="51">
        <f ca="1">RANDBETWEEN(1, 100)</f>
        <v>2</v>
      </c>
      <c r="AS17" s="51">
        <f ca="1">RANDBETWEEN(1, 100)</f>
        <v>75</v>
      </c>
      <c r="AT17" s="51">
        <f ca="1">RANDBETWEEN(1, 100)</f>
        <v>93</v>
      </c>
      <c r="AU17" s="51">
        <f ca="1">RANDBETWEEN(1, 100)</f>
        <v>30</v>
      </c>
      <c r="AV17" s="51">
        <f ca="1">RANDBETWEEN(1, 100)</f>
        <v>8</v>
      </c>
      <c r="AW17" s="51">
        <f ca="1">RANDBETWEEN(1, 100)</f>
        <v>67</v>
      </c>
      <c r="AX17" s="51">
        <f ca="1">RANDBETWEEN(1, 100)</f>
        <v>25</v>
      </c>
      <c r="AY17" s="51">
        <f ca="1">RANDBETWEEN(1, 100)</f>
        <v>65</v>
      </c>
      <c r="AZ17" s="51">
        <f ca="1">RANDBETWEEN(1, 100)</f>
        <v>85</v>
      </c>
      <c r="BA17" s="51">
        <f ca="1">RANDBETWEEN(1, 100)</f>
        <v>77</v>
      </c>
      <c r="BB17" s="51">
        <f ca="1">RANDBETWEEN(1, 100)</f>
        <v>50</v>
      </c>
      <c r="BC17" s="51">
        <f ca="1">RANDBETWEEN(1, 100)</f>
        <v>54</v>
      </c>
      <c r="BD17" s="51">
        <f ca="1">RANDBETWEEN(1, 100)</f>
        <v>92</v>
      </c>
      <c r="BE17" s="51">
        <f ca="1">RANDBETWEEN(1, 100)</f>
        <v>50</v>
      </c>
      <c r="BF17" s="51">
        <f ca="1">RANDBETWEEN(1, 100)</f>
        <v>62</v>
      </c>
      <c r="BG17" s="51">
        <f ca="1">RANDBETWEEN(1, 100)</f>
        <v>20</v>
      </c>
      <c r="BH17" s="51">
        <f ca="1">RANDBETWEEN(1, 100)</f>
        <v>46</v>
      </c>
      <c r="BI17" s="51">
        <f ca="1">RANDBETWEEN(1, 100)</f>
        <v>13</v>
      </c>
      <c r="BJ17" s="51">
        <f ca="1">RANDBETWEEN(1, 100)</f>
        <v>79</v>
      </c>
      <c r="BK17" s="51">
        <f ca="1">RANDBETWEEN(1, 100)</f>
        <v>40</v>
      </c>
      <c r="BL17" s="51">
        <f ca="1">RANDBETWEEN(1, 100)</f>
        <v>93</v>
      </c>
      <c r="BM17" s="51">
        <f ca="1">RANDBETWEEN(1, 100)</f>
        <v>16</v>
      </c>
      <c r="BN17" s="51">
        <f ca="1">RANDBETWEEN(1, 100)</f>
        <v>9</v>
      </c>
      <c r="BO17" s="51">
        <f ca="1">RANDBETWEEN(1, 100)</f>
        <v>23</v>
      </c>
      <c r="BP17" s="51">
        <f ca="1">RANDBETWEEN(1, 100)</f>
        <v>89</v>
      </c>
      <c r="BQ17" s="51">
        <f ca="1">RANDBETWEEN(1, 100)</f>
        <v>69</v>
      </c>
      <c r="BR17" s="51">
        <f ca="1">RANDBETWEEN(1, 100)</f>
        <v>16</v>
      </c>
      <c r="BS17" s="51">
        <f ca="1">RANDBETWEEN(1, 100)</f>
        <v>70</v>
      </c>
      <c r="BT17" s="51">
        <f ca="1">RANDBETWEEN(1, 100)</f>
        <v>96</v>
      </c>
      <c r="BU17" s="51">
        <f ca="1">RANDBETWEEN(1, 100)</f>
        <v>84</v>
      </c>
      <c r="BV17" s="51">
        <f ca="1">RANDBETWEEN(1, 100)</f>
        <v>9</v>
      </c>
      <c r="BW17" s="51">
        <f ca="1">RANDBETWEEN(1, 100)</f>
        <v>67</v>
      </c>
      <c r="BX17" s="51">
        <f ca="1">RANDBETWEEN(1, 100)</f>
        <v>31</v>
      </c>
      <c r="BY17" s="51">
        <f ca="1">RANDBETWEEN(1, 100)</f>
        <v>42</v>
      </c>
      <c r="BZ17" s="51">
        <f ca="1">RANDBETWEEN(1, 100)</f>
        <v>32</v>
      </c>
      <c r="CA17" s="51">
        <f ca="1">RANDBETWEEN(1, 100)</f>
        <v>69</v>
      </c>
      <c r="CB17" s="51">
        <f ca="1">RANDBETWEEN(1, 100)</f>
        <v>43</v>
      </c>
      <c r="CC17" s="51">
        <f ca="1">RANDBETWEEN(1, 100)</f>
        <v>53</v>
      </c>
      <c r="CD17" s="51">
        <f ca="1">RANDBETWEEN(1, 100)</f>
        <v>45</v>
      </c>
      <c r="CE17" s="51">
        <f ca="1">RANDBETWEEN(1, 100)</f>
        <v>52</v>
      </c>
      <c r="CF17" s="51">
        <f ca="1">RANDBETWEEN(1, 100)</f>
        <v>68</v>
      </c>
      <c r="CG17" s="51">
        <f ca="1">RANDBETWEEN(1, 100)</f>
        <v>37</v>
      </c>
      <c r="CH17" s="51">
        <f ca="1">RANDBETWEEN(1, 100)</f>
        <v>50</v>
      </c>
      <c r="CI17" s="51">
        <f ca="1">RANDBETWEEN(1, 100)</f>
        <v>13</v>
      </c>
      <c r="CJ17" s="51">
        <f ca="1">RANDBETWEEN(1, 100)</f>
        <v>21</v>
      </c>
      <c r="CK17" s="51">
        <f ca="1">RANDBETWEEN(1, 100)</f>
        <v>44</v>
      </c>
      <c r="CL17" s="51">
        <f ca="1">RANDBETWEEN(1, 100)</f>
        <v>94</v>
      </c>
      <c r="CM17" s="51">
        <f ca="1">RANDBETWEEN(1, 100)</f>
        <v>56</v>
      </c>
      <c r="CN17" s="51">
        <f ca="1">RANDBETWEEN(1, 100)</f>
        <v>11</v>
      </c>
      <c r="CO17" s="51">
        <f ca="1">RANDBETWEEN(1, 100)</f>
        <v>31</v>
      </c>
      <c r="CP17" s="51">
        <f ca="1">RANDBETWEEN(1, 100)</f>
        <v>5</v>
      </c>
      <c r="CQ17" s="51">
        <f ca="1">RANDBETWEEN(1, 100)</f>
        <v>82</v>
      </c>
      <c r="CR17" s="51">
        <f ca="1">RANDBETWEEN(1, 100)</f>
        <v>49</v>
      </c>
      <c r="CS17" s="51">
        <f ca="1">RANDBETWEEN(1, 100)</f>
        <v>15</v>
      </c>
      <c r="CT17" s="51">
        <f ca="1">RANDBETWEEN(1, 100)</f>
        <v>51</v>
      </c>
      <c r="CU17" s="51">
        <f ca="1">RANDBETWEEN(1, 100)</f>
        <v>15</v>
      </c>
      <c r="CV17" s="51">
        <f ca="1">RANDBETWEEN(1, 100)</f>
        <v>40</v>
      </c>
      <c r="CW17" s="51">
        <f ca="1">RANDBETWEEN(1, 100)</f>
        <v>14</v>
      </c>
      <c r="CX17" s="51">
        <f ca="1">RANDBETWEEN(1, 100)</f>
        <v>15</v>
      </c>
      <c r="CY17" s="51">
        <f ca="1">RANDBETWEEN(1, 100)</f>
        <v>9</v>
      </c>
      <c r="CZ17" s="51">
        <f ca="1">RANDBETWEEN(1, 100)</f>
        <v>21</v>
      </c>
      <c r="DA17" s="51">
        <f ca="1">RANDBETWEEN(1, 100)</f>
        <v>78</v>
      </c>
      <c r="DB17" s="51">
        <f ca="1">RANDBETWEEN(1, 100)</f>
        <v>84</v>
      </c>
      <c r="DC17" s="51">
        <f ca="1">RANDBETWEEN(1, 100)</f>
        <v>83</v>
      </c>
      <c r="DD17" s="51">
        <f ca="1">RANDBETWEEN(1, 100)</f>
        <v>47</v>
      </c>
      <c r="DE17" s="51">
        <f ca="1">RANDBETWEEN(1, 100)</f>
        <v>69</v>
      </c>
      <c r="DF17" s="51">
        <f ca="1">RANDBETWEEN(1, 100)</f>
        <v>33</v>
      </c>
      <c r="DG17" s="51">
        <f ca="1">RANDBETWEEN(1, 100)</f>
        <v>27</v>
      </c>
      <c r="DH17" s="51">
        <f ca="1">RANDBETWEEN(1, 100)</f>
        <v>32</v>
      </c>
      <c r="DI17" s="51">
        <f ca="1">RANDBETWEEN(1, 100)</f>
        <v>92</v>
      </c>
      <c r="DJ17" s="51">
        <f ca="1">RANDBETWEEN(1, 100)</f>
        <v>80</v>
      </c>
      <c r="DK17" s="51">
        <f ca="1">RANDBETWEEN(1, 100)</f>
        <v>90</v>
      </c>
      <c r="DL17" s="51">
        <f ca="1">RANDBETWEEN(1, 100)</f>
        <v>11</v>
      </c>
      <c r="DM17" s="51">
        <f ca="1">RANDBETWEEN(1, 100)</f>
        <v>74</v>
      </c>
      <c r="DN17" s="51">
        <f ca="1">RANDBETWEEN(1, 100)</f>
        <v>33</v>
      </c>
      <c r="DO17" s="51">
        <f ca="1">RANDBETWEEN(1, 100)</f>
        <v>80</v>
      </c>
      <c r="DP17" s="51">
        <f ca="1">RANDBETWEEN(1, 100)</f>
        <v>93</v>
      </c>
      <c r="DQ17" s="51">
        <f ca="1">RANDBETWEEN(1, 100)</f>
        <v>47</v>
      </c>
      <c r="DR17" s="51">
        <f ca="1">RANDBETWEEN(1, 100)</f>
        <v>30</v>
      </c>
      <c r="DS17" s="51">
        <f ca="1">RANDBETWEEN(1, 100)</f>
        <v>45</v>
      </c>
      <c r="DT17" s="51">
        <f ca="1">RANDBETWEEN(1, 100)</f>
        <v>21</v>
      </c>
      <c r="DU17" s="51">
        <f ca="1">RANDBETWEEN(1, 100)</f>
        <v>61</v>
      </c>
      <c r="DV17" s="51">
        <f ca="1">RANDBETWEEN(1, 100)</f>
        <v>61</v>
      </c>
      <c r="DW17" s="51">
        <f ca="1">RANDBETWEEN(1, 100)</f>
        <v>65</v>
      </c>
      <c r="DX17" s="51">
        <f ca="1">RANDBETWEEN(1, 100)</f>
        <v>57</v>
      </c>
      <c r="DY17" s="51">
        <f ca="1">RANDBETWEEN(1, 100)</f>
        <v>48</v>
      </c>
      <c r="DZ17" s="51">
        <f ca="1">RANDBETWEEN(1, 100)</f>
        <v>69</v>
      </c>
      <c r="EA17" s="51">
        <f ca="1">RANDBETWEEN(1, 100)</f>
        <v>93</v>
      </c>
      <c r="EB17" s="51">
        <f ca="1">RANDBETWEEN(1, 100)</f>
        <v>24</v>
      </c>
      <c r="EC17" s="51">
        <f ca="1">RANDBETWEEN(1, 100)</f>
        <v>19</v>
      </c>
      <c r="ED17" s="51">
        <f ca="1">RANDBETWEEN(1, 100)</f>
        <v>83</v>
      </c>
      <c r="EE17" s="51">
        <f ca="1">RANDBETWEEN(1, 100)</f>
        <v>33</v>
      </c>
    </row>
    <row r="18" spans="1:135" x14ac:dyDescent="0.4">
      <c r="A18" s="31" t="str">
        <f t="shared" si="3"/>
        <v>KPI ID 11</v>
      </c>
      <c r="B18" s="49" t="s">
        <v>61</v>
      </c>
      <c r="C18" s="50" t="s">
        <v>27</v>
      </c>
      <c r="D18" s="51">
        <f ca="1">RANDBETWEEN(20, 45)</f>
        <v>32</v>
      </c>
      <c r="E18" s="51">
        <f ca="1">RANDBETWEEN(20, 45)</f>
        <v>28</v>
      </c>
      <c r="F18" s="51">
        <f ca="1">RANDBETWEEN(20, 45)</f>
        <v>23</v>
      </c>
      <c r="G18" s="51">
        <f ca="1">RANDBETWEEN(20, 45)</f>
        <v>27</v>
      </c>
      <c r="H18" s="51">
        <f ca="1">RANDBETWEEN(20, 45)</f>
        <v>41</v>
      </c>
      <c r="I18" s="51">
        <f ca="1">RANDBETWEEN(20, 45)</f>
        <v>40</v>
      </c>
      <c r="J18" s="51">
        <f ca="1">RANDBETWEEN(20, 45)</f>
        <v>37</v>
      </c>
      <c r="K18" s="51">
        <f ca="1">RANDBETWEEN(20, 45)</f>
        <v>34</v>
      </c>
      <c r="L18" s="51">
        <f ca="1">RANDBETWEEN(20, 45)</f>
        <v>25</v>
      </c>
      <c r="M18" s="51">
        <f ca="1">RANDBETWEEN(20, 45)</f>
        <v>42</v>
      </c>
      <c r="N18" s="51">
        <f ca="1">RANDBETWEEN(20, 45)</f>
        <v>27</v>
      </c>
      <c r="O18" s="51">
        <f ca="1">RANDBETWEEN(20, 45)</f>
        <v>43</v>
      </c>
      <c r="P18" s="51">
        <f ca="1">RANDBETWEEN(20, 45)</f>
        <v>33</v>
      </c>
      <c r="Q18" s="51">
        <f ca="1">RANDBETWEEN(20, 45)</f>
        <v>23</v>
      </c>
      <c r="R18" s="51">
        <f ca="1">RANDBETWEEN(20, 45)</f>
        <v>35</v>
      </c>
      <c r="S18" s="51">
        <f ca="1">RANDBETWEEN(20, 45)</f>
        <v>29</v>
      </c>
      <c r="T18" s="51">
        <f ca="1">RANDBETWEEN(20, 45)</f>
        <v>43</v>
      </c>
      <c r="U18" s="51">
        <f ca="1">RANDBETWEEN(20, 45)</f>
        <v>30</v>
      </c>
      <c r="V18" s="51">
        <f ca="1">RANDBETWEEN(20, 45)</f>
        <v>45</v>
      </c>
      <c r="W18" s="51">
        <f ca="1">RANDBETWEEN(20, 45)</f>
        <v>26</v>
      </c>
      <c r="X18" s="51">
        <f ca="1">RANDBETWEEN(20, 45)</f>
        <v>42</v>
      </c>
      <c r="Y18" s="51">
        <f ca="1">RANDBETWEEN(20, 45)</f>
        <v>24</v>
      </c>
      <c r="Z18" s="51">
        <f ca="1">RANDBETWEEN(20, 45)</f>
        <v>34</v>
      </c>
      <c r="AA18" s="51">
        <f ca="1">RANDBETWEEN(20, 45)</f>
        <v>27</v>
      </c>
      <c r="AB18" s="51">
        <f ca="1">RANDBETWEEN(20, 45)</f>
        <v>45</v>
      </c>
      <c r="AC18" s="51">
        <f ca="1">RANDBETWEEN(20, 45)</f>
        <v>27</v>
      </c>
      <c r="AD18" s="51">
        <f ca="1">RANDBETWEEN(20, 45)</f>
        <v>37</v>
      </c>
      <c r="AE18" s="51">
        <f ca="1">RANDBETWEEN(20, 45)</f>
        <v>29</v>
      </c>
      <c r="AF18" s="51">
        <f ca="1">RANDBETWEEN(20, 45)</f>
        <v>36</v>
      </c>
      <c r="AG18" s="51">
        <f ca="1">RANDBETWEEN(20, 45)</f>
        <v>45</v>
      </c>
      <c r="AH18" s="51">
        <f ca="1">RANDBETWEEN(20, 45)</f>
        <v>39</v>
      </c>
      <c r="AI18" s="51">
        <f ca="1">RANDBETWEEN(20, 45)</f>
        <v>31</v>
      </c>
      <c r="AJ18" s="51">
        <f ca="1">RANDBETWEEN(20, 45)</f>
        <v>43</v>
      </c>
      <c r="AK18" s="51">
        <f ca="1">RANDBETWEEN(20, 45)</f>
        <v>22</v>
      </c>
      <c r="AL18" s="51">
        <f ca="1">RANDBETWEEN(20, 45)</f>
        <v>28</v>
      </c>
      <c r="AM18" s="51">
        <f ca="1">RANDBETWEEN(20, 45)</f>
        <v>30</v>
      </c>
      <c r="AN18" s="51">
        <f ca="1">RANDBETWEEN(20, 45)</f>
        <v>26</v>
      </c>
      <c r="AO18" s="51">
        <f ca="1">RANDBETWEEN(20, 45)</f>
        <v>22</v>
      </c>
      <c r="AP18" s="51">
        <f ca="1">RANDBETWEEN(20, 45)</f>
        <v>35</v>
      </c>
      <c r="AQ18" s="51">
        <f ca="1">RANDBETWEEN(20, 45)</f>
        <v>21</v>
      </c>
      <c r="AR18" s="51">
        <f ca="1">RANDBETWEEN(20, 45)</f>
        <v>40</v>
      </c>
      <c r="AS18" s="51">
        <f ca="1">RANDBETWEEN(20, 45)</f>
        <v>26</v>
      </c>
      <c r="AT18" s="51">
        <f ca="1">RANDBETWEEN(20, 45)</f>
        <v>34</v>
      </c>
      <c r="AU18" s="51">
        <f ca="1">RANDBETWEEN(20, 45)</f>
        <v>39</v>
      </c>
      <c r="AV18" s="51">
        <f ca="1">RANDBETWEEN(20, 45)</f>
        <v>39</v>
      </c>
      <c r="AW18" s="51">
        <f ca="1">RANDBETWEEN(20, 45)</f>
        <v>37</v>
      </c>
      <c r="AX18" s="51">
        <f ca="1">RANDBETWEEN(20, 45)</f>
        <v>34</v>
      </c>
      <c r="AY18" s="51">
        <f ca="1">RANDBETWEEN(20, 45)</f>
        <v>45</v>
      </c>
      <c r="AZ18" s="51">
        <f ca="1">RANDBETWEEN(20, 45)</f>
        <v>32</v>
      </c>
      <c r="BA18" s="51">
        <f ca="1">RANDBETWEEN(20, 45)</f>
        <v>35</v>
      </c>
      <c r="BB18" s="51">
        <f ca="1">RANDBETWEEN(20, 45)</f>
        <v>33</v>
      </c>
      <c r="BC18" s="51">
        <f ca="1">RANDBETWEEN(20, 45)</f>
        <v>27</v>
      </c>
      <c r="BD18" s="51">
        <f ca="1">RANDBETWEEN(20, 45)</f>
        <v>44</v>
      </c>
      <c r="BE18" s="51">
        <f ca="1">RANDBETWEEN(20, 45)</f>
        <v>30</v>
      </c>
      <c r="BF18" s="51">
        <f ca="1">RANDBETWEEN(20, 45)</f>
        <v>27</v>
      </c>
      <c r="BG18" s="51">
        <f ca="1">RANDBETWEEN(20, 45)</f>
        <v>40</v>
      </c>
      <c r="BH18" s="51">
        <f ca="1">RANDBETWEEN(20, 45)</f>
        <v>24</v>
      </c>
      <c r="BI18" s="51">
        <f ca="1">RANDBETWEEN(20, 45)</f>
        <v>25</v>
      </c>
      <c r="BJ18" s="51">
        <f ca="1">RANDBETWEEN(20, 45)</f>
        <v>40</v>
      </c>
      <c r="BK18" s="51">
        <f ca="1">RANDBETWEEN(20, 45)</f>
        <v>20</v>
      </c>
      <c r="BL18" s="51">
        <f ca="1">RANDBETWEEN(20, 45)</f>
        <v>29</v>
      </c>
      <c r="BM18" s="51">
        <f ca="1">RANDBETWEEN(20, 45)</f>
        <v>33</v>
      </c>
      <c r="BN18" s="51">
        <f ca="1">RANDBETWEEN(20, 45)</f>
        <v>44</v>
      </c>
      <c r="BO18" s="51">
        <f ca="1">RANDBETWEEN(20, 45)</f>
        <v>44</v>
      </c>
      <c r="BP18" s="51">
        <f ca="1">RANDBETWEEN(20, 45)</f>
        <v>41</v>
      </c>
      <c r="BQ18" s="51">
        <f ca="1">RANDBETWEEN(20, 45)</f>
        <v>44</v>
      </c>
      <c r="BR18" s="51">
        <f ca="1">RANDBETWEEN(20, 45)</f>
        <v>30</v>
      </c>
      <c r="BS18" s="51">
        <f ca="1">RANDBETWEEN(20, 45)</f>
        <v>43</v>
      </c>
      <c r="BT18" s="51">
        <f ca="1">RANDBETWEEN(20, 45)</f>
        <v>45</v>
      </c>
      <c r="BU18" s="51">
        <f ca="1">RANDBETWEEN(20, 45)</f>
        <v>37</v>
      </c>
      <c r="BV18" s="51">
        <f ca="1">RANDBETWEEN(20, 45)</f>
        <v>44</v>
      </c>
      <c r="BW18" s="51">
        <f ca="1">RANDBETWEEN(20, 45)</f>
        <v>23</v>
      </c>
      <c r="BX18" s="51">
        <f ca="1">RANDBETWEEN(20, 45)</f>
        <v>45</v>
      </c>
      <c r="BY18" s="51">
        <f ca="1">RANDBETWEEN(20, 45)</f>
        <v>25</v>
      </c>
      <c r="BZ18" s="51">
        <f ca="1">RANDBETWEEN(20, 45)</f>
        <v>27</v>
      </c>
      <c r="CA18" s="51">
        <f ca="1">RANDBETWEEN(20, 45)</f>
        <v>28</v>
      </c>
      <c r="CB18" s="51">
        <f ca="1">RANDBETWEEN(20, 45)</f>
        <v>44</v>
      </c>
      <c r="CC18" s="51">
        <f ca="1">RANDBETWEEN(20, 45)</f>
        <v>38</v>
      </c>
      <c r="CD18" s="51">
        <f ca="1">RANDBETWEEN(20, 45)</f>
        <v>44</v>
      </c>
      <c r="CE18" s="51">
        <f ca="1">RANDBETWEEN(20, 45)</f>
        <v>32</v>
      </c>
      <c r="CF18" s="51">
        <f ca="1">RANDBETWEEN(20, 45)</f>
        <v>38</v>
      </c>
      <c r="CG18" s="51">
        <f ca="1">RANDBETWEEN(20, 45)</f>
        <v>40</v>
      </c>
      <c r="CH18" s="51">
        <f ca="1">RANDBETWEEN(20, 45)</f>
        <v>24</v>
      </c>
      <c r="CI18" s="51">
        <f ca="1">RANDBETWEEN(20, 45)</f>
        <v>24</v>
      </c>
      <c r="CJ18" s="51">
        <f ca="1">RANDBETWEEN(20, 45)</f>
        <v>28</v>
      </c>
      <c r="CK18" s="51">
        <f ca="1">RANDBETWEEN(20, 45)</f>
        <v>27</v>
      </c>
      <c r="CL18" s="51">
        <f ca="1">RANDBETWEEN(20, 45)</f>
        <v>32</v>
      </c>
      <c r="CM18" s="51">
        <f ca="1">RANDBETWEEN(20, 45)</f>
        <v>29</v>
      </c>
      <c r="CN18" s="51">
        <f ca="1">RANDBETWEEN(20, 45)</f>
        <v>20</v>
      </c>
      <c r="CO18" s="51">
        <f ca="1">RANDBETWEEN(20, 45)</f>
        <v>30</v>
      </c>
      <c r="CP18" s="51">
        <f ca="1">RANDBETWEEN(20, 45)</f>
        <v>40</v>
      </c>
      <c r="CQ18" s="51">
        <f ca="1">RANDBETWEEN(20, 45)</f>
        <v>45</v>
      </c>
      <c r="CR18" s="51">
        <f ca="1">RANDBETWEEN(20, 45)</f>
        <v>29</v>
      </c>
      <c r="CS18" s="51">
        <f ca="1">RANDBETWEEN(20, 45)</f>
        <v>20</v>
      </c>
      <c r="CT18" s="51">
        <f ca="1">RANDBETWEEN(20, 45)</f>
        <v>29</v>
      </c>
      <c r="CU18" s="51">
        <f ca="1">RANDBETWEEN(20, 45)</f>
        <v>42</v>
      </c>
      <c r="CV18" s="51">
        <f ca="1">RANDBETWEEN(20, 45)</f>
        <v>39</v>
      </c>
      <c r="CW18" s="51">
        <f ca="1">RANDBETWEEN(20, 45)</f>
        <v>44</v>
      </c>
      <c r="CX18" s="51">
        <f ca="1">RANDBETWEEN(20, 45)</f>
        <v>35</v>
      </c>
      <c r="CY18" s="51">
        <f ca="1">RANDBETWEEN(20, 45)</f>
        <v>25</v>
      </c>
      <c r="CZ18" s="51">
        <f ca="1">RANDBETWEEN(20, 45)</f>
        <v>37</v>
      </c>
      <c r="DA18" s="51">
        <f ca="1">RANDBETWEEN(20, 45)</f>
        <v>42</v>
      </c>
      <c r="DB18" s="51">
        <f ca="1">RANDBETWEEN(20, 45)</f>
        <v>38</v>
      </c>
      <c r="DC18" s="51">
        <f ca="1">RANDBETWEEN(20, 45)</f>
        <v>23</v>
      </c>
      <c r="DD18" s="51">
        <f ca="1">RANDBETWEEN(20, 45)</f>
        <v>40</v>
      </c>
      <c r="DE18" s="51">
        <f ca="1">RANDBETWEEN(20, 45)</f>
        <v>20</v>
      </c>
      <c r="DF18" s="51">
        <f ca="1">RANDBETWEEN(20, 45)</f>
        <v>43</v>
      </c>
      <c r="DG18" s="51">
        <f ca="1">RANDBETWEEN(20, 45)</f>
        <v>35</v>
      </c>
      <c r="DH18" s="51">
        <f ca="1">RANDBETWEEN(20, 45)</f>
        <v>33</v>
      </c>
      <c r="DI18" s="51">
        <f ca="1">RANDBETWEEN(20, 45)</f>
        <v>41</v>
      </c>
      <c r="DJ18" s="51">
        <f ca="1">RANDBETWEEN(20, 45)</f>
        <v>32</v>
      </c>
      <c r="DK18" s="51">
        <f ca="1">RANDBETWEEN(20, 45)</f>
        <v>43</v>
      </c>
      <c r="DL18" s="51">
        <f ca="1">RANDBETWEEN(20, 45)</f>
        <v>33</v>
      </c>
      <c r="DM18" s="51">
        <f ca="1">RANDBETWEEN(20, 45)</f>
        <v>31</v>
      </c>
      <c r="DN18" s="51">
        <f ca="1">RANDBETWEEN(20, 45)</f>
        <v>39</v>
      </c>
      <c r="DO18" s="51">
        <f ca="1">RANDBETWEEN(20, 45)</f>
        <v>38</v>
      </c>
      <c r="DP18" s="51">
        <f ca="1">RANDBETWEEN(20, 45)</f>
        <v>20</v>
      </c>
      <c r="DQ18" s="51">
        <f ca="1">RANDBETWEEN(20, 45)</f>
        <v>23</v>
      </c>
      <c r="DR18" s="51">
        <f ca="1">RANDBETWEEN(20, 45)</f>
        <v>34</v>
      </c>
      <c r="DS18" s="51">
        <f ca="1">RANDBETWEEN(20, 45)</f>
        <v>26</v>
      </c>
      <c r="DT18" s="51">
        <f ca="1">RANDBETWEEN(20, 45)</f>
        <v>40</v>
      </c>
      <c r="DU18" s="51">
        <f ca="1">RANDBETWEEN(20, 45)</f>
        <v>27</v>
      </c>
      <c r="DV18" s="51">
        <f ca="1">RANDBETWEEN(20, 45)</f>
        <v>39</v>
      </c>
      <c r="DW18" s="51">
        <f ca="1">RANDBETWEEN(20, 45)</f>
        <v>25</v>
      </c>
      <c r="DX18" s="51">
        <f ca="1">RANDBETWEEN(20, 45)</f>
        <v>26</v>
      </c>
      <c r="DY18" s="51">
        <f ca="1">RANDBETWEEN(20, 45)</f>
        <v>39</v>
      </c>
      <c r="DZ18" s="51">
        <f ca="1">RANDBETWEEN(20, 45)</f>
        <v>21</v>
      </c>
      <c r="EA18" s="51">
        <f ca="1">RANDBETWEEN(20, 45)</f>
        <v>40</v>
      </c>
      <c r="EB18" s="51">
        <f ca="1">RANDBETWEEN(20, 45)</f>
        <v>32</v>
      </c>
      <c r="EC18" s="51">
        <f ca="1">RANDBETWEEN(20, 45)</f>
        <v>38</v>
      </c>
      <c r="ED18" s="51">
        <f ca="1">RANDBETWEEN(20, 45)</f>
        <v>38</v>
      </c>
      <c r="EE18" s="51">
        <f ca="1">RANDBETWEEN(20, 45)</f>
        <v>44</v>
      </c>
    </row>
    <row r="19" spans="1:135" ht="29.15" x14ac:dyDescent="0.4">
      <c r="A19" s="31" t="str">
        <f t="shared" si="3"/>
        <v>KPI ID 12 %</v>
      </c>
      <c r="B19" s="49" t="s">
        <v>63</v>
      </c>
      <c r="C19" s="50" t="s">
        <v>28</v>
      </c>
      <c r="D19" s="51">
        <f ca="1">RAND()+1</f>
        <v>1.3375783483450649</v>
      </c>
      <c r="E19" s="51">
        <f ca="1">RAND()+1</f>
        <v>1.0332342433382125</v>
      </c>
      <c r="F19" s="51">
        <f ca="1">RAND()+1</f>
        <v>1.4947093341239039</v>
      </c>
      <c r="G19" s="51">
        <f ca="1">RAND()+1</f>
        <v>1.0216180680987303</v>
      </c>
      <c r="H19" s="51">
        <f ca="1">RAND()+1</f>
        <v>1.6154261192414014</v>
      </c>
      <c r="I19" s="51">
        <f ca="1">RAND()+1</f>
        <v>1.1533847093900809</v>
      </c>
      <c r="J19" s="51">
        <f ca="1">RAND()+1</f>
        <v>1.7529197944985833</v>
      </c>
      <c r="K19" s="51">
        <f ca="1">RAND()+1</f>
        <v>1.331049088341214</v>
      </c>
      <c r="L19" s="51">
        <f ca="1">RAND()+1</f>
        <v>1.8228635426815352</v>
      </c>
      <c r="M19" s="51">
        <f ca="1">RAND()+1</f>
        <v>1.5507623549714022</v>
      </c>
      <c r="N19" s="51">
        <f ca="1">RAND()+1</f>
        <v>1.8866841143285393</v>
      </c>
      <c r="O19" s="51">
        <f ca="1">RAND()+1</f>
        <v>1.5246578154201775</v>
      </c>
      <c r="P19" s="51">
        <f ca="1">RAND()+1</f>
        <v>1.938008436154306</v>
      </c>
      <c r="Q19" s="51">
        <f ca="1">RAND()+1</f>
        <v>1.0774711508967336</v>
      </c>
      <c r="R19" s="51">
        <f ca="1">RAND()+1</f>
        <v>1.9376277307352128</v>
      </c>
      <c r="S19" s="51">
        <f ca="1">RAND()+1</f>
        <v>1.8324245187580801</v>
      </c>
      <c r="T19" s="51">
        <f ca="1">RAND()+1</f>
        <v>1.3156399120165245</v>
      </c>
      <c r="U19" s="51">
        <f ca="1">RAND()+1</f>
        <v>1.9877371749371258</v>
      </c>
      <c r="V19" s="51">
        <f ca="1">RAND()+1</f>
        <v>1.8780953601185408</v>
      </c>
      <c r="W19" s="51">
        <f ca="1">RAND()+1</f>
        <v>1.1622378346124118</v>
      </c>
      <c r="X19" s="51">
        <f ca="1">RAND()+1</f>
        <v>1.9666491337738354</v>
      </c>
      <c r="Y19" s="51">
        <f ca="1">RAND()+1</f>
        <v>1.748220704224323</v>
      </c>
      <c r="Z19" s="51">
        <f ca="1">RAND()+1</f>
        <v>1.5268050789161363</v>
      </c>
      <c r="AA19" s="51">
        <f ca="1">RAND()+1</f>
        <v>1.050632329704233</v>
      </c>
      <c r="AB19" s="51">
        <f ca="1">RAND()+1</f>
        <v>1.7036420339094969</v>
      </c>
      <c r="AC19" s="51">
        <f ca="1">RAND()+1</f>
        <v>1.4018612445823206</v>
      </c>
      <c r="AD19" s="51">
        <f ca="1">RAND()+1</f>
        <v>1.8061990699478185</v>
      </c>
      <c r="AE19" s="51">
        <f ca="1">RAND()+1</f>
        <v>1.8930524911831361</v>
      </c>
      <c r="AF19" s="51">
        <f ca="1">RAND()+1</f>
        <v>1.3035693070580523</v>
      </c>
      <c r="AG19" s="51">
        <f ca="1">RAND()+1</f>
        <v>1.9944867956948413</v>
      </c>
      <c r="AH19" s="51">
        <f ca="1">RAND()+1</f>
        <v>1.8279999401613369</v>
      </c>
      <c r="AI19" s="51">
        <f ca="1">RAND()+1</f>
        <v>1.7526646058843456</v>
      </c>
      <c r="AJ19" s="51">
        <f ca="1">RAND()+1</f>
        <v>1.4571633771589882</v>
      </c>
      <c r="AK19" s="51">
        <f ca="1">RAND()+1</f>
        <v>1.7452775146223949</v>
      </c>
      <c r="AL19" s="51">
        <f ca="1">RAND()+1</f>
        <v>1.0020370237148835</v>
      </c>
      <c r="AM19" s="51">
        <f ca="1">RAND()+1</f>
        <v>1.4137915536449484</v>
      </c>
      <c r="AN19" s="51">
        <f ca="1">RAND()+1</f>
        <v>1.9007375264952915</v>
      </c>
      <c r="AO19" s="51">
        <f ca="1">RAND()+1</f>
        <v>1.7873427255449754</v>
      </c>
      <c r="AP19" s="51">
        <f ca="1">RAND()+1</f>
        <v>1.1368031690811669</v>
      </c>
      <c r="AQ19" s="51">
        <f ca="1">RAND()+1</f>
        <v>1.2279860273324119</v>
      </c>
      <c r="AR19" s="51">
        <f ca="1">RAND()+1</f>
        <v>1.3704898337801712</v>
      </c>
      <c r="AS19" s="51">
        <f ca="1">RAND()+1</f>
        <v>1.3864893129053362</v>
      </c>
      <c r="AT19" s="51">
        <f ca="1">RAND()+1</f>
        <v>1.2601558342288095</v>
      </c>
      <c r="AU19" s="51">
        <f ca="1">RAND()+1</f>
        <v>1.3186140652087539</v>
      </c>
      <c r="AV19" s="51">
        <f ca="1">RAND()+1</f>
        <v>1.7970257679011676</v>
      </c>
      <c r="AW19" s="51">
        <f ca="1">RAND()+1</f>
        <v>1.3487726191352714</v>
      </c>
      <c r="AX19" s="51">
        <f ca="1">RAND()+1</f>
        <v>1.8109167687687062</v>
      </c>
      <c r="AY19" s="51">
        <f ca="1">RAND()+1</f>
        <v>1.2530719861074671</v>
      </c>
      <c r="AZ19" s="51">
        <f ca="1">RAND()+1</f>
        <v>1.2452024054168571</v>
      </c>
      <c r="BA19" s="51">
        <f ca="1">RAND()+1</f>
        <v>1.6530232607964326</v>
      </c>
      <c r="BB19" s="51">
        <f ca="1">RAND()+1</f>
        <v>1.3743294874315231</v>
      </c>
      <c r="BC19" s="51">
        <f ca="1">RAND()+1</f>
        <v>1.4417282598976686</v>
      </c>
      <c r="BD19" s="51">
        <f ca="1">RAND()+1</f>
        <v>1.8056427447749401</v>
      </c>
      <c r="BE19" s="51">
        <f ca="1">RAND()+1</f>
        <v>1.2821650176405486</v>
      </c>
      <c r="BF19" s="51">
        <f ca="1">RAND()+1</f>
        <v>1.625165081051303</v>
      </c>
      <c r="BG19" s="51">
        <f ca="1">RAND()+1</f>
        <v>1.0728808041404667</v>
      </c>
      <c r="BH19" s="51">
        <f ca="1">RAND()+1</f>
        <v>1.9536855321717885</v>
      </c>
      <c r="BI19" s="51">
        <f ca="1">RAND()+1</f>
        <v>1.9441378386013808</v>
      </c>
      <c r="BJ19" s="51">
        <f ca="1">RAND()+1</f>
        <v>1.554841125139576</v>
      </c>
      <c r="BK19" s="51">
        <f ca="1">RAND()+1</f>
        <v>1.6714683574816767</v>
      </c>
      <c r="BL19" s="51">
        <f ca="1">RAND()+1</f>
        <v>1.6308248951830719</v>
      </c>
      <c r="BM19" s="51">
        <f ca="1">RAND()+1</f>
        <v>1.4690855952363964</v>
      </c>
      <c r="BN19" s="51">
        <f ca="1">RAND()+1</f>
        <v>1.5137565799397921</v>
      </c>
      <c r="BO19" s="51">
        <f ca="1">RAND()+1</f>
        <v>1.3637056842181945</v>
      </c>
      <c r="BP19" s="51">
        <f ca="1">RAND()+1</f>
        <v>1.109874315797823</v>
      </c>
      <c r="BQ19" s="51">
        <f ca="1">RAND()+1</f>
        <v>1.5346729055095099</v>
      </c>
      <c r="BR19" s="51">
        <f ca="1">RAND()+1</f>
        <v>1.0807483939735743</v>
      </c>
      <c r="BS19" s="51">
        <f ca="1">RAND()+1</f>
        <v>1.4432445794110511</v>
      </c>
      <c r="BT19" s="51">
        <f ca="1">RAND()+1</f>
        <v>1.7999766501070011</v>
      </c>
      <c r="BU19" s="51">
        <f ca="1">RAND()+1</f>
        <v>1.5227343566469411</v>
      </c>
      <c r="BV19" s="51">
        <f ca="1">RAND()+1</f>
        <v>1.7538688541809684</v>
      </c>
      <c r="BW19" s="51">
        <f ca="1">RAND()+1</f>
        <v>1.6672447710888094</v>
      </c>
      <c r="BX19" s="51">
        <f ca="1">RAND()+1</f>
        <v>1.0488150889834686</v>
      </c>
      <c r="BY19" s="51">
        <f ca="1">RAND()+1</f>
        <v>1.2524655485745542</v>
      </c>
      <c r="BZ19" s="51">
        <f ca="1">RAND()+1</f>
        <v>1.0425445700495661</v>
      </c>
      <c r="CA19" s="51">
        <f ca="1">RAND()+1</f>
        <v>1.2059413311730072</v>
      </c>
      <c r="CB19" s="51">
        <f ca="1">RAND()+1</f>
        <v>1.7059202960590771</v>
      </c>
      <c r="CC19" s="51">
        <f ca="1">RAND()+1</f>
        <v>1.5967686705646054</v>
      </c>
      <c r="CD19" s="51">
        <f ca="1">RAND()+1</f>
        <v>1.5414591740258867</v>
      </c>
      <c r="CE19" s="51">
        <f ca="1">RAND()+1</f>
        <v>1.4950666187088371</v>
      </c>
      <c r="CF19" s="51">
        <f ca="1">RAND()+1</f>
        <v>1.0966527649299223</v>
      </c>
      <c r="CG19" s="51">
        <f ca="1">RAND()+1</f>
        <v>1.8691975013399409</v>
      </c>
      <c r="CH19" s="51">
        <f ca="1">RAND()+1</f>
        <v>1.0712705998027801</v>
      </c>
      <c r="CI19" s="51">
        <f ca="1">RAND()+1</f>
        <v>1.5964811301844222</v>
      </c>
      <c r="CJ19" s="51">
        <f ca="1">RAND()+1</f>
        <v>1.9142061672176065</v>
      </c>
      <c r="CK19" s="51">
        <f ca="1">RAND()+1</f>
        <v>1.6830250654869483</v>
      </c>
      <c r="CL19" s="51">
        <f ca="1">RAND()+1</f>
        <v>1.9225222366815795</v>
      </c>
      <c r="CM19" s="51">
        <f ca="1">RAND()+1</f>
        <v>1.9652936381634887</v>
      </c>
      <c r="CN19" s="51">
        <f ca="1">RAND()+1</f>
        <v>1.9929284868321073</v>
      </c>
      <c r="CO19" s="51">
        <f ca="1">RAND()+1</f>
        <v>1.8380900994573466</v>
      </c>
      <c r="CP19" s="51">
        <f ca="1">RAND()+1</f>
        <v>1.3496288319345122</v>
      </c>
      <c r="CQ19" s="51">
        <f ca="1">RAND()+1</f>
        <v>1.0698179402313186</v>
      </c>
      <c r="CR19" s="51">
        <f ca="1">RAND()+1</f>
        <v>1.5814970050336243</v>
      </c>
      <c r="CS19" s="51">
        <f ca="1">RAND()+1</f>
        <v>1.1351558627064573</v>
      </c>
      <c r="CT19" s="51">
        <f ca="1">RAND()+1</f>
        <v>1.4369335908387906</v>
      </c>
      <c r="CU19" s="51">
        <f ca="1">RAND()+1</f>
        <v>1.325420208440274</v>
      </c>
      <c r="CV19" s="51">
        <f ca="1">RAND()+1</f>
        <v>1.0618433277585746</v>
      </c>
      <c r="CW19" s="51">
        <f ca="1">RAND()+1</f>
        <v>1.8561322510342124</v>
      </c>
      <c r="CX19" s="51">
        <f ca="1">RAND()+1</f>
        <v>1.8010516564292161</v>
      </c>
      <c r="CY19" s="51">
        <f ca="1">RAND()+1</f>
        <v>1.9870705607120052</v>
      </c>
      <c r="CZ19" s="51">
        <f ca="1">RAND()+1</f>
        <v>1.1768125001448821</v>
      </c>
      <c r="DA19" s="51">
        <f ca="1">RAND()+1</f>
        <v>1.2901283475985266</v>
      </c>
      <c r="DB19" s="51">
        <f ca="1">RAND()+1</f>
        <v>1.8635954384318698</v>
      </c>
      <c r="DC19" s="51">
        <f ca="1">RAND()+1</f>
        <v>1.3885752953425379</v>
      </c>
      <c r="DD19" s="51">
        <f ca="1">RAND()+1</f>
        <v>1.3623541066877458</v>
      </c>
      <c r="DE19" s="51">
        <f ca="1">RAND()+1</f>
        <v>1.4157269485419497</v>
      </c>
      <c r="DF19" s="51">
        <f ca="1">RAND()+1</f>
        <v>1.2574867195198216</v>
      </c>
      <c r="DG19" s="51">
        <f ca="1">RAND()+1</f>
        <v>1.5467440906520145</v>
      </c>
      <c r="DH19" s="51">
        <f ca="1">RAND()+1</f>
        <v>1.7003995570592079</v>
      </c>
      <c r="DI19" s="51">
        <f ca="1">RAND()+1</f>
        <v>1.5450809167772803</v>
      </c>
      <c r="DJ19" s="51">
        <f ca="1">RAND()+1</f>
        <v>1.402187215355438</v>
      </c>
      <c r="DK19" s="51">
        <f ca="1">RAND()+1</f>
        <v>1.7261124140955415</v>
      </c>
      <c r="DL19" s="51">
        <f ca="1">RAND()+1</f>
        <v>1.2704827815188033</v>
      </c>
      <c r="DM19" s="51">
        <f ca="1">RAND()+1</f>
        <v>1.9914690360329721</v>
      </c>
      <c r="DN19" s="51">
        <f ca="1">RAND()+1</f>
        <v>1.4936904581631931</v>
      </c>
      <c r="DO19" s="51">
        <f ca="1">RAND()+1</f>
        <v>1.8079196224641034</v>
      </c>
      <c r="DP19" s="51">
        <f ca="1">RAND()+1</f>
        <v>1.0686120034787847</v>
      </c>
      <c r="DQ19" s="51">
        <f ca="1">RAND()+1</f>
        <v>1.2169500270017208</v>
      </c>
      <c r="DR19" s="51">
        <f ca="1">RAND()+1</f>
        <v>1.3458653616264087</v>
      </c>
      <c r="DS19" s="51">
        <f ca="1">RAND()+1</f>
        <v>1.235896697341766</v>
      </c>
      <c r="DT19" s="51">
        <f ca="1">RAND()+1</f>
        <v>1.8262977015857904</v>
      </c>
      <c r="DU19" s="51">
        <f ca="1">RAND()+1</f>
        <v>1.5227962599242222</v>
      </c>
      <c r="DV19" s="51">
        <f ca="1">RAND()+1</f>
        <v>1.9584579171564527</v>
      </c>
      <c r="DW19" s="51">
        <f ca="1">RAND()+1</f>
        <v>1.5119020041405169</v>
      </c>
      <c r="DX19" s="51">
        <f ca="1">RAND()+1</f>
        <v>1.9501842155349622</v>
      </c>
      <c r="DY19" s="51">
        <f ca="1">RAND()+1</f>
        <v>1.0182879940265304</v>
      </c>
      <c r="DZ19" s="51">
        <f ca="1">RAND()+1</f>
        <v>1.5851900345167738</v>
      </c>
      <c r="EA19" s="51">
        <f ca="1">RAND()+1</f>
        <v>1.6035756212169123</v>
      </c>
      <c r="EB19" s="51">
        <f ca="1">RAND()+1</f>
        <v>1.37449822906615</v>
      </c>
      <c r="EC19" s="51">
        <f ca="1">RAND()+1</f>
        <v>1.221356394065876</v>
      </c>
      <c r="ED19" s="51">
        <f ca="1">RAND()+1</f>
        <v>1.2309333523356001</v>
      </c>
      <c r="EE19" s="51">
        <f ca="1">RAND()+1</f>
        <v>1.1545858267758029</v>
      </c>
    </row>
    <row r="20" spans="1:135" x14ac:dyDescent="0.4">
      <c r="A20" s="31" t="str">
        <f t="shared" si="3"/>
        <v>KPI ID 13</v>
      </c>
      <c r="B20" s="49" t="s">
        <v>62</v>
      </c>
      <c r="C20" s="50" t="s">
        <v>29</v>
      </c>
      <c r="D20" s="51">
        <f ca="1">RANDBETWEEN(6, 10)+1.245</f>
        <v>7.2450000000000001</v>
      </c>
      <c r="E20" s="51">
        <f ca="1">RANDBETWEEN(6, 10)+1.245</f>
        <v>10.245000000000001</v>
      </c>
      <c r="F20" s="51">
        <f ca="1">RANDBETWEEN(6, 10)+1.245</f>
        <v>8.245000000000001</v>
      </c>
      <c r="G20" s="51">
        <f ca="1">RANDBETWEEN(6, 10)+1.245</f>
        <v>7.2450000000000001</v>
      </c>
      <c r="H20" s="51">
        <f ca="1">RANDBETWEEN(6, 10)+1.245</f>
        <v>11.245000000000001</v>
      </c>
      <c r="I20" s="51">
        <f ca="1">RANDBETWEEN(6, 10)+1.245</f>
        <v>10.245000000000001</v>
      </c>
      <c r="J20" s="51">
        <f ca="1">RANDBETWEEN(6, 10)+1.245</f>
        <v>7.2450000000000001</v>
      </c>
      <c r="K20" s="51">
        <f ca="1">RANDBETWEEN(6, 10)+1.245</f>
        <v>11.245000000000001</v>
      </c>
      <c r="L20" s="51">
        <f ca="1">RANDBETWEEN(6, 10)+1.245</f>
        <v>9.245000000000001</v>
      </c>
      <c r="M20" s="51">
        <f ca="1">RANDBETWEEN(6, 10)+1.245</f>
        <v>10.245000000000001</v>
      </c>
      <c r="N20" s="51">
        <f ca="1">RANDBETWEEN(6, 10)+1.245</f>
        <v>7.2450000000000001</v>
      </c>
      <c r="O20" s="51">
        <f ca="1">RANDBETWEEN(6, 10)+1.245</f>
        <v>11.245000000000001</v>
      </c>
      <c r="P20" s="51">
        <f ca="1">RANDBETWEEN(6, 10)+1.245</f>
        <v>9.245000000000001</v>
      </c>
      <c r="Q20" s="51">
        <f ca="1">RANDBETWEEN(6, 10)+1.245</f>
        <v>10.245000000000001</v>
      </c>
      <c r="R20" s="51">
        <f ca="1">RANDBETWEEN(6, 10)+1.245</f>
        <v>9.245000000000001</v>
      </c>
      <c r="S20" s="51">
        <f ca="1">RANDBETWEEN(6, 10)+1.245</f>
        <v>10.245000000000001</v>
      </c>
      <c r="T20" s="51">
        <f ca="1">RANDBETWEEN(6, 10)+1.245</f>
        <v>10.245000000000001</v>
      </c>
      <c r="U20" s="51">
        <f ca="1">RANDBETWEEN(6, 10)+1.245</f>
        <v>9.245000000000001</v>
      </c>
      <c r="V20" s="51">
        <f ca="1">RANDBETWEEN(6, 10)+1.245</f>
        <v>11.245000000000001</v>
      </c>
      <c r="W20" s="51">
        <f ca="1">RANDBETWEEN(6, 10)+1.245</f>
        <v>9.245000000000001</v>
      </c>
      <c r="X20" s="51">
        <f ca="1">RANDBETWEEN(6, 10)+1.245</f>
        <v>8.245000000000001</v>
      </c>
      <c r="Y20" s="51">
        <f ca="1">RANDBETWEEN(6, 10)+1.245</f>
        <v>8.245000000000001</v>
      </c>
      <c r="Z20" s="51">
        <f ca="1">RANDBETWEEN(6, 10)+1.245</f>
        <v>8.245000000000001</v>
      </c>
      <c r="AA20" s="51">
        <f ca="1">RANDBETWEEN(6, 10)+1.245</f>
        <v>11.245000000000001</v>
      </c>
      <c r="AB20" s="51">
        <f ca="1">RANDBETWEEN(6, 10)+1.245</f>
        <v>10.245000000000001</v>
      </c>
      <c r="AC20" s="51">
        <f ca="1">RANDBETWEEN(6, 10)+1.245</f>
        <v>8.245000000000001</v>
      </c>
      <c r="AD20" s="51">
        <f ca="1">RANDBETWEEN(6, 10)+1.245</f>
        <v>8.245000000000001</v>
      </c>
      <c r="AE20" s="51">
        <f ca="1">RANDBETWEEN(6, 10)+1.245</f>
        <v>10.245000000000001</v>
      </c>
      <c r="AF20" s="51">
        <f ca="1">RANDBETWEEN(6, 10)+1.245</f>
        <v>11.245000000000001</v>
      </c>
      <c r="AG20" s="51">
        <f ca="1">RANDBETWEEN(6, 10)+1.245</f>
        <v>11.245000000000001</v>
      </c>
      <c r="AH20" s="51">
        <f ca="1">RANDBETWEEN(6, 10)+1.245</f>
        <v>9.245000000000001</v>
      </c>
      <c r="AI20" s="51">
        <f ca="1">RANDBETWEEN(6, 10)+1.245</f>
        <v>7.2450000000000001</v>
      </c>
      <c r="AJ20" s="51">
        <f ca="1">RANDBETWEEN(6, 10)+1.245</f>
        <v>9.245000000000001</v>
      </c>
      <c r="AK20" s="51">
        <f ca="1">RANDBETWEEN(6, 10)+1.245</f>
        <v>7.2450000000000001</v>
      </c>
      <c r="AL20" s="51">
        <f ca="1">RANDBETWEEN(6, 10)+1.245</f>
        <v>10.245000000000001</v>
      </c>
      <c r="AM20" s="51">
        <f ca="1">RANDBETWEEN(6, 10)+1.245</f>
        <v>9.245000000000001</v>
      </c>
      <c r="AN20" s="51">
        <f ca="1">RANDBETWEEN(6, 10)+1.245</f>
        <v>10.245000000000001</v>
      </c>
      <c r="AO20" s="51">
        <f ca="1">RANDBETWEEN(6, 10)+1.245</f>
        <v>8.245000000000001</v>
      </c>
      <c r="AP20" s="51">
        <f ca="1">RANDBETWEEN(6, 10)+1.245</f>
        <v>9.245000000000001</v>
      </c>
      <c r="AQ20" s="51">
        <f ca="1">RANDBETWEEN(6, 10)+1.245</f>
        <v>9.245000000000001</v>
      </c>
      <c r="AR20" s="51">
        <f ca="1">RANDBETWEEN(6, 10)+1.245</f>
        <v>8.245000000000001</v>
      </c>
      <c r="AS20" s="51">
        <f ca="1">RANDBETWEEN(6, 10)+1.245</f>
        <v>9.245000000000001</v>
      </c>
      <c r="AT20" s="51">
        <f ca="1">RANDBETWEEN(6, 10)+1.245</f>
        <v>7.2450000000000001</v>
      </c>
      <c r="AU20" s="51">
        <f ca="1">RANDBETWEEN(6, 10)+1.245</f>
        <v>7.2450000000000001</v>
      </c>
      <c r="AV20" s="51">
        <f ca="1">RANDBETWEEN(6, 10)+1.245</f>
        <v>9.245000000000001</v>
      </c>
      <c r="AW20" s="51">
        <f ca="1">RANDBETWEEN(6, 10)+1.245</f>
        <v>11.245000000000001</v>
      </c>
      <c r="AX20" s="51">
        <f ca="1">RANDBETWEEN(6, 10)+1.245</f>
        <v>7.2450000000000001</v>
      </c>
      <c r="AY20" s="51">
        <f ca="1">RANDBETWEEN(6, 10)+1.245</f>
        <v>10.245000000000001</v>
      </c>
      <c r="AZ20" s="51">
        <f ca="1">RANDBETWEEN(6, 10)+1.245</f>
        <v>7.2450000000000001</v>
      </c>
      <c r="BA20" s="51">
        <f ca="1">RANDBETWEEN(6, 10)+1.245</f>
        <v>9.245000000000001</v>
      </c>
      <c r="BB20" s="51">
        <f ca="1">RANDBETWEEN(6, 10)+1.245</f>
        <v>7.2450000000000001</v>
      </c>
      <c r="BC20" s="51">
        <f ca="1">RANDBETWEEN(6, 10)+1.245</f>
        <v>8.245000000000001</v>
      </c>
      <c r="BD20" s="51">
        <f ca="1">RANDBETWEEN(6, 10)+1.245</f>
        <v>7.2450000000000001</v>
      </c>
      <c r="BE20" s="51">
        <f ca="1">RANDBETWEEN(6, 10)+1.245</f>
        <v>10.245000000000001</v>
      </c>
      <c r="BF20" s="51">
        <f ca="1">RANDBETWEEN(6, 10)+1.245</f>
        <v>8.245000000000001</v>
      </c>
      <c r="BG20" s="51">
        <f ca="1">RANDBETWEEN(6, 10)+1.245</f>
        <v>10.245000000000001</v>
      </c>
      <c r="BH20" s="51">
        <f ca="1">RANDBETWEEN(6, 10)+1.245</f>
        <v>11.245000000000001</v>
      </c>
      <c r="BI20" s="51">
        <f ca="1">RANDBETWEEN(6, 10)+1.245</f>
        <v>9.245000000000001</v>
      </c>
      <c r="BJ20" s="51">
        <f ca="1">RANDBETWEEN(6, 10)+1.245</f>
        <v>9.245000000000001</v>
      </c>
      <c r="BK20" s="51">
        <f ca="1">RANDBETWEEN(6, 10)+1.245</f>
        <v>8.245000000000001</v>
      </c>
      <c r="BL20" s="51">
        <f ca="1">RANDBETWEEN(6, 10)+1.245</f>
        <v>9.245000000000001</v>
      </c>
      <c r="BM20" s="51">
        <f ca="1">RANDBETWEEN(6, 10)+1.245</f>
        <v>10.245000000000001</v>
      </c>
      <c r="BN20" s="51">
        <f ca="1">RANDBETWEEN(6, 10)+1.245</f>
        <v>11.245000000000001</v>
      </c>
      <c r="BO20" s="51">
        <f ca="1">RANDBETWEEN(6, 10)+1.245</f>
        <v>11.245000000000001</v>
      </c>
      <c r="BP20" s="51">
        <f ca="1">RANDBETWEEN(6, 10)+1.245</f>
        <v>7.2450000000000001</v>
      </c>
      <c r="BQ20" s="51">
        <f ca="1">RANDBETWEEN(6, 10)+1.245</f>
        <v>9.245000000000001</v>
      </c>
      <c r="BR20" s="51">
        <f ca="1">RANDBETWEEN(6, 10)+1.245</f>
        <v>9.245000000000001</v>
      </c>
      <c r="BS20" s="51">
        <f ca="1">RANDBETWEEN(6, 10)+1.245</f>
        <v>8.245000000000001</v>
      </c>
      <c r="BT20" s="51">
        <f ca="1">RANDBETWEEN(6, 10)+1.245</f>
        <v>11.245000000000001</v>
      </c>
      <c r="BU20" s="51">
        <f ca="1">RANDBETWEEN(6, 10)+1.245</f>
        <v>7.2450000000000001</v>
      </c>
      <c r="BV20" s="51">
        <f ca="1">RANDBETWEEN(6, 10)+1.245</f>
        <v>7.2450000000000001</v>
      </c>
      <c r="BW20" s="51">
        <f ca="1">RANDBETWEEN(6, 10)+1.245</f>
        <v>10.245000000000001</v>
      </c>
      <c r="BX20" s="51">
        <f ca="1">RANDBETWEEN(6, 10)+1.245</f>
        <v>11.245000000000001</v>
      </c>
      <c r="BY20" s="51">
        <f ca="1">RANDBETWEEN(6, 10)+1.245</f>
        <v>7.2450000000000001</v>
      </c>
      <c r="BZ20" s="51">
        <f ca="1">RANDBETWEEN(6, 10)+1.245</f>
        <v>9.245000000000001</v>
      </c>
      <c r="CA20" s="51">
        <f ca="1">RANDBETWEEN(6, 10)+1.245</f>
        <v>8.245000000000001</v>
      </c>
      <c r="CB20" s="51">
        <f ca="1">RANDBETWEEN(6, 10)+1.245</f>
        <v>7.2450000000000001</v>
      </c>
      <c r="CC20" s="51">
        <f ca="1">RANDBETWEEN(6, 10)+1.245</f>
        <v>11.245000000000001</v>
      </c>
      <c r="CD20" s="51">
        <f ca="1">RANDBETWEEN(6, 10)+1.245</f>
        <v>9.245000000000001</v>
      </c>
      <c r="CE20" s="51">
        <f ca="1">RANDBETWEEN(6, 10)+1.245</f>
        <v>8.245000000000001</v>
      </c>
      <c r="CF20" s="51">
        <f ca="1">RANDBETWEEN(6, 10)+1.245</f>
        <v>9.245000000000001</v>
      </c>
      <c r="CG20" s="51">
        <f ca="1">RANDBETWEEN(6, 10)+1.245</f>
        <v>8.245000000000001</v>
      </c>
      <c r="CH20" s="51">
        <f ca="1">RANDBETWEEN(6, 10)+1.245</f>
        <v>9.245000000000001</v>
      </c>
      <c r="CI20" s="51">
        <f ca="1">RANDBETWEEN(6, 10)+1.245</f>
        <v>10.245000000000001</v>
      </c>
      <c r="CJ20" s="51">
        <f ca="1">RANDBETWEEN(6, 10)+1.245</f>
        <v>7.2450000000000001</v>
      </c>
      <c r="CK20" s="51">
        <f ca="1">RANDBETWEEN(6, 10)+1.245</f>
        <v>11.245000000000001</v>
      </c>
      <c r="CL20" s="51">
        <f ca="1">RANDBETWEEN(6, 10)+1.245</f>
        <v>10.245000000000001</v>
      </c>
      <c r="CM20" s="51">
        <f ca="1">RANDBETWEEN(6, 10)+1.245</f>
        <v>9.245000000000001</v>
      </c>
      <c r="CN20" s="51">
        <f ca="1">RANDBETWEEN(6, 10)+1.245</f>
        <v>9.245000000000001</v>
      </c>
      <c r="CO20" s="51">
        <f ca="1">RANDBETWEEN(6, 10)+1.245</f>
        <v>8.245000000000001</v>
      </c>
      <c r="CP20" s="51">
        <f ca="1">RANDBETWEEN(6, 10)+1.245</f>
        <v>8.245000000000001</v>
      </c>
      <c r="CQ20" s="51">
        <f ca="1">RANDBETWEEN(6, 10)+1.245</f>
        <v>11.245000000000001</v>
      </c>
      <c r="CR20" s="51">
        <f ca="1">RANDBETWEEN(6, 10)+1.245</f>
        <v>8.245000000000001</v>
      </c>
      <c r="CS20" s="51">
        <f ca="1">RANDBETWEEN(6, 10)+1.245</f>
        <v>8.245000000000001</v>
      </c>
      <c r="CT20" s="51">
        <f ca="1">RANDBETWEEN(6, 10)+1.245</f>
        <v>9.245000000000001</v>
      </c>
      <c r="CU20" s="51">
        <f ca="1">RANDBETWEEN(6, 10)+1.245</f>
        <v>7.2450000000000001</v>
      </c>
      <c r="CV20" s="51">
        <f ca="1">RANDBETWEEN(6, 10)+1.245</f>
        <v>9.245000000000001</v>
      </c>
      <c r="CW20" s="51">
        <f ca="1">RANDBETWEEN(6, 10)+1.245</f>
        <v>11.245000000000001</v>
      </c>
      <c r="CX20" s="51">
        <f ca="1">RANDBETWEEN(6, 10)+1.245</f>
        <v>10.245000000000001</v>
      </c>
      <c r="CY20" s="51">
        <f ca="1">RANDBETWEEN(6, 10)+1.245</f>
        <v>11.245000000000001</v>
      </c>
      <c r="CZ20" s="51">
        <f ca="1">RANDBETWEEN(6, 10)+1.245</f>
        <v>9.245000000000001</v>
      </c>
      <c r="DA20" s="51">
        <f ca="1">RANDBETWEEN(6, 10)+1.245</f>
        <v>10.245000000000001</v>
      </c>
      <c r="DB20" s="51">
        <f ca="1">RANDBETWEEN(6, 10)+1.245</f>
        <v>9.245000000000001</v>
      </c>
      <c r="DC20" s="51">
        <f ca="1">RANDBETWEEN(6, 10)+1.245</f>
        <v>9.245000000000001</v>
      </c>
      <c r="DD20" s="51">
        <f ca="1">RANDBETWEEN(6, 10)+1.245</f>
        <v>10.245000000000001</v>
      </c>
      <c r="DE20" s="51">
        <f ca="1">RANDBETWEEN(6, 10)+1.245</f>
        <v>11.245000000000001</v>
      </c>
      <c r="DF20" s="51">
        <f ca="1">RANDBETWEEN(6, 10)+1.245</f>
        <v>8.245000000000001</v>
      </c>
      <c r="DG20" s="51">
        <f ca="1">RANDBETWEEN(6, 10)+1.245</f>
        <v>10.245000000000001</v>
      </c>
      <c r="DH20" s="51">
        <f ca="1">RANDBETWEEN(6, 10)+1.245</f>
        <v>10.245000000000001</v>
      </c>
      <c r="DI20" s="51">
        <f ca="1">RANDBETWEEN(6, 10)+1.245</f>
        <v>8.245000000000001</v>
      </c>
      <c r="DJ20" s="51">
        <f ca="1">RANDBETWEEN(6, 10)+1.245</f>
        <v>11.245000000000001</v>
      </c>
      <c r="DK20" s="51">
        <f ca="1">RANDBETWEEN(6, 10)+1.245</f>
        <v>9.245000000000001</v>
      </c>
      <c r="DL20" s="51">
        <f ca="1">RANDBETWEEN(6, 10)+1.245</f>
        <v>9.245000000000001</v>
      </c>
      <c r="DM20" s="51">
        <f ca="1">RANDBETWEEN(6, 10)+1.245</f>
        <v>7.2450000000000001</v>
      </c>
      <c r="DN20" s="51">
        <f ca="1">RANDBETWEEN(6, 10)+1.245</f>
        <v>10.245000000000001</v>
      </c>
      <c r="DO20" s="51">
        <f ca="1">RANDBETWEEN(6, 10)+1.245</f>
        <v>7.2450000000000001</v>
      </c>
      <c r="DP20" s="51">
        <f ca="1">RANDBETWEEN(6, 10)+1.245</f>
        <v>9.245000000000001</v>
      </c>
      <c r="DQ20" s="51">
        <f ca="1">RANDBETWEEN(6, 10)+1.245</f>
        <v>7.2450000000000001</v>
      </c>
      <c r="DR20" s="51">
        <f ca="1">RANDBETWEEN(6, 10)+1.245</f>
        <v>11.245000000000001</v>
      </c>
      <c r="DS20" s="51">
        <f ca="1">RANDBETWEEN(6, 10)+1.245</f>
        <v>8.245000000000001</v>
      </c>
      <c r="DT20" s="51">
        <f ca="1">RANDBETWEEN(6, 10)+1.245</f>
        <v>11.245000000000001</v>
      </c>
      <c r="DU20" s="51">
        <f ca="1">RANDBETWEEN(6, 10)+1.245</f>
        <v>8.245000000000001</v>
      </c>
      <c r="DV20" s="51">
        <f ca="1">RANDBETWEEN(6, 10)+1.245</f>
        <v>7.2450000000000001</v>
      </c>
      <c r="DW20" s="51">
        <f ca="1">RANDBETWEEN(6, 10)+1.245</f>
        <v>7.2450000000000001</v>
      </c>
      <c r="DX20" s="51">
        <f ca="1">RANDBETWEEN(6, 10)+1.245</f>
        <v>10.245000000000001</v>
      </c>
      <c r="DY20" s="51">
        <f ca="1">RANDBETWEEN(6, 10)+1.245</f>
        <v>11.245000000000001</v>
      </c>
      <c r="DZ20" s="51">
        <f ca="1">RANDBETWEEN(6, 10)+1.245</f>
        <v>9.245000000000001</v>
      </c>
      <c r="EA20" s="51">
        <f ca="1">RANDBETWEEN(6, 10)+1.245</f>
        <v>11.245000000000001</v>
      </c>
      <c r="EB20" s="51">
        <f ca="1">RANDBETWEEN(6, 10)+1.245</f>
        <v>7.2450000000000001</v>
      </c>
      <c r="EC20" s="51">
        <f ca="1">RANDBETWEEN(6, 10)+1.245</f>
        <v>10.245000000000001</v>
      </c>
      <c r="ED20" s="51">
        <f ca="1">RANDBETWEEN(6, 10)+1.245</f>
        <v>7.2450000000000001</v>
      </c>
      <c r="EE20" s="51">
        <f ca="1">RANDBETWEEN(6, 10)+1.245</f>
        <v>9.245000000000001</v>
      </c>
    </row>
    <row r="21" spans="1:135" x14ac:dyDescent="0.4">
      <c r="A21" s="31" t="str">
        <f t="shared" si="3"/>
        <v>KPI ID 14</v>
      </c>
      <c r="B21" s="49" t="s">
        <v>64</v>
      </c>
      <c r="C21" s="50" t="s">
        <v>30</v>
      </c>
      <c r="D21" s="51">
        <f ca="1">RANDBETWEEN(300, 440)+1.245</f>
        <v>436.245</v>
      </c>
      <c r="E21" s="51">
        <f ca="1">RANDBETWEEN(300, 440)+1.245</f>
        <v>333.245</v>
      </c>
      <c r="F21" s="51">
        <f ca="1">RANDBETWEEN(300, 440)+1.245</f>
        <v>303.245</v>
      </c>
      <c r="G21" s="51">
        <f ca="1">RANDBETWEEN(300, 440)+1.245</f>
        <v>394.245</v>
      </c>
      <c r="H21" s="51">
        <f ca="1">RANDBETWEEN(300, 440)+1.245</f>
        <v>427.245</v>
      </c>
      <c r="I21" s="51">
        <f ca="1">RANDBETWEEN(300, 440)+1.245</f>
        <v>388.245</v>
      </c>
      <c r="J21" s="51">
        <f ca="1">RANDBETWEEN(300, 440)+1.245</f>
        <v>343.245</v>
      </c>
      <c r="K21" s="51">
        <f ca="1">RANDBETWEEN(300, 440)+1.245</f>
        <v>412.245</v>
      </c>
      <c r="L21" s="51">
        <f ca="1">RANDBETWEEN(300, 440)+1.245</f>
        <v>316.245</v>
      </c>
      <c r="M21" s="51">
        <f ca="1">RANDBETWEEN(300, 440)+1.245</f>
        <v>331.245</v>
      </c>
      <c r="N21" s="51">
        <f ca="1">RANDBETWEEN(300, 440)+1.245</f>
        <v>343.245</v>
      </c>
      <c r="O21" s="51">
        <f ca="1">RANDBETWEEN(300, 440)+1.245</f>
        <v>374.245</v>
      </c>
      <c r="P21" s="51">
        <f ca="1">RANDBETWEEN(300, 440)+1.245</f>
        <v>351.245</v>
      </c>
      <c r="Q21" s="51">
        <f ca="1">RANDBETWEEN(300, 440)+1.245</f>
        <v>321.245</v>
      </c>
      <c r="R21" s="51">
        <f ca="1">RANDBETWEEN(300, 440)+1.245</f>
        <v>348.245</v>
      </c>
      <c r="S21" s="51">
        <f ca="1">RANDBETWEEN(300, 440)+1.245</f>
        <v>400.245</v>
      </c>
      <c r="T21" s="51">
        <f ca="1">RANDBETWEEN(300, 440)+1.245</f>
        <v>399.245</v>
      </c>
      <c r="U21" s="51">
        <f ca="1">RANDBETWEEN(300, 440)+1.245</f>
        <v>350.245</v>
      </c>
      <c r="V21" s="51">
        <f ca="1">RANDBETWEEN(300, 440)+1.245</f>
        <v>387.245</v>
      </c>
      <c r="W21" s="51">
        <f ca="1">RANDBETWEEN(300, 440)+1.245</f>
        <v>329.245</v>
      </c>
      <c r="X21" s="51">
        <f ca="1">RANDBETWEEN(300, 440)+1.245</f>
        <v>400.245</v>
      </c>
      <c r="Y21" s="51">
        <f ca="1">RANDBETWEEN(300, 440)+1.245</f>
        <v>423.245</v>
      </c>
      <c r="Z21" s="51">
        <f ca="1">RANDBETWEEN(300, 440)+1.245</f>
        <v>313.245</v>
      </c>
      <c r="AA21" s="51">
        <f ca="1">RANDBETWEEN(300, 440)+1.245</f>
        <v>310.245</v>
      </c>
      <c r="AB21" s="51">
        <f ca="1">RANDBETWEEN(300, 440)+1.245</f>
        <v>313.245</v>
      </c>
      <c r="AC21" s="51">
        <f ca="1">RANDBETWEEN(300, 440)+1.245</f>
        <v>401.245</v>
      </c>
      <c r="AD21" s="51">
        <f ca="1">RANDBETWEEN(300, 440)+1.245</f>
        <v>395.245</v>
      </c>
      <c r="AE21" s="51">
        <f ca="1">RANDBETWEEN(300, 440)+1.245</f>
        <v>363.245</v>
      </c>
      <c r="AF21" s="51">
        <f ca="1">RANDBETWEEN(300, 440)+1.245</f>
        <v>327.245</v>
      </c>
      <c r="AG21" s="51">
        <f ca="1">RANDBETWEEN(300, 440)+1.245</f>
        <v>332.245</v>
      </c>
      <c r="AH21" s="51">
        <f ca="1">RANDBETWEEN(300, 440)+1.245</f>
        <v>439.245</v>
      </c>
      <c r="AI21" s="51">
        <f ca="1">RANDBETWEEN(300, 440)+1.245</f>
        <v>441.245</v>
      </c>
      <c r="AJ21" s="51">
        <f ca="1">RANDBETWEEN(300, 440)+1.245</f>
        <v>311.245</v>
      </c>
      <c r="AK21" s="51">
        <f ca="1">RANDBETWEEN(300, 440)+1.245</f>
        <v>377.245</v>
      </c>
      <c r="AL21" s="51">
        <f ca="1">RANDBETWEEN(300, 440)+1.245</f>
        <v>345.245</v>
      </c>
      <c r="AM21" s="51">
        <f ca="1">RANDBETWEEN(300, 440)+1.245</f>
        <v>360.245</v>
      </c>
      <c r="AN21" s="51">
        <f ca="1">RANDBETWEEN(300, 440)+1.245</f>
        <v>366.245</v>
      </c>
      <c r="AO21" s="51">
        <f ca="1">RANDBETWEEN(300, 440)+1.245</f>
        <v>380.245</v>
      </c>
      <c r="AP21" s="51">
        <f ca="1">RANDBETWEEN(300, 440)+1.245</f>
        <v>407.245</v>
      </c>
      <c r="AQ21" s="51">
        <f ca="1">RANDBETWEEN(300, 440)+1.245</f>
        <v>301.245</v>
      </c>
      <c r="AR21" s="51">
        <f ca="1">RANDBETWEEN(300, 440)+1.245</f>
        <v>349.245</v>
      </c>
      <c r="AS21" s="51">
        <f ca="1">RANDBETWEEN(300, 440)+1.245</f>
        <v>396.245</v>
      </c>
      <c r="AT21" s="51">
        <f ca="1">RANDBETWEEN(300, 440)+1.245</f>
        <v>413.245</v>
      </c>
      <c r="AU21" s="51">
        <f ca="1">RANDBETWEEN(300, 440)+1.245</f>
        <v>406.245</v>
      </c>
      <c r="AV21" s="51">
        <f ca="1">RANDBETWEEN(300, 440)+1.245</f>
        <v>396.245</v>
      </c>
      <c r="AW21" s="51">
        <f ca="1">RANDBETWEEN(300, 440)+1.245</f>
        <v>435.245</v>
      </c>
      <c r="AX21" s="51">
        <f ca="1">RANDBETWEEN(300, 440)+1.245</f>
        <v>430.245</v>
      </c>
      <c r="AY21" s="51">
        <f ca="1">RANDBETWEEN(300, 440)+1.245</f>
        <v>344.245</v>
      </c>
      <c r="AZ21" s="51">
        <f ca="1">RANDBETWEEN(300, 440)+1.245</f>
        <v>389.245</v>
      </c>
      <c r="BA21" s="51">
        <f ca="1">RANDBETWEEN(300, 440)+1.245</f>
        <v>313.245</v>
      </c>
      <c r="BB21" s="51">
        <f ca="1">RANDBETWEEN(300, 440)+1.245</f>
        <v>441.245</v>
      </c>
      <c r="BC21" s="51">
        <f ca="1">RANDBETWEEN(300, 440)+1.245</f>
        <v>424.245</v>
      </c>
      <c r="BD21" s="51">
        <f ca="1">RANDBETWEEN(300, 440)+1.245</f>
        <v>371.245</v>
      </c>
      <c r="BE21" s="51">
        <f ca="1">RANDBETWEEN(300, 440)+1.245</f>
        <v>388.245</v>
      </c>
      <c r="BF21" s="51">
        <f ca="1">RANDBETWEEN(300, 440)+1.245</f>
        <v>333.245</v>
      </c>
      <c r="BG21" s="51">
        <f ca="1">RANDBETWEEN(300, 440)+1.245</f>
        <v>382.245</v>
      </c>
      <c r="BH21" s="51">
        <f ca="1">RANDBETWEEN(300, 440)+1.245</f>
        <v>334.245</v>
      </c>
      <c r="BI21" s="51">
        <f ca="1">RANDBETWEEN(300, 440)+1.245</f>
        <v>383.245</v>
      </c>
      <c r="BJ21" s="51">
        <f ca="1">RANDBETWEEN(300, 440)+1.245</f>
        <v>420.245</v>
      </c>
      <c r="BK21" s="51">
        <f ca="1">RANDBETWEEN(300, 440)+1.245</f>
        <v>314.245</v>
      </c>
      <c r="BL21" s="51">
        <f ca="1">RANDBETWEEN(300, 440)+1.245</f>
        <v>416.245</v>
      </c>
      <c r="BM21" s="51">
        <f ca="1">RANDBETWEEN(300, 440)+1.245</f>
        <v>306.245</v>
      </c>
      <c r="BN21" s="51">
        <f ca="1">RANDBETWEEN(300, 440)+1.245</f>
        <v>317.245</v>
      </c>
      <c r="BO21" s="51">
        <f ca="1">RANDBETWEEN(300, 440)+1.245</f>
        <v>328.245</v>
      </c>
      <c r="BP21" s="51">
        <f ca="1">RANDBETWEEN(300, 440)+1.245</f>
        <v>426.245</v>
      </c>
      <c r="BQ21" s="51">
        <f ca="1">RANDBETWEEN(300, 440)+1.245</f>
        <v>340.245</v>
      </c>
      <c r="BR21" s="51">
        <f ca="1">RANDBETWEEN(300, 440)+1.245</f>
        <v>430.245</v>
      </c>
      <c r="BS21" s="51">
        <f ca="1">RANDBETWEEN(300, 440)+1.245</f>
        <v>426.245</v>
      </c>
      <c r="BT21" s="51">
        <f ca="1">RANDBETWEEN(300, 440)+1.245</f>
        <v>432.245</v>
      </c>
      <c r="BU21" s="51">
        <f ca="1">RANDBETWEEN(300, 440)+1.245</f>
        <v>364.245</v>
      </c>
      <c r="BV21" s="51">
        <f ca="1">RANDBETWEEN(300, 440)+1.245</f>
        <v>410.245</v>
      </c>
      <c r="BW21" s="51">
        <f ca="1">RANDBETWEEN(300, 440)+1.245</f>
        <v>337.245</v>
      </c>
      <c r="BX21" s="51">
        <f ca="1">RANDBETWEEN(300, 440)+1.245</f>
        <v>425.245</v>
      </c>
      <c r="BY21" s="51">
        <f ca="1">RANDBETWEEN(300, 440)+1.245</f>
        <v>403.245</v>
      </c>
      <c r="BZ21" s="51">
        <f ca="1">RANDBETWEEN(300, 440)+1.245</f>
        <v>371.245</v>
      </c>
      <c r="CA21" s="51">
        <f ca="1">RANDBETWEEN(300, 440)+1.245</f>
        <v>317.245</v>
      </c>
      <c r="CB21" s="51">
        <f ca="1">RANDBETWEEN(300, 440)+1.245</f>
        <v>325.245</v>
      </c>
      <c r="CC21" s="51">
        <f ca="1">RANDBETWEEN(300, 440)+1.245</f>
        <v>384.245</v>
      </c>
      <c r="CD21" s="51">
        <f ca="1">RANDBETWEEN(300, 440)+1.245</f>
        <v>426.245</v>
      </c>
      <c r="CE21" s="51">
        <f ca="1">RANDBETWEEN(300, 440)+1.245</f>
        <v>359.245</v>
      </c>
      <c r="CF21" s="51">
        <f ca="1">RANDBETWEEN(300, 440)+1.245</f>
        <v>387.245</v>
      </c>
      <c r="CG21" s="51">
        <f ca="1">RANDBETWEEN(300, 440)+1.245</f>
        <v>408.245</v>
      </c>
      <c r="CH21" s="51">
        <f ca="1">RANDBETWEEN(300, 440)+1.245</f>
        <v>312.245</v>
      </c>
      <c r="CI21" s="51">
        <f ca="1">RANDBETWEEN(300, 440)+1.245</f>
        <v>402.245</v>
      </c>
      <c r="CJ21" s="51">
        <f ca="1">RANDBETWEEN(300, 440)+1.245</f>
        <v>360.245</v>
      </c>
      <c r="CK21" s="51">
        <f ca="1">RANDBETWEEN(300, 440)+1.245</f>
        <v>400.245</v>
      </c>
      <c r="CL21" s="51">
        <f ca="1">RANDBETWEEN(300, 440)+1.245</f>
        <v>392.245</v>
      </c>
      <c r="CM21" s="51">
        <f ca="1">RANDBETWEEN(300, 440)+1.245</f>
        <v>373.245</v>
      </c>
      <c r="CN21" s="51">
        <f ca="1">RANDBETWEEN(300, 440)+1.245</f>
        <v>330.245</v>
      </c>
      <c r="CO21" s="51">
        <f ca="1">RANDBETWEEN(300, 440)+1.245</f>
        <v>303.245</v>
      </c>
      <c r="CP21" s="51">
        <f ca="1">RANDBETWEEN(300, 440)+1.245</f>
        <v>368.245</v>
      </c>
      <c r="CQ21" s="51">
        <f ca="1">RANDBETWEEN(300, 440)+1.245</f>
        <v>415.245</v>
      </c>
      <c r="CR21" s="51">
        <f ca="1">RANDBETWEEN(300, 440)+1.245</f>
        <v>314.245</v>
      </c>
      <c r="CS21" s="51">
        <f ca="1">RANDBETWEEN(300, 440)+1.245</f>
        <v>402.245</v>
      </c>
      <c r="CT21" s="51">
        <f ca="1">RANDBETWEEN(300, 440)+1.245</f>
        <v>377.245</v>
      </c>
      <c r="CU21" s="51">
        <f ca="1">RANDBETWEEN(300, 440)+1.245</f>
        <v>429.245</v>
      </c>
      <c r="CV21" s="51">
        <f ca="1">RANDBETWEEN(300, 440)+1.245</f>
        <v>378.245</v>
      </c>
      <c r="CW21" s="51">
        <f ca="1">RANDBETWEEN(300, 440)+1.245</f>
        <v>404.245</v>
      </c>
      <c r="CX21" s="51">
        <f ca="1">RANDBETWEEN(300, 440)+1.245</f>
        <v>387.245</v>
      </c>
      <c r="CY21" s="51">
        <f ca="1">RANDBETWEEN(300, 440)+1.245</f>
        <v>376.245</v>
      </c>
      <c r="CZ21" s="51">
        <f ca="1">RANDBETWEEN(300, 440)+1.245</f>
        <v>340.245</v>
      </c>
      <c r="DA21" s="51">
        <f ca="1">RANDBETWEEN(300, 440)+1.245</f>
        <v>394.245</v>
      </c>
      <c r="DB21" s="51">
        <f ca="1">RANDBETWEEN(300, 440)+1.245</f>
        <v>430.245</v>
      </c>
      <c r="DC21" s="51">
        <f ca="1">RANDBETWEEN(300, 440)+1.245</f>
        <v>308.245</v>
      </c>
      <c r="DD21" s="51">
        <f ca="1">RANDBETWEEN(300, 440)+1.245</f>
        <v>372.245</v>
      </c>
      <c r="DE21" s="51">
        <f ca="1">RANDBETWEEN(300, 440)+1.245</f>
        <v>356.245</v>
      </c>
      <c r="DF21" s="51">
        <f ca="1">RANDBETWEEN(300, 440)+1.245</f>
        <v>431.245</v>
      </c>
      <c r="DG21" s="51">
        <f ca="1">RANDBETWEEN(300, 440)+1.245</f>
        <v>348.245</v>
      </c>
      <c r="DH21" s="51">
        <f ca="1">RANDBETWEEN(300, 440)+1.245</f>
        <v>364.245</v>
      </c>
      <c r="DI21" s="51">
        <f ca="1">RANDBETWEEN(300, 440)+1.245</f>
        <v>364.245</v>
      </c>
      <c r="DJ21" s="51">
        <f ca="1">RANDBETWEEN(300, 440)+1.245</f>
        <v>424.245</v>
      </c>
      <c r="DK21" s="51">
        <f ca="1">RANDBETWEEN(300, 440)+1.245</f>
        <v>307.245</v>
      </c>
      <c r="DL21" s="51">
        <f ca="1">RANDBETWEEN(300, 440)+1.245</f>
        <v>316.245</v>
      </c>
      <c r="DM21" s="51">
        <f ca="1">RANDBETWEEN(300, 440)+1.245</f>
        <v>345.245</v>
      </c>
      <c r="DN21" s="51">
        <f ca="1">RANDBETWEEN(300, 440)+1.245</f>
        <v>309.245</v>
      </c>
      <c r="DO21" s="51">
        <f ca="1">RANDBETWEEN(300, 440)+1.245</f>
        <v>385.245</v>
      </c>
      <c r="DP21" s="51">
        <f ca="1">RANDBETWEEN(300, 440)+1.245</f>
        <v>440.245</v>
      </c>
      <c r="DQ21" s="51">
        <f ca="1">RANDBETWEEN(300, 440)+1.245</f>
        <v>396.245</v>
      </c>
      <c r="DR21" s="51">
        <f ca="1">RANDBETWEEN(300, 440)+1.245</f>
        <v>345.245</v>
      </c>
      <c r="DS21" s="51">
        <f ca="1">RANDBETWEEN(300, 440)+1.245</f>
        <v>383.245</v>
      </c>
      <c r="DT21" s="51">
        <f ca="1">RANDBETWEEN(300, 440)+1.245</f>
        <v>424.245</v>
      </c>
      <c r="DU21" s="51">
        <f ca="1">RANDBETWEEN(300, 440)+1.245</f>
        <v>414.245</v>
      </c>
      <c r="DV21" s="51">
        <f ca="1">RANDBETWEEN(300, 440)+1.245</f>
        <v>305.245</v>
      </c>
      <c r="DW21" s="51">
        <f ca="1">RANDBETWEEN(300, 440)+1.245</f>
        <v>338.245</v>
      </c>
      <c r="DX21" s="51">
        <f ca="1">RANDBETWEEN(300, 440)+1.245</f>
        <v>435.245</v>
      </c>
      <c r="DY21" s="51">
        <f ca="1">RANDBETWEEN(300, 440)+1.245</f>
        <v>325.245</v>
      </c>
      <c r="DZ21" s="51">
        <f ca="1">RANDBETWEEN(300, 440)+1.245</f>
        <v>313.245</v>
      </c>
      <c r="EA21" s="51">
        <f ca="1">RANDBETWEEN(300, 440)+1.245</f>
        <v>305.245</v>
      </c>
      <c r="EB21" s="51">
        <f ca="1">RANDBETWEEN(300, 440)+1.245</f>
        <v>363.245</v>
      </c>
      <c r="EC21" s="51">
        <f ca="1">RANDBETWEEN(300, 440)+1.245</f>
        <v>426.245</v>
      </c>
      <c r="ED21" s="51">
        <f ca="1">RANDBETWEEN(300, 440)+1.245</f>
        <v>440.245</v>
      </c>
      <c r="EE21" s="51">
        <f ca="1">RANDBETWEEN(300, 440)+1.245</f>
        <v>379.245</v>
      </c>
    </row>
    <row r="22" spans="1:135" x14ac:dyDescent="0.4">
      <c r="A22" s="31" t="str">
        <f t="shared" si="3"/>
        <v>KPI ID 15</v>
      </c>
      <c r="B22" s="49" t="s">
        <v>64</v>
      </c>
      <c r="C22" s="50" t="s">
        <v>31</v>
      </c>
      <c r="D22" s="51">
        <f ca="1">RAND()</f>
        <v>0.95922837961755392</v>
      </c>
      <c r="E22" s="51">
        <f ca="1">RAND()</f>
        <v>0.56230755457244996</v>
      </c>
      <c r="F22" s="51">
        <f ca="1">RAND()</f>
        <v>0.9072396394604072</v>
      </c>
      <c r="G22" s="51">
        <f ca="1">RAND()</f>
        <v>0.86369064832773335</v>
      </c>
      <c r="H22" s="51">
        <f ca="1">RAND()</f>
        <v>0.43508563736965356</v>
      </c>
      <c r="I22" s="51">
        <f ca="1">RAND()</f>
        <v>1.1610968473968142E-2</v>
      </c>
      <c r="J22" s="51">
        <f ca="1">RAND()</f>
        <v>0.57441163249368588</v>
      </c>
      <c r="K22" s="51">
        <f ca="1">RAND()</f>
        <v>0.86154847466012707</v>
      </c>
      <c r="L22" s="51">
        <f ca="1">RAND()</f>
        <v>0.12757276495088643</v>
      </c>
      <c r="M22" s="51">
        <f ca="1">RAND()</f>
        <v>5.4634315655407439E-2</v>
      </c>
      <c r="N22" s="51">
        <f ca="1">RAND()</f>
        <v>0.29128217828045444</v>
      </c>
      <c r="O22" s="51">
        <f ca="1">RAND()</f>
        <v>0.4551581459218258</v>
      </c>
      <c r="P22" s="51">
        <f ca="1">RAND()</f>
        <v>0.1961642322278685</v>
      </c>
      <c r="Q22" s="51">
        <f ca="1">RAND()</f>
        <v>0.26786111060148043</v>
      </c>
      <c r="R22" s="51">
        <f ca="1">RAND()</f>
        <v>0.44340627823813916</v>
      </c>
      <c r="S22" s="51">
        <f ca="1">RAND()</f>
        <v>0.95828768714390933</v>
      </c>
      <c r="T22" s="51">
        <f ca="1">RAND()</f>
        <v>0.8124981961566361</v>
      </c>
      <c r="U22" s="51">
        <f ca="1">RAND()</f>
        <v>0.35371295675385339</v>
      </c>
      <c r="V22" s="51">
        <f ca="1">RAND()</f>
        <v>0.91835853156436753</v>
      </c>
      <c r="W22" s="51">
        <f ca="1">RAND()</f>
        <v>0.79185802891754531</v>
      </c>
      <c r="X22" s="51">
        <f ca="1">RAND()</f>
        <v>0.7774218604668649</v>
      </c>
      <c r="Y22" s="51">
        <f ca="1">RAND()</f>
        <v>0.92831520249014121</v>
      </c>
      <c r="Z22" s="51">
        <f ca="1">RAND()</f>
        <v>9.2011976302785126E-2</v>
      </c>
      <c r="AA22" s="51">
        <f ca="1">RAND()</f>
        <v>0.24150696385615766</v>
      </c>
      <c r="AB22" s="51">
        <f ca="1">RAND()</f>
        <v>0.32563777841838693</v>
      </c>
      <c r="AC22" s="51">
        <f ca="1">RAND()</f>
        <v>0.96082826871453964</v>
      </c>
      <c r="AD22" s="51">
        <f ca="1">RAND()</f>
        <v>0.80956301886934956</v>
      </c>
      <c r="AE22" s="51">
        <f ca="1">RAND()</f>
        <v>5.7650143137834009E-2</v>
      </c>
      <c r="AF22" s="51">
        <f ca="1">RAND()</f>
        <v>8.43477271183104E-2</v>
      </c>
      <c r="AG22" s="51">
        <f ca="1">RAND()</f>
        <v>0.9822596126938048</v>
      </c>
      <c r="AH22" s="51">
        <f ca="1">RAND()</f>
        <v>0.49661050789680616</v>
      </c>
      <c r="AI22" s="51">
        <f ca="1">RAND()</f>
        <v>0.29986920400883321</v>
      </c>
      <c r="AJ22" s="51">
        <f ca="1">RAND()</f>
        <v>0.9185789472576642</v>
      </c>
      <c r="AK22" s="51">
        <f ca="1">RAND()</f>
        <v>0.21395284214031474</v>
      </c>
      <c r="AL22" s="51">
        <f ca="1">RAND()</f>
        <v>0.5490153593594862</v>
      </c>
      <c r="AM22" s="51">
        <f ca="1">RAND()</f>
        <v>0.66565833714244127</v>
      </c>
      <c r="AN22" s="51">
        <f ca="1">RAND()</f>
        <v>0.57822296909014459</v>
      </c>
      <c r="AO22" s="51">
        <f ca="1">RAND()</f>
        <v>0.31803062568441753</v>
      </c>
      <c r="AP22" s="51">
        <f ca="1">RAND()</f>
        <v>0.93550045673574422</v>
      </c>
      <c r="AQ22" s="51">
        <f ca="1">RAND()</f>
        <v>0.20474553862735234</v>
      </c>
      <c r="AR22" s="51">
        <f ca="1">RAND()</f>
        <v>0.42846406308792828</v>
      </c>
      <c r="AS22" s="51">
        <f ca="1">RAND()</f>
        <v>0.71968869663702251</v>
      </c>
      <c r="AT22" s="51">
        <f ca="1">RAND()</f>
        <v>3.057522733833673E-2</v>
      </c>
      <c r="AU22" s="51">
        <f ca="1">RAND()</f>
        <v>0.60509925323498504</v>
      </c>
      <c r="AV22" s="51">
        <f ca="1">RAND()</f>
        <v>0.86035127734522809</v>
      </c>
      <c r="AW22" s="51">
        <f ca="1">RAND()</f>
        <v>0.99514236745150186</v>
      </c>
      <c r="AX22" s="51">
        <f ca="1">RAND()</f>
        <v>0.92579944487968879</v>
      </c>
      <c r="AY22" s="51">
        <f ca="1">RAND()</f>
        <v>0.51895648512191161</v>
      </c>
      <c r="AZ22" s="51">
        <f ca="1">RAND()</f>
        <v>0.19021716396429056</v>
      </c>
      <c r="BA22" s="51">
        <f ca="1">RAND()</f>
        <v>0.69706085913633165</v>
      </c>
      <c r="BB22" s="51">
        <f ca="1">RAND()</f>
        <v>8.5209907698964527E-2</v>
      </c>
      <c r="BC22" s="51">
        <f ca="1">RAND()</f>
        <v>0.97181123809614223</v>
      </c>
      <c r="BD22" s="51">
        <f ca="1">RAND()</f>
        <v>0.59232440017168175</v>
      </c>
      <c r="BE22" s="51">
        <f ca="1">RAND()</f>
        <v>4.6142610867940359E-2</v>
      </c>
      <c r="BF22" s="51">
        <f ca="1">RAND()</f>
        <v>0.52902026659517676</v>
      </c>
      <c r="BG22" s="51">
        <f ca="1">RAND()</f>
        <v>0.65416768815290383</v>
      </c>
      <c r="BH22" s="51">
        <f ca="1">RAND()</f>
        <v>0.32298115700416385</v>
      </c>
      <c r="BI22" s="51">
        <f ca="1">RAND()</f>
        <v>0.73258270019190086</v>
      </c>
      <c r="BJ22" s="51">
        <f ca="1">RAND()</f>
        <v>0.62315380986713076</v>
      </c>
      <c r="BK22" s="51">
        <f ca="1">RAND()</f>
        <v>0.16347179672735357</v>
      </c>
      <c r="BL22" s="51">
        <f ca="1">RAND()</f>
        <v>0.42785939380146398</v>
      </c>
      <c r="BM22" s="51">
        <f ca="1">RAND()</f>
        <v>0.98394094907114127</v>
      </c>
      <c r="BN22" s="51">
        <f ca="1">RAND()</f>
        <v>0.96610035216450929</v>
      </c>
      <c r="BO22" s="51">
        <f ca="1">RAND()</f>
        <v>6.1613073753634007E-2</v>
      </c>
      <c r="BP22" s="51">
        <f ca="1">RAND()</f>
        <v>0.90375723224464222</v>
      </c>
      <c r="BQ22" s="51">
        <f ca="1">RAND()</f>
        <v>0.39622427379394121</v>
      </c>
      <c r="BR22" s="51">
        <f ca="1">RAND()</f>
        <v>0.10466741127687806</v>
      </c>
      <c r="BS22" s="51">
        <f ca="1">RAND()</f>
        <v>0.74606159580064513</v>
      </c>
      <c r="BT22" s="51">
        <f ca="1">RAND()</f>
        <v>0.65380012531300769</v>
      </c>
      <c r="BU22" s="51">
        <f ca="1">RAND()</f>
        <v>0.38416164693227783</v>
      </c>
      <c r="BV22" s="51">
        <f ca="1">RAND()</f>
        <v>0.58613794905482441</v>
      </c>
      <c r="BW22" s="51">
        <f ca="1">RAND()</f>
        <v>0.72625349088892066</v>
      </c>
      <c r="BX22" s="51">
        <f ca="1">RAND()</f>
        <v>9.4811185016812516E-2</v>
      </c>
      <c r="BY22" s="51">
        <f ca="1">RAND()</f>
        <v>0.88111621925829486</v>
      </c>
      <c r="BZ22" s="51">
        <f ca="1">RAND()</f>
        <v>0.35983583947049891</v>
      </c>
      <c r="CA22" s="51">
        <f ca="1">RAND()</f>
        <v>0.57205668604093773</v>
      </c>
      <c r="CB22" s="51">
        <f ca="1">RAND()</f>
        <v>0.95478246053674898</v>
      </c>
      <c r="CC22" s="51">
        <f ca="1">RAND()</f>
        <v>0.31309664242127744</v>
      </c>
      <c r="CD22" s="51">
        <f ca="1">RAND()</f>
        <v>0.24732254142979626</v>
      </c>
      <c r="CE22" s="51">
        <f ca="1">RAND()</f>
        <v>0.8874326843738255</v>
      </c>
      <c r="CF22" s="51">
        <f ca="1">RAND()</f>
        <v>0.63094242818624935</v>
      </c>
      <c r="CG22" s="51">
        <f ca="1">RAND()</f>
        <v>0.40320979903513621</v>
      </c>
      <c r="CH22" s="51">
        <f ca="1">RAND()</f>
        <v>0.96549846343419143</v>
      </c>
      <c r="CI22" s="51">
        <f ca="1">RAND()</f>
        <v>0.90845667847388623</v>
      </c>
      <c r="CJ22" s="51">
        <f ca="1">RAND()</f>
        <v>0.3225106234718651</v>
      </c>
      <c r="CK22" s="51">
        <f ca="1">RAND()</f>
        <v>5.5832387431508201E-2</v>
      </c>
      <c r="CL22" s="51">
        <f ca="1">RAND()</f>
        <v>0.71698849570370549</v>
      </c>
      <c r="CM22" s="51">
        <f ca="1">RAND()</f>
        <v>9.6308606924446316E-2</v>
      </c>
      <c r="CN22" s="51">
        <f ca="1">RAND()</f>
        <v>0.63663374119625482</v>
      </c>
      <c r="CO22" s="51">
        <f ca="1">RAND()</f>
        <v>0.30832932364195764</v>
      </c>
      <c r="CP22" s="51">
        <f ca="1">RAND()</f>
        <v>0.90972802112404338</v>
      </c>
      <c r="CQ22" s="51">
        <f ca="1">RAND()</f>
        <v>7.9477857528787221E-2</v>
      </c>
      <c r="CR22" s="51">
        <f ca="1">RAND()</f>
        <v>0.17849150676364367</v>
      </c>
      <c r="CS22" s="51">
        <f ca="1">RAND()</f>
        <v>0.35491729536720462</v>
      </c>
      <c r="CT22" s="51">
        <f ca="1">RAND()</f>
        <v>0.5720071628758272</v>
      </c>
      <c r="CU22" s="51">
        <f ca="1">RAND()</f>
        <v>0.65403516672836937</v>
      </c>
      <c r="CV22" s="51">
        <f ca="1">RAND()</f>
        <v>0.23951486507570574</v>
      </c>
      <c r="CW22" s="51">
        <f ca="1">RAND()</f>
        <v>0.57197506537890508</v>
      </c>
      <c r="CX22" s="51">
        <f ca="1">RAND()</f>
        <v>0.92239996057982454</v>
      </c>
      <c r="CY22" s="51">
        <f ca="1">RAND()</f>
        <v>0.45765860678931969</v>
      </c>
      <c r="CZ22" s="51">
        <f ca="1">RAND()</f>
        <v>2.3108466749324763E-2</v>
      </c>
      <c r="DA22" s="51">
        <f ca="1">RAND()</f>
        <v>0.1589261252471571</v>
      </c>
      <c r="DB22" s="51">
        <f ca="1">RAND()</f>
        <v>0.44069365806059935</v>
      </c>
      <c r="DC22" s="51">
        <f ca="1">RAND()</f>
        <v>0.14053384577650352</v>
      </c>
      <c r="DD22" s="51">
        <f ca="1">RAND()</f>
        <v>0.55446534980437767</v>
      </c>
      <c r="DE22" s="51">
        <f ca="1">RAND()</f>
        <v>0.77664992498653651</v>
      </c>
      <c r="DF22" s="51">
        <f ca="1">RAND()</f>
        <v>0.58999668984858378</v>
      </c>
      <c r="DG22" s="51">
        <f ca="1">RAND()</f>
        <v>0.66836068055183717</v>
      </c>
      <c r="DH22" s="51">
        <f ca="1">RAND()</f>
        <v>0.43717162760851169</v>
      </c>
      <c r="DI22" s="51">
        <f ca="1">RAND()</f>
        <v>0.63781498455391483</v>
      </c>
      <c r="DJ22" s="51">
        <f ca="1">RAND()</f>
        <v>0.32663417289976571</v>
      </c>
      <c r="DK22" s="51">
        <f ca="1">RAND()</f>
        <v>0.29772918215940025</v>
      </c>
      <c r="DL22" s="51">
        <f ca="1">RAND()</f>
        <v>0.70873236715711974</v>
      </c>
      <c r="DM22" s="51">
        <f ca="1">RAND()</f>
        <v>0.10250268895454151</v>
      </c>
      <c r="DN22" s="51">
        <f ca="1">RAND()</f>
        <v>0.39742136591812438</v>
      </c>
      <c r="DO22" s="51">
        <f ca="1">RAND()</f>
        <v>0.70341271699177232</v>
      </c>
      <c r="DP22" s="51">
        <f ca="1">RAND()</f>
        <v>0.33575097675965115</v>
      </c>
      <c r="DQ22" s="51">
        <f ca="1">RAND()</f>
        <v>0.18088521362617549</v>
      </c>
      <c r="DR22" s="51">
        <f ca="1">RAND()</f>
        <v>4.9503850266254812E-3</v>
      </c>
      <c r="DS22" s="51">
        <f ca="1">RAND()</f>
        <v>0.71090956514550518</v>
      </c>
      <c r="DT22" s="51">
        <f ca="1">RAND()</f>
        <v>0.70809205254770147</v>
      </c>
      <c r="DU22" s="51">
        <f ca="1">RAND()</f>
        <v>0.15765427994785763</v>
      </c>
      <c r="DV22" s="51">
        <f ca="1">RAND()</f>
        <v>6.2911759264054012E-2</v>
      </c>
      <c r="DW22" s="51">
        <f ca="1">RAND()</f>
        <v>0.59294329653036904</v>
      </c>
      <c r="DX22" s="51">
        <f ca="1">RAND()</f>
        <v>0.37083237100833155</v>
      </c>
      <c r="DY22" s="51">
        <f ca="1">RAND()</f>
        <v>0.89918926085047879</v>
      </c>
      <c r="DZ22" s="51">
        <f ca="1">RAND()</f>
        <v>0.58990471688066659</v>
      </c>
      <c r="EA22" s="51">
        <f ca="1">RAND()</f>
        <v>0.62258969503701522</v>
      </c>
      <c r="EB22" s="51">
        <f ca="1">RAND()</f>
        <v>0.24010246330634377</v>
      </c>
      <c r="EC22" s="51">
        <f ca="1">RAND()</f>
        <v>0.58618059497057495</v>
      </c>
      <c r="ED22" s="51">
        <f ca="1">RAND()</f>
        <v>0.9398678222193082</v>
      </c>
      <c r="EE22" s="51">
        <f ca="1">RAND()</f>
        <v>0.59175676131902255</v>
      </c>
    </row>
    <row r="23" spans="1:135" x14ac:dyDescent="0.4">
      <c r="A23" s="31" t="str">
        <f t="shared" si="3"/>
        <v>KPI ID 16 %</v>
      </c>
      <c r="B23" s="49" t="s">
        <v>65</v>
      </c>
      <c r="C23" s="50" t="s">
        <v>32</v>
      </c>
      <c r="D23" s="51">
        <f ca="1">RAND()</f>
        <v>0.45795519566189047</v>
      </c>
      <c r="E23" s="51">
        <f ca="1">RAND()</f>
        <v>0.78400130695262282</v>
      </c>
      <c r="F23" s="51">
        <f ca="1">RAND()</f>
        <v>0.54511858259820278</v>
      </c>
      <c r="G23" s="51">
        <f ca="1">RAND()</f>
        <v>0.86066810601352062</v>
      </c>
      <c r="H23" s="51">
        <f ca="1">RAND()</f>
        <v>0.79263417325230046</v>
      </c>
      <c r="I23" s="51">
        <f ca="1">RAND()</f>
        <v>0.40042030085688429</v>
      </c>
      <c r="J23" s="51">
        <f ca="1">RAND()</f>
        <v>0.87015348517045454</v>
      </c>
      <c r="K23" s="51">
        <f ca="1">RAND()</f>
        <v>0.91900610170637154</v>
      </c>
      <c r="L23" s="51">
        <f ca="1">RAND()</f>
        <v>0.32619236990926659</v>
      </c>
      <c r="M23" s="51">
        <f ca="1">RAND()</f>
        <v>0.41319585953207083</v>
      </c>
      <c r="N23" s="51">
        <f ca="1">RAND()</f>
        <v>0.74272472860974814</v>
      </c>
      <c r="O23" s="51">
        <f ca="1">RAND()</f>
        <v>0.32225498080894543</v>
      </c>
      <c r="P23" s="51">
        <f ca="1">RAND()</f>
        <v>0.28765041784138212</v>
      </c>
      <c r="Q23" s="51">
        <f ca="1">RAND()</f>
        <v>0.43646139428790065</v>
      </c>
      <c r="R23" s="51">
        <f ca="1">RAND()</f>
        <v>0.57358533219203134</v>
      </c>
      <c r="S23" s="51">
        <f ca="1">RAND()</f>
        <v>0.30003158822395481</v>
      </c>
      <c r="T23" s="51">
        <f ca="1">RAND()</f>
        <v>0.88098817093768578</v>
      </c>
      <c r="U23" s="51">
        <f ca="1">RAND()</f>
        <v>0.18365685588485048</v>
      </c>
      <c r="V23" s="51">
        <f ca="1">RAND()</f>
        <v>0.46867603433886418</v>
      </c>
      <c r="W23" s="51">
        <f ca="1">RAND()</f>
        <v>0.37502581732854923</v>
      </c>
      <c r="X23" s="51">
        <f ca="1">RAND()</f>
        <v>0.48020823376743715</v>
      </c>
      <c r="Y23" s="51">
        <f ca="1">RAND()</f>
        <v>0.85111910227853316</v>
      </c>
      <c r="Z23" s="51">
        <f ca="1">RAND()</f>
        <v>0.88336628393057548</v>
      </c>
      <c r="AA23" s="51">
        <f ca="1">RAND()</f>
        <v>0.59427858418719448</v>
      </c>
      <c r="AB23" s="51">
        <f ca="1">RAND()</f>
        <v>0.26398866849458757</v>
      </c>
      <c r="AC23" s="51">
        <f ca="1">RAND()</f>
        <v>0.70443816423365246</v>
      </c>
      <c r="AD23" s="51">
        <f ca="1">RAND()</f>
        <v>0.63860035154546269</v>
      </c>
      <c r="AE23" s="51">
        <f ca="1">RAND()</f>
        <v>0.67547700709270619</v>
      </c>
      <c r="AF23" s="51">
        <f ca="1">RAND()</f>
        <v>0.74650962257627529</v>
      </c>
      <c r="AG23" s="51">
        <f ca="1">RAND()</f>
        <v>0.76035826204923473</v>
      </c>
      <c r="AH23" s="51">
        <f ca="1">RAND()</f>
        <v>0.39598054912281344</v>
      </c>
      <c r="AI23" s="51">
        <f ca="1">RAND()</f>
        <v>0.84434951354746723</v>
      </c>
      <c r="AJ23" s="51">
        <f ca="1">RAND()</f>
        <v>0.65876317867848844</v>
      </c>
      <c r="AK23" s="51">
        <f ca="1">RAND()</f>
        <v>0.34415904318915613</v>
      </c>
      <c r="AL23" s="51">
        <f ca="1">RAND()</f>
        <v>0.63322390967493247</v>
      </c>
      <c r="AM23" s="51">
        <f ca="1">RAND()</f>
        <v>0.84978760962994071</v>
      </c>
      <c r="AN23" s="51">
        <f ca="1">RAND()</f>
        <v>0.38588958521804517</v>
      </c>
      <c r="AO23" s="51">
        <f ca="1">RAND()</f>
        <v>0.98911271507637222</v>
      </c>
      <c r="AP23" s="51">
        <f ca="1">RAND()</f>
        <v>0.95624477301994049</v>
      </c>
      <c r="AQ23" s="51">
        <f ca="1">RAND()</f>
        <v>0.44010926143495888</v>
      </c>
      <c r="AR23" s="51">
        <f ca="1">RAND()</f>
        <v>0.96929800370358432</v>
      </c>
      <c r="AS23" s="51">
        <f ca="1">RAND()</f>
        <v>0.1385143270946706</v>
      </c>
      <c r="AT23" s="51">
        <f ca="1">RAND()</f>
        <v>0.94106072751183611</v>
      </c>
      <c r="AU23" s="51">
        <f ca="1">RAND()</f>
        <v>0.16841849202999326</v>
      </c>
      <c r="AV23" s="51">
        <f ca="1">RAND()</f>
        <v>3.8095370383066651E-3</v>
      </c>
      <c r="AW23" s="51">
        <f ca="1">RAND()</f>
        <v>0.10225966187206403</v>
      </c>
      <c r="AX23" s="51">
        <f ca="1">RAND()</f>
        <v>0.4299292398773561</v>
      </c>
      <c r="AY23" s="51">
        <f ca="1">RAND()</f>
        <v>0.86665268023261488</v>
      </c>
      <c r="AZ23" s="51">
        <f ca="1">RAND()</f>
        <v>0.24935772142855495</v>
      </c>
      <c r="BA23" s="51">
        <f ca="1">RAND()</f>
        <v>0.27408883163664532</v>
      </c>
      <c r="BB23" s="51">
        <f ca="1">RAND()</f>
        <v>0.45044548871223633</v>
      </c>
      <c r="BC23" s="51">
        <f ca="1">RAND()</f>
        <v>0.43428239183989437</v>
      </c>
      <c r="BD23" s="51">
        <f ca="1">RAND()</f>
        <v>0.71897300822916399</v>
      </c>
      <c r="BE23" s="51">
        <f ca="1">RAND()</f>
        <v>0.85273913441915472</v>
      </c>
      <c r="BF23" s="51">
        <f ca="1">RAND()</f>
        <v>0.59849171550484037</v>
      </c>
      <c r="BG23" s="51">
        <f ca="1">RAND()</f>
        <v>0.47498329607127199</v>
      </c>
      <c r="BH23" s="51">
        <f ca="1">RAND()</f>
        <v>0.64406034082277908</v>
      </c>
      <c r="BI23" s="51">
        <f ca="1">RAND()</f>
        <v>0.70246387953076617</v>
      </c>
      <c r="BJ23" s="51">
        <f ca="1">RAND()</f>
        <v>0.10475369932583911</v>
      </c>
      <c r="BK23" s="51">
        <f ca="1">RAND()</f>
        <v>9.3441616606356748E-3</v>
      </c>
      <c r="BL23" s="51">
        <f ca="1">RAND()</f>
        <v>0.68610397347764607</v>
      </c>
      <c r="BM23" s="51">
        <f ca="1">RAND()</f>
        <v>0.63822473051583484</v>
      </c>
      <c r="BN23" s="51">
        <f ca="1">RAND()</f>
        <v>0.69818425892721503</v>
      </c>
      <c r="BO23" s="51">
        <f ca="1">RAND()</f>
        <v>0.85800140984777562</v>
      </c>
      <c r="BP23" s="51">
        <f ca="1">RAND()</f>
        <v>0.57277767319778028</v>
      </c>
      <c r="BQ23" s="51">
        <f ca="1">RAND()</f>
        <v>0.98558520643934655</v>
      </c>
      <c r="BR23" s="51">
        <f ca="1">RAND()</f>
        <v>0.77624158385126685</v>
      </c>
      <c r="BS23" s="51">
        <f ca="1">RAND()</f>
        <v>0.21155955956002626</v>
      </c>
      <c r="BT23" s="51">
        <f ca="1">RAND()</f>
        <v>4.6888588302345102E-2</v>
      </c>
      <c r="BU23" s="51">
        <f ca="1">RAND()</f>
        <v>0.20920063882302165</v>
      </c>
      <c r="BV23" s="51">
        <f ca="1">RAND()</f>
        <v>4.1366569445654533E-2</v>
      </c>
      <c r="BW23" s="51">
        <f ca="1">RAND()</f>
        <v>0.81915320307184691</v>
      </c>
      <c r="BX23" s="51">
        <f ca="1">RAND()</f>
        <v>0.83233151680703155</v>
      </c>
      <c r="BY23" s="51">
        <f ca="1">RAND()</f>
        <v>0.48945745631580706</v>
      </c>
      <c r="BZ23" s="51">
        <f ca="1">RAND()</f>
        <v>0.85572514059020766</v>
      </c>
      <c r="CA23" s="51">
        <f ca="1">RAND()</f>
        <v>0.97943540339074431</v>
      </c>
      <c r="CB23" s="51">
        <f ca="1">RAND()</f>
        <v>0.28074221048650916</v>
      </c>
      <c r="CC23" s="51">
        <f ca="1">RAND()</f>
        <v>0.38169460542919098</v>
      </c>
      <c r="CD23" s="51">
        <f ca="1">RAND()</f>
        <v>0.56661852361569209</v>
      </c>
      <c r="CE23" s="51">
        <f ca="1">RAND()</f>
        <v>0.6843039238400499</v>
      </c>
      <c r="CF23" s="51">
        <f ca="1">RAND()</f>
        <v>0.63317913245167334</v>
      </c>
      <c r="CG23" s="51">
        <f ca="1">RAND()</f>
        <v>0.56266306044339365</v>
      </c>
      <c r="CH23" s="51">
        <f ca="1">RAND()</f>
        <v>0.51626183186444052</v>
      </c>
      <c r="CI23" s="51">
        <f ca="1">RAND()</f>
        <v>0.24536757408330467</v>
      </c>
      <c r="CJ23" s="51">
        <f ca="1">RAND()</f>
        <v>3.2925416070963998E-2</v>
      </c>
      <c r="CK23" s="51">
        <f ca="1">RAND()</f>
        <v>0.69837071385059846</v>
      </c>
      <c r="CL23" s="51">
        <f ca="1">RAND()</f>
        <v>0.44703074365433426</v>
      </c>
      <c r="CM23" s="51">
        <f ca="1">RAND()</f>
        <v>0.81753847005227964</v>
      </c>
      <c r="CN23" s="51">
        <f ca="1">RAND()</f>
        <v>0.6686702232082401</v>
      </c>
      <c r="CO23" s="51">
        <f ca="1">RAND()</f>
        <v>0.38558492930350896</v>
      </c>
      <c r="CP23" s="51">
        <f ca="1">RAND()</f>
        <v>0.97765054806926299</v>
      </c>
      <c r="CQ23" s="51">
        <f ca="1">RAND()</f>
        <v>0.16826564903146035</v>
      </c>
      <c r="CR23" s="51">
        <f ca="1">RAND()</f>
        <v>0.78298129033270247</v>
      </c>
      <c r="CS23" s="51">
        <f ca="1">RAND()</f>
        <v>0.42939982052040848</v>
      </c>
      <c r="CT23" s="51">
        <f ca="1">RAND()</f>
        <v>0.11377125579770586</v>
      </c>
      <c r="CU23" s="51">
        <f ca="1">RAND()</f>
        <v>8.5250131499169823E-2</v>
      </c>
      <c r="CV23" s="51">
        <f ca="1">RAND()</f>
        <v>7.8320147013450803E-2</v>
      </c>
      <c r="CW23" s="51">
        <f ca="1">RAND()</f>
        <v>0.19681101789088418</v>
      </c>
      <c r="CX23" s="51">
        <f ca="1">RAND()</f>
        <v>0.22120240133597202</v>
      </c>
      <c r="CY23" s="51">
        <f ca="1">RAND()</f>
        <v>0.81011070730616075</v>
      </c>
      <c r="CZ23" s="51">
        <f ca="1">RAND()</f>
        <v>0.55933984873429698</v>
      </c>
      <c r="DA23" s="51">
        <f ca="1">RAND()</f>
        <v>0.97293782447529464</v>
      </c>
      <c r="DB23" s="51">
        <f ca="1">RAND()</f>
        <v>0.11984369963319907</v>
      </c>
      <c r="DC23" s="51">
        <f ca="1">RAND()</f>
        <v>0.75220991417621019</v>
      </c>
      <c r="DD23" s="51">
        <f ca="1">RAND()</f>
        <v>0.71522733553896656</v>
      </c>
      <c r="DE23" s="51">
        <f ca="1">RAND()</f>
        <v>0.59974629389383138</v>
      </c>
      <c r="DF23" s="51">
        <f ca="1">RAND()</f>
        <v>0.67602803973839032</v>
      </c>
      <c r="DG23" s="51">
        <f ca="1">RAND()</f>
        <v>0.41730342325269409</v>
      </c>
      <c r="DH23" s="51">
        <f ca="1">RAND()</f>
        <v>0.74758942657817851</v>
      </c>
      <c r="DI23" s="51">
        <f ca="1">RAND()</f>
        <v>0.59303537768065895</v>
      </c>
      <c r="DJ23" s="51">
        <f ca="1">RAND()</f>
        <v>0.15538669015338669</v>
      </c>
      <c r="DK23" s="51">
        <f ca="1">RAND()</f>
        <v>0.58460000555475422</v>
      </c>
      <c r="DL23" s="51">
        <f ca="1">RAND()</f>
        <v>0.87348960550887533</v>
      </c>
      <c r="DM23" s="51">
        <f ca="1">RAND()</f>
        <v>7.2017442916268881E-2</v>
      </c>
      <c r="DN23" s="51">
        <f ca="1">RAND()</f>
        <v>0.58541380662287612</v>
      </c>
      <c r="DO23" s="51">
        <f ca="1">RAND()</f>
        <v>0.72511904368074287</v>
      </c>
      <c r="DP23" s="51">
        <f ca="1">RAND()</f>
        <v>0.88422878269846028</v>
      </c>
      <c r="DQ23" s="51">
        <f ca="1">RAND()</f>
        <v>0.62880180238732308</v>
      </c>
      <c r="DR23" s="51">
        <f ca="1">RAND()</f>
        <v>0.1384104872374724</v>
      </c>
      <c r="DS23" s="51">
        <f ca="1">RAND()</f>
        <v>0.74419399840692324</v>
      </c>
      <c r="DT23" s="51">
        <f ca="1">RAND()</f>
        <v>0.37615456848122397</v>
      </c>
      <c r="DU23" s="51">
        <f ca="1">RAND()</f>
        <v>0.74988278566802946</v>
      </c>
      <c r="DV23" s="51">
        <f ca="1">RAND()</f>
        <v>0.52026040365091175</v>
      </c>
      <c r="DW23" s="51">
        <f ca="1">RAND()</f>
        <v>0.30589489014442139</v>
      </c>
      <c r="DX23" s="51">
        <f ca="1">RAND()</f>
        <v>0.14894634327481648</v>
      </c>
      <c r="DY23" s="51">
        <f ca="1">RAND()</f>
        <v>6.2415389853649916E-2</v>
      </c>
      <c r="DZ23" s="51">
        <f ca="1">RAND()</f>
        <v>0.32624163325251132</v>
      </c>
      <c r="EA23" s="51">
        <f ca="1">RAND()</f>
        <v>8.8893679238351231E-2</v>
      </c>
      <c r="EB23" s="51">
        <f ca="1">RAND()</f>
        <v>0.84559621742146196</v>
      </c>
      <c r="EC23" s="51">
        <f ca="1">RAND()</f>
        <v>0.8637049045582913</v>
      </c>
      <c r="ED23" s="51">
        <f ca="1">RAND()</f>
        <v>1.8089359837287988E-2</v>
      </c>
      <c r="EE23" s="51">
        <f ca="1">RAND()</f>
        <v>5.9720032244978905E-2</v>
      </c>
    </row>
    <row r="24" spans="1:135" x14ac:dyDescent="0.4">
      <c r="A24" s="31" t="str">
        <f t="shared" si="3"/>
        <v>KPI ID 17</v>
      </c>
      <c r="B24" s="49" t="s">
        <v>64</v>
      </c>
      <c r="C24" s="50" t="s">
        <v>33</v>
      </c>
      <c r="D24" s="51">
        <f ca="1">RANDBETWEEN(1, 100)</f>
        <v>8</v>
      </c>
      <c r="E24" s="51">
        <f ca="1">RANDBETWEEN(1, 100)</f>
        <v>85</v>
      </c>
      <c r="F24" s="51">
        <f ca="1">RANDBETWEEN(1, 100)</f>
        <v>76</v>
      </c>
      <c r="G24" s="51">
        <f ca="1">RANDBETWEEN(1, 100)</f>
        <v>84</v>
      </c>
      <c r="H24" s="51">
        <f ca="1">RANDBETWEEN(1, 100)</f>
        <v>82</v>
      </c>
      <c r="I24" s="51">
        <f ca="1">RANDBETWEEN(1, 100)</f>
        <v>25</v>
      </c>
      <c r="J24" s="51">
        <f ca="1">RANDBETWEEN(1, 100)</f>
        <v>95</v>
      </c>
      <c r="K24" s="51">
        <f ca="1">RANDBETWEEN(1, 100)</f>
        <v>5</v>
      </c>
      <c r="L24" s="51">
        <f ca="1">RANDBETWEEN(1, 100)</f>
        <v>52</v>
      </c>
      <c r="M24" s="51">
        <f ca="1">RANDBETWEEN(1, 100)</f>
        <v>73</v>
      </c>
      <c r="N24" s="51">
        <f ca="1">RANDBETWEEN(1, 100)</f>
        <v>83</v>
      </c>
      <c r="O24" s="51">
        <f ca="1">RANDBETWEEN(1, 100)</f>
        <v>78</v>
      </c>
      <c r="P24" s="51">
        <f ca="1">RANDBETWEEN(1, 100)</f>
        <v>13</v>
      </c>
      <c r="Q24" s="51">
        <f ca="1">RANDBETWEEN(1, 100)</f>
        <v>37</v>
      </c>
      <c r="R24" s="51">
        <f ca="1">RANDBETWEEN(1, 100)</f>
        <v>48</v>
      </c>
      <c r="S24" s="51">
        <f ca="1">RANDBETWEEN(1, 100)</f>
        <v>32</v>
      </c>
      <c r="T24" s="51">
        <f ca="1">RANDBETWEEN(1, 100)</f>
        <v>28</v>
      </c>
      <c r="U24" s="51">
        <f ca="1">RANDBETWEEN(1, 100)</f>
        <v>36</v>
      </c>
      <c r="V24" s="51">
        <f ca="1">RANDBETWEEN(1, 100)</f>
        <v>34</v>
      </c>
      <c r="W24" s="51">
        <f ca="1">RANDBETWEEN(1, 100)</f>
        <v>46</v>
      </c>
      <c r="X24" s="51">
        <f ca="1">RANDBETWEEN(1, 100)</f>
        <v>13</v>
      </c>
      <c r="Y24" s="51">
        <f ca="1">RANDBETWEEN(1, 100)</f>
        <v>45</v>
      </c>
      <c r="Z24" s="51">
        <f ca="1">RANDBETWEEN(1, 100)</f>
        <v>52</v>
      </c>
      <c r="AA24" s="51">
        <f ca="1">RANDBETWEEN(1, 100)</f>
        <v>81</v>
      </c>
      <c r="AB24" s="51">
        <f ca="1">RANDBETWEEN(1, 100)</f>
        <v>84</v>
      </c>
      <c r="AC24" s="51">
        <f ca="1">RANDBETWEEN(1, 100)</f>
        <v>59</v>
      </c>
      <c r="AD24" s="51">
        <f ca="1">RANDBETWEEN(1, 100)</f>
        <v>12</v>
      </c>
      <c r="AE24" s="51">
        <f ca="1">RANDBETWEEN(1, 100)</f>
        <v>100</v>
      </c>
      <c r="AF24" s="51">
        <f ca="1">RANDBETWEEN(1, 100)</f>
        <v>70</v>
      </c>
      <c r="AG24" s="51">
        <f ca="1">RANDBETWEEN(1, 100)</f>
        <v>62</v>
      </c>
      <c r="AH24" s="51">
        <f ca="1">RANDBETWEEN(1, 100)</f>
        <v>33</v>
      </c>
      <c r="AI24" s="51">
        <f ca="1">RANDBETWEEN(1, 100)</f>
        <v>40</v>
      </c>
      <c r="AJ24" s="51">
        <f ca="1">RANDBETWEEN(1, 100)</f>
        <v>1</v>
      </c>
      <c r="AK24" s="51">
        <f ca="1">RANDBETWEEN(1, 100)</f>
        <v>86</v>
      </c>
      <c r="AL24" s="51">
        <f ca="1">RANDBETWEEN(1, 100)</f>
        <v>82</v>
      </c>
      <c r="AM24" s="51">
        <f ca="1">RANDBETWEEN(1, 100)</f>
        <v>72</v>
      </c>
      <c r="AN24" s="51">
        <f ca="1">RANDBETWEEN(1, 100)</f>
        <v>22</v>
      </c>
      <c r="AO24" s="51">
        <f ca="1">RANDBETWEEN(1, 100)</f>
        <v>14</v>
      </c>
      <c r="AP24" s="51">
        <f ca="1">RANDBETWEEN(1, 100)</f>
        <v>41</v>
      </c>
      <c r="AQ24" s="51">
        <f ca="1">RANDBETWEEN(1, 100)</f>
        <v>1</v>
      </c>
      <c r="AR24" s="51">
        <f ca="1">RANDBETWEEN(1, 100)</f>
        <v>7</v>
      </c>
      <c r="AS24" s="51">
        <f ca="1">RANDBETWEEN(1, 100)</f>
        <v>84</v>
      </c>
      <c r="AT24" s="51">
        <f ca="1">RANDBETWEEN(1, 100)</f>
        <v>93</v>
      </c>
      <c r="AU24" s="51">
        <f ca="1">RANDBETWEEN(1, 100)</f>
        <v>21</v>
      </c>
      <c r="AV24" s="51">
        <f ca="1">RANDBETWEEN(1, 100)</f>
        <v>92</v>
      </c>
      <c r="AW24" s="51">
        <f ca="1">RANDBETWEEN(1, 100)</f>
        <v>85</v>
      </c>
      <c r="AX24" s="51">
        <f ca="1">RANDBETWEEN(1, 100)</f>
        <v>29</v>
      </c>
      <c r="AY24" s="51">
        <f ca="1">RANDBETWEEN(1, 100)</f>
        <v>81</v>
      </c>
      <c r="AZ24" s="51">
        <f ca="1">RANDBETWEEN(1, 100)</f>
        <v>41</v>
      </c>
      <c r="BA24" s="51">
        <f ca="1">RANDBETWEEN(1, 100)</f>
        <v>2</v>
      </c>
      <c r="BB24" s="51">
        <f ca="1">RANDBETWEEN(1, 100)</f>
        <v>62</v>
      </c>
      <c r="BC24" s="51">
        <f ca="1">RANDBETWEEN(1, 100)</f>
        <v>41</v>
      </c>
      <c r="BD24" s="51">
        <f ca="1">RANDBETWEEN(1, 100)</f>
        <v>50</v>
      </c>
      <c r="BE24" s="51">
        <f ca="1">RANDBETWEEN(1, 100)</f>
        <v>52</v>
      </c>
      <c r="BF24" s="51">
        <f ca="1">RANDBETWEEN(1, 100)</f>
        <v>12</v>
      </c>
      <c r="BG24" s="51">
        <f ca="1">RANDBETWEEN(1, 100)</f>
        <v>61</v>
      </c>
      <c r="BH24" s="51">
        <f ca="1">RANDBETWEEN(1, 100)</f>
        <v>5</v>
      </c>
      <c r="BI24" s="51">
        <f ca="1">RANDBETWEEN(1, 100)</f>
        <v>80</v>
      </c>
      <c r="BJ24" s="51">
        <f ca="1">RANDBETWEEN(1, 100)</f>
        <v>52</v>
      </c>
      <c r="BK24" s="51">
        <f ca="1">RANDBETWEEN(1, 100)</f>
        <v>54</v>
      </c>
      <c r="BL24" s="51">
        <f ca="1">RANDBETWEEN(1, 100)</f>
        <v>46</v>
      </c>
      <c r="BM24" s="51">
        <f ca="1">RANDBETWEEN(1, 100)</f>
        <v>7</v>
      </c>
      <c r="BN24" s="51">
        <f ca="1">RANDBETWEEN(1, 100)</f>
        <v>41</v>
      </c>
      <c r="BO24" s="51">
        <f ca="1">RANDBETWEEN(1, 100)</f>
        <v>33</v>
      </c>
      <c r="BP24" s="51">
        <f ca="1">RANDBETWEEN(1, 100)</f>
        <v>91</v>
      </c>
      <c r="BQ24" s="51">
        <f ca="1">RANDBETWEEN(1, 100)</f>
        <v>11</v>
      </c>
      <c r="BR24" s="51">
        <f ca="1">RANDBETWEEN(1, 100)</f>
        <v>90</v>
      </c>
      <c r="BS24" s="51">
        <f ca="1">RANDBETWEEN(1, 100)</f>
        <v>51</v>
      </c>
      <c r="BT24" s="51">
        <f ca="1">RANDBETWEEN(1, 100)</f>
        <v>73</v>
      </c>
      <c r="BU24" s="51">
        <f ca="1">RANDBETWEEN(1, 100)</f>
        <v>21</v>
      </c>
      <c r="BV24" s="51">
        <f ca="1">RANDBETWEEN(1, 100)</f>
        <v>8</v>
      </c>
      <c r="BW24" s="51">
        <f ca="1">RANDBETWEEN(1, 100)</f>
        <v>32</v>
      </c>
      <c r="BX24" s="51">
        <f ca="1">RANDBETWEEN(1, 100)</f>
        <v>92</v>
      </c>
      <c r="BY24" s="51">
        <f ca="1">RANDBETWEEN(1, 100)</f>
        <v>47</v>
      </c>
      <c r="BZ24" s="51">
        <f ca="1">RANDBETWEEN(1, 100)</f>
        <v>38</v>
      </c>
      <c r="CA24" s="51">
        <f ca="1">RANDBETWEEN(1, 100)</f>
        <v>9</v>
      </c>
      <c r="CB24" s="51">
        <f ca="1">RANDBETWEEN(1, 100)</f>
        <v>22</v>
      </c>
      <c r="CC24" s="51">
        <f ca="1">RANDBETWEEN(1, 100)</f>
        <v>89</v>
      </c>
      <c r="CD24" s="51">
        <f ca="1">RANDBETWEEN(1, 100)</f>
        <v>36</v>
      </c>
      <c r="CE24" s="51">
        <f ca="1">RANDBETWEEN(1, 100)</f>
        <v>5</v>
      </c>
      <c r="CF24" s="51">
        <f ca="1">RANDBETWEEN(1, 100)</f>
        <v>70</v>
      </c>
      <c r="CG24" s="51">
        <f ca="1">RANDBETWEEN(1, 100)</f>
        <v>26</v>
      </c>
      <c r="CH24" s="51">
        <f ca="1">RANDBETWEEN(1, 100)</f>
        <v>30</v>
      </c>
      <c r="CI24" s="51">
        <f ca="1">RANDBETWEEN(1, 100)</f>
        <v>72</v>
      </c>
      <c r="CJ24" s="51">
        <f ca="1">RANDBETWEEN(1, 100)</f>
        <v>71</v>
      </c>
      <c r="CK24" s="51">
        <f ca="1">RANDBETWEEN(1, 100)</f>
        <v>7</v>
      </c>
      <c r="CL24" s="51">
        <f ca="1">RANDBETWEEN(1, 100)</f>
        <v>44</v>
      </c>
      <c r="CM24" s="51">
        <f ca="1">RANDBETWEEN(1, 100)</f>
        <v>10</v>
      </c>
      <c r="CN24" s="51">
        <f ca="1">RANDBETWEEN(1, 100)</f>
        <v>24</v>
      </c>
      <c r="CO24" s="51">
        <f ca="1">RANDBETWEEN(1, 100)</f>
        <v>97</v>
      </c>
      <c r="CP24" s="51">
        <f ca="1">RANDBETWEEN(1, 100)</f>
        <v>77</v>
      </c>
      <c r="CQ24" s="51">
        <f ca="1">RANDBETWEEN(1, 100)</f>
        <v>87</v>
      </c>
      <c r="CR24" s="51">
        <f ca="1">RANDBETWEEN(1, 100)</f>
        <v>51</v>
      </c>
      <c r="CS24" s="51">
        <f ca="1">RANDBETWEEN(1, 100)</f>
        <v>89</v>
      </c>
      <c r="CT24" s="51">
        <f ca="1">RANDBETWEEN(1, 100)</f>
        <v>53</v>
      </c>
      <c r="CU24" s="51">
        <f ca="1">RANDBETWEEN(1, 100)</f>
        <v>23</v>
      </c>
      <c r="CV24" s="51">
        <f ca="1">RANDBETWEEN(1, 100)</f>
        <v>7</v>
      </c>
      <c r="CW24" s="51">
        <f ca="1">RANDBETWEEN(1, 100)</f>
        <v>74</v>
      </c>
      <c r="CX24" s="51">
        <f ca="1">RANDBETWEEN(1, 100)</f>
        <v>93</v>
      </c>
      <c r="CY24" s="51">
        <f ca="1">RANDBETWEEN(1, 100)</f>
        <v>25</v>
      </c>
      <c r="CZ24" s="51">
        <f ca="1">RANDBETWEEN(1, 100)</f>
        <v>48</v>
      </c>
      <c r="DA24" s="51">
        <f ca="1">RANDBETWEEN(1, 100)</f>
        <v>65</v>
      </c>
      <c r="DB24" s="51">
        <f ca="1">RANDBETWEEN(1, 100)</f>
        <v>44</v>
      </c>
      <c r="DC24" s="51">
        <f ca="1">RANDBETWEEN(1, 100)</f>
        <v>83</v>
      </c>
      <c r="DD24" s="51">
        <f ca="1">RANDBETWEEN(1, 100)</f>
        <v>33</v>
      </c>
      <c r="DE24" s="51">
        <f ca="1">RANDBETWEEN(1, 100)</f>
        <v>59</v>
      </c>
      <c r="DF24" s="51">
        <f ca="1">RANDBETWEEN(1, 100)</f>
        <v>71</v>
      </c>
      <c r="DG24" s="51">
        <f ca="1">RANDBETWEEN(1, 100)</f>
        <v>61</v>
      </c>
      <c r="DH24" s="51">
        <f ca="1">RANDBETWEEN(1, 100)</f>
        <v>41</v>
      </c>
      <c r="DI24" s="51">
        <f ca="1">RANDBETWEEN(1, 100)</f>
        <v>42</v>
      </c>
      <c r="DJ24" s="51">
        <f ca="1">RANDBETWEEN(1, 100)</f>
        <v>54</v>
      </c>
      <c r="DK24" s="51">
        <f ca="1">RANDBETWEEN(1, 100)</f>
        <v>15</v>
      </c>
      <c r="DL24" s="51">
        <f ca="1">RANDBETWEEN(1, 100)</f>
        <v>29</v>
      </c>
      <c r="DM24" s="51">
        <f ca="1">RANDBETWEEN(1, 100)</f>
        <v>99</v>
      </c>
      <c r="DN24" s="51">
        <f ca="1">RANDBETWEEN(1, 100)</f>
        <v>70</v>
      </c>
      <c r="DO24" s="51">
        <f ca="1">RANDBETWEEN(1, 100)</f>
        <v>17</v>
      </c>
      <c r="DP24" s="51">
        <f ca="1">RANDBETWEEN(1, 100)</f>
        <v>1</v>
      </c>
      <c r="DQ24" s="51">
        <f ca="1">RANDBETWEEN(1, 100)</f>
        <v>51</v>
      </c>
      <c r="DR24" s="51">
        <f ca="1">RANDBETWEEN(1, 100)</f>
        <v>28</v>
      </c>
      <c r="DS24" s="51">
        <f ca="1">RANDBETWEEN(1, 100)</f>
        <v>42</v>
      </c>
      <c r="DT24" s="51">
        <f ca="1">RANDBETWEEN(1, 100)</f>
        <v>63</v>
      </c>
      <c r="DU24" s="51">
        <f ca="1">RANDBETWEEN(1, 100)</f>
        <v>84</v>
      </c>
      <c r="DV24" s="51">
        <f ca="1">RANDBETWEEN(1, 100)</f>
        <v>66</v>
      </c>
      <c r="DW24" s="51">
        <f ca="1">RANDBETWEEN(1, 100)</f>
        <v>56</v>
      </c>
      <c r="DX24" s="51">
        <f ca="1">RANDBETWEEN(1, 100)</f>
        <v>87</v>
      </c>
      <c r="DY24" s="51">
        <f ca="1">RANDBETWEEN(1, 100)</f>
        <v>87</v>
      </c>
      <c r="DZ24" s="51">
        <f ca="1">RANDBETWEEN(1, 100)</f>
        <v>64</v>
      </c>
      <c r="EA24" s="51">
        <f ca="1">RANDBETWEEN(1, 100)</f>
        <v>69</v>
      </c>
      <c r="EB24" s="51">
        <f ca="1">RANDBETWEEN(1, 100)</f>
        <v>28</v>
      </c>
      <c r="EC24" s="51">
        <f ca="1">RANDBETWEEN(1, 100)</f>
        <v>86</v>
      </c>
      <c r="ED24" s="51">
        <f ca="1">RANDBETWEEN(1, 100)</f>
        <v>59</v>
      </c>
      <c r="EE24" s="51">
        <f ca="1">RANDBETWEEN(1, 100)</f>
        <v>21</v>
      </c>
    </row>
    <row r="25" spans="1:135" x14ac:dyDescent="0.4">
      <c r="A25" s="31" t="str">
        <f t="shared" si="3"/>
        <v>KPI ID 18</v>
      </c>
      <c r="B25" s="49" t="s">
        <v>64</v>
      </c>
      <c r="C25" s="50" t="s">
        <v>34</v>
      </c>
      <c r="D25" s="51">
        <f ca="1">RANDBETWEEN(1, 200)</f>
        <v>38</v>
      </c>
      <c r="E25" s="51">
        <f ca="1">RANDBETWEEN(1, 200)</f>
        <v>77</v>
      </c>
      <c r="F25" s="51">
        <f ca="1">RANDBETWEEN(1, 200)</f>
        <v>187</v>
      </c>
      <c r="G25" s="51">
        <f ca="1">RANDBETWEEN(1, 200)</f>
        <v>16</v>
      </c>
      <c r="H25" s="51">
        <f ca="1">RANDBETWEEN(1, 200)</f>
        <v>96</v>
      </c>
      <c r="I25" s="51">
        <f ca="1">RANDBETWEEN(1, 200)</f>
        <v>93</v>
      </c>
      <c r="J25" s="51">
        <f ca="1">RANDBETWEEN(1, 200)</f>
        <v>153</v>
      </c>
      <c r="K25" s="51">
        <f ca="1">RANDBETWEEN(1, 200)</f>
        <v>50</v>
      </c>
      <c r="L25" s="51">
        <f ca="1">RANDBETWEEN(1, 200)</f>
        <v>51</v>
      </c>
      <c r="M25" s="51">
        <f ca="1">RANDBETWEEN(1, 200)</f>
        <v>7</v>
      </c>
      <c r="N25" s="51">
        <f ca="1">RANDBETWEEN(1, 200)</f>
        <v>122</v>
      </c>
      <c r="O25" s="51">
        <f ca="1">RANDBETWEEN(1, 200)</f>
        <v>113</v>
      </c>
      <c r="P25" s="51">
        <f ca="1">RANDBETWEEN(1, 200)</f>
        <v>3</v>
      </c>
      <c r="Q25" s="51">
        <f ca="1">RANDBETWEEN(1, 200)</f>
        <v>140</v>
      </c>
      <c r="R25" s="51">
        <f ca="1">RANDBETWEEN(1, 200)</f>
        <v>18</v>
      </c>
      <c r="S25" s="51">
        <f ca="1">RANDBETWEEN(1, 200)</f>
        <v>34</v>
      </c>
      <c r="T25" s="51">
        <f ca="1">RANDBETWEEN(1, 200)</f>
        <v>124</v>
      </c>
      <c r="U25" s="51">
        <f ca="1">RANDBETWEEN(1, 200)</f>
        <v>158</v>
      </c>
      <c r="V25" s="51">
        <f ca="1">RANDBETWEEN(1, 200)</f>
        <v>154</v>
      </c>
      <c r="W25" s="51">
        <f ca="1">RANDBETWEEN(1, 200)</f>
        <v>97</v>
      </c>
      <c r="X25" s="51">
        <f ca="1">RANDBETWEEN(1, 200)</f>
        <v>78</v>
      </c>
      <c r="Y25" s="51">
        <f ca="1">RANDBETWEEN(1, 200)</f>
        <v>18</v>
      </c>
      <c r="Z25" s="51">
        <f ca="1">RANDBETWEEN(1, 200)</f>
        <v>15</v>
      </c>
      <c r="AA25" s="51">
        <f ca="1">RANDBETWEEN(1, 200)</f>
        <v>131</v>
      </c>
      <c r="AB25" s="51">
        <f ca="1">RANDBETWEEN(1, 200)</f>
        <v>117</v>
      </c>
      <c r="AC25" s="51">
        <f ca="1">RANDBETWEEN(1, 200)</f>
        <v>17</v>
      </c>
      <c r="AD25" s="51">
        <f ca="1">RANDBETWEEN(1, 200)</f>
        <v>133</v>
      </c>
      <c r="AE25" s="51">
        <f ca="1">RANDBETWEEN(1, 200)</f>
        <v>26</v>
      </c>
      <c r="AF25" s="51">
        <f ca="1">RANDBETWEEN(1, 200)</f>
        <v>161</v>
      </c>
      <c r="AG25" s="51">
        <f ca="1">RANDBETWEEN(1, 200)</f>
        <v>172</v>
      </c>
      <c r="AH25" s="51">
        <f ca="1">RANDBETWEEN(1, 200)</f>
        <v>55</v>
      </c>
      <c r="AI25" s="51">
        <f ca="1">RANDBETWEEN(1, 200)</f>
        <v>114</v>
      </c>
      <c r="AJ25" s="51">
        <f ca="1">RANDBETWEEN(1, 200)</f>
        <v>50</v>
      </c>
      <c r="AK25" s="51">
        <f ca="1">RANDBETWEEN(1, 200)</f>
        <v>146</v>
      </c>
      <c r="AL25" s="51">
        <f ca="1">RANDBETWEEN(1, 200)</f>
        <v>172</v>
      </c>
      <c r="AM25" s="51">
        <f ca="1">RANDBETWEEN(1, 200)</f>
        <v>6</v>
      </c>
      <c r="AN25" s="51">
        <f ca="1">RANDBETWEEN(1, 200)</f>
        <v>153</v>
      </c>
      <c r="AO25" s="51">
        <f ca="1">RANDBETWEEN(1, 200)</f>
        <v>31</v>
      </c>
      <c r="AP25" s="51">
        <f ca="1">RANDBETWEEN(1, 200)</f>
        <v>195</v>
      </c>
      <c r="AQ25" s="51">
        <f ca="1">RANDBETWEEN(1, 200)</f>
        <v>135</v>
      </c>
      <c r="AR25" s="51">
        <f ca="1">RANDBETWEEN(1, 200)</f>
        <v>4</v>
      </c>
      <c r="AS25" s="51">
        <f ca="1">RANDBETWEEN(1, 200)</f>
        <v>192</v>
      </c>
      <c r="AT25" s="51">
        <f ca="1">RANDBETWEEN(1, 200)</f>
        <v>173</v>
      </c>
      <c r="AU25" s="51">
        <f ca="1">RANDBETWEEN(1, 200)</f>
        <v>80</v>
      </c>
      <c r="AV25" s="51">
        <f ca="1">RANDBETWEEN(1, 200)</f>
        <v>35</v>
      </c>
      <c r="AW25" s="51">
        <f ca="1">RANDBETWEEN(1, 200)</f>
        <v>160</v>
      </c>
      <c r="AX25" s="51">
        <f ca="1">RANDBETWEEN(1, 200)</f>
        <v>197</v>
      </c>
      <c r="AY25" s="51">
        <f ca="1">RANDBETWEEN(1, 200)</f>
        <v>73</v>
      </c>
      <c r="AZ25" s="51">
        <f ca="1">RANDBETWEEN(1, 200)</f>
        <v>78</v>
      </c>
      <c r="BA25" s="51">
        <f ca="1">RANDBETWEEN(1, 200)</f>
        <v>10</v>
      </c>
      <c r="BB25" s="51">
        <f ca="1">RANDBETWEEN(1, 200)</f>
        <v>98</v>
      </c>
      <c r="BC25" s="51">
        <f ca="1">RANDBETWEEN(1, 200)</f>
        <v>49</v>
      </c>
      <c r="BD25" s="51">
        <f ca="1">RANDBETWEEN(1, 200)</f>
        <v>198</v>
      </c>
      <c r="BE25" s="51">
        <f ca="1">RANDBETWEEN(1, 200)</f>
        <v>169</v>
      </c>
      <c r="BF25" s="51">
        <f ca="1">RANDBETWEEN(1, 200)</f>
        <v>31</v>
      </c>
      <c r="BG25" s="51">
        <f ca="1">RANDBETWEEN(1, 200)</f>
        <v>27</v>
      </c>
      <c r="BH25" s="51">
        <f ca="1">RANDBETWEEN(1, 200)</f>
        <v>179</v>
      </c>
      <c r="BI25" s="51">
        <f ca="1">RANDBETWEEN(1, 200)</f>
        <v>37</v>
      </c>
      <c r="BJ25" s="51">
        <f ca="1">RANDBETWEEN(1, 200)</f>
        <v>57</v>
      </c>
      <c r="BK25" s="51">
        <f ca="1">RANDBETWEEN(1, 200)</f>
        <v>18</v>
      </c>
      <c r="BL25" s="51">
        <f ca="1">RANDBETWEEN(1, 200)</f>
        <v>150</v>
      </c>
      <c r="BM25" s="51">
        <f ca="1">RANDBETWEEN(1, 200)</f>
        <v>45</v>
      </c>
      <c r="BN25" s="51">
        <f ca="1">RANDBETWEEN(1, 200)</f>
        <v>33</v>
      </c>
      <c r="BO25" s="51">
        <f ca="1">RANDBETWEEN(1, 200)</f>
        <v>135</v>
      </c>
      <c r="BP25" s="51">
        <f ca="1">RANDBETWEEN(1, 200)</f>
        <v>3</v>
      </c>
      <c r="BQ25" s="51">
        <f ca="1">RANDBETWEEN(1, 200)</f>
        <v>49</v>
      </c>
      <c r="BR25" s="51">
        <f ca="1">RANDBETWEEN(1, 200)</f>
        <v>154</v>
      </c>
      <c r="BS25" s="51">
        <f ca="1">RANDBETWEEN(1, 200)</f>
        <v>140</v>
      </c>
      <c r="BT25" s="51">
        <f ca="1">RANDBETWEEN(1, 200)</f>
        <v>32</v>
      </c>
      <c r="BU25" s="51">
        <f ca="1">RANDBETWEEN(1, 200)</f>
        <v>195</v>
      </c>
      <c r="BV25" s="51">
        <f ca="1">RANDBETWEEN(1, 200)</f>
        <v>179</v>
      </c>
      <c r="BW25" s="51">
        <f ca="1">RANDBETWEEN(1, 200)</f>
        <v>63</v>
      </c>
      <c r="BX25" s="51">
        <f ca="1">RANDBETWEEN(1, 200)</f>
        <v>6</v>
      </c>
      <c r="BY25" s="51">
        <f ca="1">RANDBETWEEN(1, 200)</f>
        <v>93</v>
      </c>
      <c r="BZ25" s="51">
        <f ca="1">RANDBETWEEN(1, 200)</f>
        <v>152</v>
      </c>
      <c r="CA25" s="51">
        <f ca="1">RANDBETWEEN(1, 200)</f>
        <v>198</v>
      </c>
      <c r="CB25" s="51">
        <f ca="1">RANDBETWEEN(1, 200)</f>
        <v>89</v>
      </c>
      <c r="CC25" s="51">
        <f ca="1">RANDBETWEEN(1, 200)</f>
        <v>84</v>
      </c>
      <c r="CD25" s="51">
        <f ca="1">RANDBETWEEN(1, 200)</f>
        <v>102</v>
      </c>
      <c r="CE25" s="51">
        <f ca="1">RANDBETWEEN(1, 200)</f>
        <v>130</v>
      </c>
      <c r="CF25" s="51">
        <f ca="1">RANDBETWEEN(1, 200)</f>
        <v>156</v>
      </c>
      <c r="CG25" s="51">
        <f ca="1">RANDBETWEEN(1, 200)</f>
        <v>33</v>
      </c>
      <c r="CH25" s="51">
        <f ca="1">RANDBETWEEN(1, 200)</f>
        <v>87</v>
      </c>
      <c r="CI25" s="51">
        <f ca="1">RANDBETWEEN(1, 200)</f>
        <v>46</v>
      </c>
      <c r="CJ25" s="51">
        <f ca="1">RANDBETWEEN(1, 200)</f>
        <v>27</v>
      </c>
      <c r="CK25" s="51">
        <f ca="1">RANDBETWEEN(1, 200)</f>
        <v>163</v>
      </c>
      <c r="CL25" s="51">
        <f ca="1">RANDBETWEEN(1, 200)</f>
        <v>170</v>
      </c>
      <c r="CM25" s="51">
        <f ca="1">RANDBETWEEN(1, 200)</f>
        <v>189</v>
      </c>
      <c r="CN25" s="51">
        <f ca="1">RANDBETWEEN(1, 200)</f>
        <v>83</v>
      </c>
      <c r="CO25" s="51">
        <f ca="1">RANDBETWEEN(1, 200)</f>
        <v>20</v>
      </c>
      <c r="CP25" s="51">
        <f ca="1">RANDBETWEEN(1, 200)</f>
        <v>89</v>
      </c>
      <c r="CQ25" s="51">
        <f ca="1">RANDBETWEEN(1, 200)</f>
        <v>156</v>
      </c>
      <c r="CR25" s="51">
        <f ca="1">RANDBETWEEN(1, 200)</f>
        <v>50</v>
      </c>
      <c r="CS25" s="51">
        <f ca="1">RANDBETWEEN(1, 200)</f>
        <v>65</v>
      </c>
      <c r="CT25" s="51">
        <f ca="1">RANDBETWEEN(1, 200)</f>
        <v>98</v>
      </c>
      <c r="CU25" s="51">
        <f ca="1">RANDBETWEEN(1, 200)</f>
        <v>171</v>
      </c>
      <c r="CV25" s="51">
        <f ca="1">RANDBETWEEN(1, 200)</f>
        <v>37</v>
      </c>
      <c r="CW25" s="51">
        <f ca="1">RANDBETWEEN(1, 200)</f>
        <v>63</v>
      </c>
      <c r="CX25" s="51">
        <f ca="1">RANDBETWEEN(1, 200)</f>
        <v>52</v>
      </c>
      <c r="CY25" s="51">
        <f ca="1">RANDBETWEEN(1, 200)</f>
        <v>135</v>
      </c>
      <c r="CZ25" s="51">
        <f ca="1">RANDBETWEEN(1, 200)</f>
        <v>56</v>
      </c>
      <c r="DA25" s="51">
        <f ca="1">RANDBETWEEN(1, 200)</f>
        <v>136</v>
      </c>
      <c r="DB25" s="51">
        <f ca="1">RANDBETWEEN(1, 200)</f>
        <v>80</v>
      </c>
      <c r="DC25" s="51">
        <f ca="1">RANDBETWEEN(1, 200)</f>
        <v>46</v>
      </c>
      <c r="DD25" s="51">
        <f ca="1">RANDBETWEEN(1, 200)</f>
        <v>64</v>
      </c>
      <c r="DE25" s="51">
        <f ca="1">RANDBETWEEN(1, 200)</f>
        <v>82</v>
      </c>
      <c r="DF25" s="51">
        <f ca="1">RANDBETWEEN(1, 200)</f>
        <v>101</v>
      </c>
      <c r="DG25" s="51">
        <f ca="1">RANDBETWEEN(1, 200)</f>
        <v>50</v>
      </c>
      <c r="DH25" s="51">
        <f ca="1">RANDBETWEEN(1, 200)</f>
        <v>174</v>
      </c>
      <c r="DI25" s="51">
        <f ca="1">RANDBETWEEN(1, 200)</f>
        <v>129</v>
      </c>
      <c r="DJ25" s="51">
        <f ca="1">RANDBETWEEN(1, 200)</f>
        <v>137</v>
      </c>
      <c r="DK25" s="51">
        <f ca="1">RANDBETWEEN(1, 200)</f>
        <v>23</v>
      </c>
      <c r="DL25" s="51">
        <f ca="1">RANDBETWEEN(1, 200)</f>
        <v>119</v>
      </c>
      <c r="DM25" s="51">
        <f ca="1">RANDBETWEEN(1, 200)</f>
        <v>106</v>
      </c>
      <c r="DN25" s="51">
        <f ca="1">RANDBETWEEN(1, 200)</f>
        <v>44</v>
      </c>
      <c r="DO25" s="51">
        <f ca="1">RANDBETWEEN(1, 200)</f>
        <v>125</v>
      </c>
      <c r="DP25" s="51">
        <f ca="1">RANDBETWEEN(1, 200)</f>
        <v>79</v>
      </c>
      <c r="DQ25" s="51">
        <f ca="1">RANDBETWEEN(1, 200)</f>
        <v>63</v>
      </c>
      <c r="DR25" s="51">
        <f ca="1">RANDBETWEEN(1, 200)</f>
        <v>16</v>
      </c>
      <c r="DS25" s="51">
        <f ca="1">RANDBETWEEN(1, 200)</f>
        <v>60</v>
      </c>
      <c r="DT25" s="51">
        <f ca="1">RANDBETWEEN(1, 200)</f>
        <v>106</v>
      </c>
      <c r="DU25" s="51">
        <f ca="1">RANDBETWEEN(1, 200)</f>
        <v>192</v>
      </c>
      <c r="DV25" s="51">
        <f ca="1">RANDBETWEEN(1, 200)</f>
        <v>24</v>
      </c>
      <c r="DW25" s="51">
        <f ca="1">RANDBETWEEN(1, 200)</f>
        <v>42</v>
      </c>
      <c r="DX25" s="51">
        <f ca="1">RANDBETWEEN(1, 200)</f>
        <v>195</v>
      </c>
      <c r="DY25" s="51">
        <f ca="1">RANDBETWEEN(1, 200)</f>
        <v>179</v>
      </c>
      <c r="DZ25" s="51">
        <f ca="1">RANDBETWEEN(1, 200)</f>
        <v>175</v>
      </c>
      <c r="EA25" s="51">
        <f ca="1">RANDBETWEEN(1, 200)</f>
        <v>83</v>
      </c>
      <c r="EB25" s="51">
        <f ca="1">RANDBETWEEN(1, 200)</f>
        <v>114</v>
      </c>
      <c r="EC25" s="51">
        <f ca="1">RANDBETWEEN(1, 200)</f>
        <v>74</v>
      </c>
      <c r="ED25" s="51">
        <f ca="1">RANDBETWEEN(1, 200)</f>
        <v>196</v>
      </c>
      <c r="EE25" s="51">
        <f ca="1">RANDBETWEEN(1, 200)</f>
        <v>139</v>
      </c>
    </row>
    <row r="26" spans="1:135" x14ac:dyDescent="0.4">
      <c r="A26" s="31" t="str">
        <f t="shared" si="3"/>
        <v>KPI ID 19 %</v>
      </c>
      <c r="B26" s="49" t="s">
        <v>64</v>
      </c>
      <c r="C26" s="50" t="s">
        <v>35</v>
      </c>
      <c r="D26" s="51">
        <f ca="1">RANDBETWEEN(20, 45)</f>
        <v>21</v>
      </c>
      <c r="E26" s="51">
        <f ca="1">RANDBETWEEN(20, 45)</f>
        <v>42</v>
      </c>
      <c r="F26" s="51">
        <f ca="1">RANDBETWEEN(20, 45)</f>
        <v>45</v>
      </c>
      <c r="G26" s="51">
        <f ca="1">RANDBETWEEN(20, 45)</f>
        <v>30</v>
      </c>
      <c r="H26" s="51">
        <f ca="1">RANDBETWEEN(20, 45)</f>
        <v>34</v>
      </c>
      <c r="I26" s="51">
        <f ca="1">RANDBETWEEN(20, 45)</f>
        <v>24</v>
      </c>
      <c r="J26" s="51">
        <f ca="1">RANDBETWEEN(20, 45)</f>
        <v>28</v>
      </c>
      <c r="K26" s="51">
        <f ca="1">RANDBETWEEN(20, 45)</f>
        <v>20</v>
      </c>
      <c r="L26" s="51">
        <f ca="1">RANDBETWEEN(20, 45)</f>
        <v>30</v>
      </c>
      <c r="M26" s="51">
        <f ca="1">RANDBETWEEN(20, 45)</f>
        <v>45</v>
      </c>
      <c r="N26" s="51">
        <f ca="1">RANDBETWEEN(20, 45)</f>
        <v>38</v>
      </c>
      <c r="O26" s="51">
        <f ca="1">RANDBETWEEN(20, 45)</f>
        <v>43</v>
      </c>
      <c r="P26" s="51">
        <f ca="1">RANDBETWEEN(20, 45)</f>
        <v>20</v>
      </c>
      <c r="Q26" s="51">
        <f ca="1">RANDBETWEEN(20, 45)</f>
        <v>28</v>
      </c>
      <c r="R26" s="51">
        <f ca="1">RANDBETWEEN(20, 45)</f>
        <v>38</v>
      </c>
      <c r="S26" s="51">
        <f ca="1">RANDBETWEEN(20, 45)</f>
        <v>33</v>
      </c>
      <c r="T26" s="51">
        <f ca="1">RANDBETWEEN(20, 45)</f>
        <v>37</v>
      </c>
      <c r="U26" s="51">
        <f ca="1">RANDBETWEEN(20, 45)</f>
        <v>45</v>
      </c>
      <c r="V26" s="51">
        <f ca="1">RANDBETWEEN(20, 45)</f>
        <v>26</v>
      </c>
      <c r="W26" s="51">
        <f ca="1">RANDBETWEEN(20, 45)</f>
        <v>29</v>
      </c>
      <c r="X26" s="51">
        <f ca="1">RANDBETWEEN(20, 45)</f>
        <v>24</v>
      </c>
      <c r="Y26" s="51">
        <f ca="1">RANDBETWEEN(20, 45)</f>
        <v>31</v>
      </c>
      <c r="Z26" s="51">
        <f ca="1">RANDBETWEEN(20, 45)</f>
        <v>39</v>
      </c>
      <c r="AA26" s="51">
        <f ca="1">RANDBETWEEN(20, 45)</f>
        <v>40</v>
      </c>
      <c r="AB26" s="51">
        <f ca="1">RANDBETWEEN(20, 45)</f>
        <v>29</v>
      </c>
      <c r="AC26" s="51">
        <f ca="1">RANDBETWEEN(20, 45)</f>
        <v>38</v>
      </c>
      <c r="AD26" s="51">
        <f ca="1">RANDBETWEEN(20, 45)</f>
        <v>38</v>
      </c>
      <c r="AE26" s="51">
        <f ca="1">RANDBETWEEN(20, 45)</f>
        <v>20</v>
      </c>
      <c r="AF26" s="51">
        <f ca="1">RANDBETWEEN(20, 45)</f>
        <v>29</v>
      </c>
      <c r="AG26" s="51">
        <f ca="1">RANDBETWEEN(20, 45)</f>
        <v>27</v>
      </c>
      <c r="AH26" s="51">
        <f ca="1">RANDBETWEEN(20, 45)</f>
        <v>42</v>
      </c>
      <c r="AI26" s="51">
        <f ca="1">RANDBETWEEN(20, 45)</f>
        <v>25</v>
      </c>
      <c r="AJ26" s="51">
        <f ca="1">RANDBETWEEN(20, 45)</f>
        <v>30</v>
      </c>
      <c r="AK26" s="51">
        <f ca="1">RANDBETWEEN(20, 45)</f>
        <v>38</v>
      </c>
      <c r="AL26" s="51">
        <f ca="1">RANDBETWEEN(20, 45)</f>
        <v>35</v>
      </c>
      <c r="AM26" s="51">
        <f ca="1">RANDBETWEEN(20, 45)</f>
        <v>40</v>
      </c>
      <c r="AN26" s="51">
        <f ca="1">RANDBETWEEN(20, 45)</f>
        <v>38</v>
      </c>
      <c r="AO26" s="51">
        <f ca="1">RANDBETWEEN(20, 45)</f>
        <v>23</v>
      </c>
      <c r="AP26" s="51">
        <f ca="1">RANDBETWEEN(20, 45)</f>
        <v>22</v>
      </c>
      <c r="AQ26" s="51">
        <f ca="1">RANDBETWEEN(20, 45)</f>
        <v>32</v>
      </c>
      <c r="AR26" s="51">
        <f ca="1">RANDBETWEEN(20, 45)</f>
        <v>20</v>
      </c>
      <c r="AS26" s="51">
        <f ca="1">RANDBETWEEN(20, 45)</f>
        <v>29</v>
      </c>
      <c r="AT26" s="51">
        <f ca="1">RANDBETWEEN(20, 45)</f>
        <v>29</v>
      </c>
      <c r="AU26" s="51">
        <f ca="1">RANDBETWEEN(20, 45)</f>
        <v>44</v>
      </c>
      <c r="AV26" s="51">
        <f ca="1">RANDBETWEEN(20, 45)</f>
        <v>22</v>
      </c>
      <c r="AW26" s="51">
        <f ca="1">RANDBETWEEN(20, 45)</f>
        <v>29</v>
      </c>
      <c r="AX26" s="51">
        <f ca="1">RANDBETWEEN(20, 45)</f>
        <v>21</v>
      </c>
      <c r="AY26" s="51">
        <f ca="1">RANDBETWEEN(20, 45)</f>
        <v>22</v>
      </c>
      <c r="AZ26" s="51">
        <f ca="1">RANDBETWEEN(20, 45)</f>
        <v>22</v>
      </c>
      <c r="BA26" s="51">
        <f ca="1">RANDBETWEEN(20, 45)</f>
        <v>28</v>
      </c>
      <c r="BB26" s="51">
        <f ca="1">RANDBETWEEN(20, 45)</f>
        <v>42</v>
      </c>
      <c r="BC26" s="51">
        <f ca="1">RANDBETWEEN(20, 45)</f>
        <v>45</v>
      </c>
      <c r="BD26" s="51">
        <f ca="1">RANDBETWEEN(20, 45)</f>
        <v>30</v>
      </c>
      <c r="BE26" s="51">
        <f ca="1">RANDBETWEEN(20, 45)</f>
        <v>27</v>
      </c>
      <c r="BF26" s="51">
        <f ca="1">RANDBETWEEN(20, 45)</f>
        <v>27</v>
      </c>
      <c r="BG26" s="51">
        <f ca="1">RANDBETWEEN(20, 45)</f>
        <v>34</v>
      </c>
      <c r="BH26" s="51">
        <f ca="1">RANDBETWEEN(20, 45)</f>
        <v>32</v>
      </c>
      <c r="BI26" s="51">
        <f ca="1">RANDBETWEEN(20, 45)</f>
        <v>41</v>
      </c>
      <c r="BJ26" s="51">
        <f ca="1">RANDBETWEEN(20, 45)</f>
        <v>35</v>
      </c>
      <c r="BK26" s="51">
        <f ca="1">RANDBETWEEN(20, 45)</f>
        <v>37</v>
      </c>
      <c r="BL26" s="51">
        <f ca="1">RANDBETWEEN(20, 45)</f>
        <v>28</v>
      </c>
      <c r="BM26" s="51">
        <f ca="1">RANDBETWEEN(20, 45)</f>
        <v>24</v>
      </c>
      <c r="BN26" s="51">
        <f ca="1">RANDBETWEEN(20, 45)</f>
        <v>28</v>
      </c>
      <c r="BO26" s="51">
        <f ca="1">RANDBETWEEN(20, 45)</f>
        <v>43</v>
      </c>
      <c r="BP26" s="51">
        <f ca="1">RANDBETWEEN(20, 45)</f>
        <v>25</v>
      </c>
      <c r="BQ26" s="51">
        <f ca="1">RANDBETWEEN(20, 45)</f>
        <v>41</v>
      </c>
      <c r="BR26" s="51">
        <f ca="1">RANDBETWEEN(20, 45)</f>
        <v>41</v>
      </c>
      <c r="BS26" s="51">
        <f ca="1">RANDBETWEEN(20, 45)</f>
        <v>36</v>
      </c>
      <c r="BT26" s="51">
        <f ca="1">RANDBETWEEN(20, 45)</f>
        <v>41</v>
      </c>
      <c r="BU26" s="51">
        <f ca="1">RANDBETWEEN(20, 45)</f>
        <v>42</v>
      </c>
      <c r="BV26" s="51">
        <f ca="1">RANDBETWEEN(20, 45)</f>
        <v>26</v>
      </c>
      <c r="BW26" s="51">
        <f ca="1">RANDBETWEEN(20, 45)</f>
        <v>25</v>
      </c>
      <c r="BX26" s="51">
        <f ca="1">RANDBETWEEN(20, 45)</f>
        <v>42</v>
      </c>
      <c r="BY26" s="51">
        <f ca="1">RANDBETWEEN(20, 45)</f>
        <v>20</v>
      </c>
      <c r="BZ26" s="51">
        <f ca="1">RANDBETWEEN(20, 45)</f>
        <v>30</v>
      </c>
      <c r="CA26" s="51">
        <f ca="1">RANDBETWEEN(20, 45)</f>
        <v>24</v>
      </c>
      <c r="CB26" s="51">
        <f ca="1">RANDBETWEEN(20, 45)</f>
        <v>43</v>
      </c>
      <c r="CC26" s="51">
        <f ca="1">RANDBETWEEN(20, 45)</f>
        <v>44</v>
      </c>
      <c r="CD26" s="51">
        <f ca="1">RANDBETWEEN(20, 45)</f>
        <v>42</v>
      </c>
      <c r="CE26" s="51">
        <f ca="1">RANDBETWEEN(20, 45)</f>
        <v>43</v>
      </c>
      <c r="CF26" s="51">
        <f ca="1">RANDBETWEEN(20, 45)</f>
        <v>41</v>
      </c>
      <c r="CG26" s="51">
        <f ca="1">RANDBETWEEN(20, 45)</f>
        <v>23</v>
      </c>
      <c r="CH26" s="51">
        <f ca="1">RANDBETWEEN(20, 45)</f>
        <v>28</v>
      </c>
      <c r="CI26" s="51">
        <f ca="1">RANDBETWEEN(20, 45)</f>
        <v>32</v>
      </c>
      <c r="CJ26" s="51">
        <f ca="1">RANDBETWEEN(20, 45)</f>
        <v>41</v>
      </c>
      <c r="CK26" s="51">
        <f ca="1">RANDBETWEEN(20, 45)</f>
        <v>26</v>
      </c>
      <c r="CL26" s="51">
        <f ca="1">RANDBETWEEN(20, 45)</f>
        <v>24</v>
      </c>
      <c r="CM26" s="51">
        <f ca="1">RANDBETWEEN(20, 45)</f>
        <v>23</v>
      </c>
      <c r="CN26" s="51">
        <f ca="1">RANDBETWEEN(20, 45)</f>
        <v>26</v>
      </c>
      <c r="CO26" s="51">
        <f ca="1">RANDBETWEEN(20, 45)</f>
        <v>43</v>
      </c>
      <c r="CP26" s="51">
        <f ca="1">RANDBETWEEN(20, 45)</f>
        <v>36</v>
      </c>
      <c r="CQ26" s="51">
        <f ca="1">RANDBETWEEN(20, 45)</f>
        <v>44</v>
      </c>
      <c r="CR26" s="51">
        <f ca="1">RANDBETWEEN(20, 45)</f>
        <v>42</v>
      </c>
      <c r="CS26" s="51">
        <f ca="1">RANDBETWEEN(20, 45)</f>
        <v>24</v>
      </c>
      <c r="CT26" s="51">
        <f ca="1">RANDBETWEEN(20, 45)</f>
        <v>39</v>
      </c>
      <c r="CU26" s="51">
        <f ca="1">RANDBETWEEN(20, 45)</f>
        <v>38</v>
      </c>
      <c r="CV26" s="51">
        <f ca="1">RANDBETWEEN(20, 45)</f>
        <v>27</v>
      </c>
      <c r="CW26" s="51">
        <f ca="1">RANDBETWEEN(20, 45)</f>
        <v>26</v>
      </c>
      <c r="CX26" s="51">
        <f ca="1">RANDBETWEEN(20, 45)</f>
        <v>25</v>
      </c>
      <c r="CY26" s="51">
        <f ca="1">RANDBETWEEN(20, 45)</f>
        <v>44</v>
      </c>
      <c r="CZ26" s="51">
        <f ca="1">RANDBETWEEN(20, 45)</f>
        <v>26</v>
      </c>
      <c r="DA26" s="51">
        <f ca="1">RANDBETWEEN(20, 45)</f>
        <v>24</v>
      </c>
      <c r="DB26" s="51">
        <f ca="1">RANDBETWEEN(20, 45)</f>
        <v>30</v>
      </c>
      <c r="DC26" s="51">
        <f ca="1">RANDBETWEEN(20, 45)</f>
        <v>43</v>
      </c>
      <c r="DD26" s="51">
        <f ca="1">RANDBETWEEN(20, 45)</f>
        <v>24</v>
      </c>
      <c r="DE26" s="51">
        <f ca="1">RANDBETWEEN(20, 45)</f>
        <v>24</v>
      </c>
      <c r="DF26" s="51">
        <f ca="1">RANDBETWEEN(20, 45)</f>
        <v>39</v>
      </c>
      <c r="DG26" s="51">
        <f ca="1">RANDBETWEEN(20, 45)</f>
        <v>45</v>
      </c>
      <c r="DH26" s="51">
        <f ca="1">RANDBETWEEN(20, 45)</f>
        <v>43</v>
      </c>
      <c r="DI26" s="51">
        <f ca="1">RANDBETWEEN(20, 45)</f>
        <v>40</v>
      </c>
      <c r="DJ26" s="51">
        <f ca="1">RANDBETWEEN(20, 45)</f>
        <v>22</v>
      </c>
      <c r="DK26" s="51">
        <f ca="1">RANDBETWEEN(20, 45)</f>
        <v>28</v>
      </c>
      <c r="DL26" s="51">
        <f ca="1">RANDBETWEEN(20, 45)</f>
        <v>26</v>
      </c>
      <c r="DM26" s="51">
        <f ca="1">RANDBETWEEN(20, 45)</f>
        <v>37</v>
      </c>
      <c r="DN26" s="51">
        <f ca="1">RANDBETWEEN(20, 45)</f>
        <v>37</v>
      </c>
      <c r="DO26" s="51">
        <f ca="1">RANDBETWEEN(20, 45)</f>
        <v>32</v>
      </c>
      <c r="DP26" s="51">
        <f ca="1">RANDBETWEEN(20, 45)</f>
        <v>39</v>
      </c>
      <c r="DQ26" s="51">
        <f ca="1">RANDBETWEEN(20, 45)</f>
        <v>34</v>
      </c>
      <c r="DR26" s="51">
        <f ca="1">RAND()+1</f>
        <v>1.1201622988172879</v>
      </c>
      <c r="DS26" s="51">
        <f ca="1">RANDBETWEEN(20, 45)</f>
        <v>32</v>
      </c>
      <c r="DT26" s="51">
        <f ca="1">RANDBETWEEN(20, 45)</f>
        <v>41</v>
      </c>
      <c r="DU26" s="51">
        <f ca="1">RANDBETWEEN(20, 45)</f>
        <v>36</v>
      </c>
      <c r="DV26" s="51">
        <f ca="1">RANDBETWEEN(20, 45)</f>
        <v>27</v>
      </c>
      <c r="DW26" s="51">
        <f ca="1">RANDBETWEEN(20, 45)</f>
        <v>45</v>
      </c>
      <c r="DX26" s="51">
        <f ca="1">RANDBETWEEN(20, 45)</f>
        <v>21</v>
      </c>
      <c r="DY26" s="51">
        <f ca="1">RANDBETWEEN(20, 45)</f>
        <v>34</v>
      </c>
      <c r="DZ26" s="51">
        <f ca="1">RANDBETWEEN(20, 45)</f>
        <v>35</v>
      </c>
      <c r="EA26" s="51">
        <f ca="1">RANDBETWEEN(20, 45)</f>
        <v>23</v>
      </c>
      <c r="EB26" s="51">
        <f ca="1">RANDBETWEEN(20, 45)</f>
        <v>43</v>
      </c>
      <c r="EC26" s="51">
        <f ca="1">RANDBETWEEN(20, 45)</f>
        <v>40</v>
      </c>
      <c r="ED26" s="51">
        <f ca="1">RANDBETWEEN(20, 45)</f>
        <v>40</v>
      </c>
      <c r="EE26" s="51">
        <f ca="1">RANDBETWEEN(20, 45)</f>
        <v>20</v>
      </c>
    </row>
    <row r="27" spans="1:135" x14ac:dyDescent="0.4">
      <c r="A27" s="31" t="str">
        <f t="shared" si="3"/>
        <v>KPI ID 20 %</v>
      </c>
      <c r="B27" s="49" t="s">
        <v>64</v>
      </c>
      <c r="C27" s="50" t="s">
        <v>36</v>
      </c>
      <c r="D27" s="51">
        <f ca="1">RAND()*0.224</f>
        <v>0.13794108024620494</v>
      </c>
      <c r="E27" s="51">
        <f ca="1">RAND()*0.224</f>
        <v>0.19544718615771273</v>
      </c>
      <c r="F27" s="51">
        <f ca="1">RAND()*0.224</f>
        <v>0.17645605169883635</v>
      </c>
      <c r="G27" s="51">
        <f ca="1">RAND()*0.224</f>
        <v>0.10572275084876728</v>
      </c>
      <c r="H27" s="51">
        <f ca="1">RAND()*0.224</f>
        <v>0.16019232746292769</v>
      </c>
      <c r="I27" s="51">
        <f ca="1">RAND()*0.224</f>
        <v>0.21236091147245262</v>
      </c>
      <c r="J27" s="51">
        <f ca="1">RAND()*0.224</f>
        <v>0.12573814067338338</v>
      </c>
      <c r="K27" s="51">
        <f ca="1">RAND()*0.224</f>
        <v>1.7686680164077165E-2</v>
      </c>
      <c r="L27" s="51">
        <f ca="1">RAND()*0.224</f>
        <v>3.4550281709991998E-2</v>
      </c>
      <c r="M27" s="51">
        <f ca="1">RAND()*0.224</f>
        <v>0.17471820398687496</v>
      </c>
      <c r="N27" s="51">
        <f ca="1">RAND()*0.224</f>
        <v>4.6751311003861602E-2</v>
      </c>
      <c r="O27" s="51">
        <f ca="1">RAND()*0.224</f>
        <v>0.1754847713907331</v>
      </c>
      <c r="P27" s="51">
        <f ca="1">RAND()*0.224</f>
        <v>4.2316547469388927E-2</v>
      </c>
      <c r="Q27" s="51">
        <f ca="1">RAND()*0.224</f>
        <v>0.16754932408349335</v>
      </c>
      <c r="R27" s="51">
        <f ca="1">RAND()*0.224</f>
        <v>0.18122730195077563</v>
      </c>
      <c r="S27" s="51">
        <f ca="1">RAND()*0.224</f>
        <v>1.6168960010204163E-2</v>
      </c>
      <c r="T27" s="51">
        <f ca="1">RAND()*0.224</f>
        <v>4.8066284673995471E-2</v>
      </c>
      <c r="U27" s="51">
        <f ca="1">RAND()*0.224</f>
        <v>2.7418667338476102E-2</v>
      </c>
      <c r="V27" s="51">
        <f ca="1">RAND()*0.224</f>
        <v>0.21021159114638011</v>
      </c>
      <c r="W27" s="51">
        <f ca="1">RAND()*0.224</f>
        <v>0.20996358205148621</v>
      </c>
      <c r="X27" s="51">
        <f ca="1">RAND()*0.224</f>
        <v>0.14974183840574967</v>
      </c>
      <c r="Y27" s="51">
        <f ca="1">RAND()*0.224</f>
        <v>0.15629045648751722</v>
      </c>
      <c r="Z27" s="51">
        <f ca="1">RAND()*0.224</f>
        <v>0.12524456538073611</v>
      </c>
      <c r="AA27" s="51">
        <f ca="1">RAND()*0.224</f>
        <v>0.18896954966297574</v>
      </c>
      <c r="AB27" s="51">
        <f ca="1">RAND()*0.224</f>
        <v>1.1894092248364711E-2</v>
      </c>
      <c r="AC27" s="51">
        <f ca="1">RAND()*0.224</f>
        <v>0.17286555793808303</v>
      </c>
      <c r="AD27" s="51">
        <f ca="1">RAND()*0.224</f>
        <v>6.4415076210846509E-2</v>
      </c>
      <c r="AE27" s="51">
        <f ca="1">RAND()*0.224</f>
        <v>0.15124484711586639</v>
      </c>
      <c r="AF27" s="51">
        <f ca="1">RAND()*0.224</f>
        <v>0.13680468238392562</v>
      </c>
      <c r="AG27" s="51">
        <f ca="1">RAND()*0.224</f>
        <v>3.2366021105080307E-2</v>
      </c>
      <c r="AH27" s="51">
        <f ca="1">RAND()*0.224</f>
        <v>0.22119365951800243</v>
      </c>
      <c r="AI27" s="51">
        <f ca="1">RAND()*0.224</f>
        <v>4.1455500006394322E-2</v>
      </c>
      <c r="AJ27" s="51">
        <f ca="1">RAND()*0.224</f>
        <v>0.11079030539664543</v>
      </c>
      <c r="AK27" s="51">
        <f ca="1">RAND()*0.224</f>
        <v>7.3673494033906842E-2</v>
      </c>
      <c r="AL27" s="51">
        <f ca="1">RAND()*0.224</f>
        <v>9.5776710761226527E-2</v>
      </c>
      <c r="AM27" s="51">
        <f ca="1">RAND()*0.224</f>
        <v>0.20412049271200974</v>
      </c>
      <c r="AN27" s="51">
        <f ca="1">RAND()*0.224</f>
        <v>5.142520336770149E-2</v>
      </c>
      <c r="AO27" s="51">
        <f ca="1">RAND()*0.224</f>
        <v>0.1383751266273279</v>
      </c>
      <c r="AP27" s="51">
        <f ca="1">RAND()*0.224</f>
        <v>4.0195585977411564E-3</v>
      </c>
      <c r="AQ27" s="51">
        <f ca="1">RAND()*0.224</f>
        <v>2.3888125158149833E-2</v>
      </c>
      <c r="AR27" s="51">
        <f ca="1">RAND()*0.224</f>
        <v>0.2026356423803794</v>
      </c>
      <c r="AS27" s="51">
        <f ca="1">RAND()*0.224</f>
        <v>1.7792656388299972E-2</v>
      </c>
      <c r="AT27" s="51">
        <f ca="1">RAND()*0.224</f>
        <v>9.990670071450071E-2</v>
      </c>
      <c r="AU27" s="51">
        <f ca="1">RAND()*0.224</f>
        <v>2.1998545338108712E-2</v>
      </c>
      <c r="AV27" s="51">
        <f ca="1">RAND()*0.224</f>
        <v>0.11596453799265695</v>
      </c>
      <c r="AW27" s="51">
        <f ca="1">RAND()*0.224</f>
        <v>9.2420523552162195E-2</v>
      </c>
      <c r="AX27" s="51">
        <f ca="1">RAND()*0.224</f>
        <v>3.8560675536937684E-2</v>
      </c>
      <c r="AY27" s="51">
        <f ca="1">RAND()*0.224</f>
        <v>0.17448323581121455</v>
      </c>
      <c r="AZ27" s="51">
        <f ca="1">RAND()*0.224</f>
        <v>4.6842320368457438E-2</v>
      </c>
      <c r="BA27" s="51">
        <f ca="1">RAND()*0.224</f>
        <v>8.3712108390160106E-2</v>
      </c>
      <c r="BB27" s="51">
        <f ca="1">RAND()*0.224</f>
        <v>0.17926546838439983</v>
      </c>
      <c r="BC27" s="51">
        <f ca="1">RAND()*0.224</f>
        <v>9.3282065619470889E-2</v>
      </c>
      <c r="BD27" s="51">
        <f ca="1">RAND()*0.224</f>
        <v>5.4486276123963777E-2</v>
      </c>
      <c r="BE27" s="51">
        <f ca="1">RAND()*0.224</f>
        <v>8.3017350608441731E-2</v>
      </c>
      <c r="BF27" s="51">
        <f ca="1">RAND()*0.224</f>
        <v>7.6617012507435231E-3</v>
      </c>
      <c r="BG27" s="51">
        <f ca="1">RAND()*0.224</f>
        <v>4.6891315490778712E-2</v>
      </c>
      <c r="BH27" s="51">
        <f ca="1">RAND()*0.224</f>
        <v>8.4365864537252422E-2</v>
      </c>
      <c r="BI27" s="51">
        <f ca="1">RAND()*0.224</f>
        <v>7.8863304695692957E-2</v>
      </c>
      <c r="BJ27" s="51">
        <f ca="1">RAND()*0.224</f>
        <v>0.20830547359162915</v>
      </c>
      <c r="BK27" s="51">
        <f ca="1">RAND()*0.224</f>
        <v>0.2022494733298173</v>
      </c>
      <c r="BL27" s="51">
        <f ca="1">RAND()*0.224</f>
        <v>0.21969470817956646</v>
      </c>
      <c r="BM27" s="51">
        <f ca="1">RAND()*0.224</f>
        <v>0.16343875506752492</v>
      </c>
      <c r="BN27" s="51">
        <f ca="1">RAND()*0.224</f>
        <v>4.5051224337738914E-2</v>
      </c>
      <c r="BO27" s="51">
        <f ca="1">RAND()*0.224</f>
        <v>0.17711616497491328</v>
      </c>
      <c r="BP27" s="51">
        <f ca="1">RAND()*0.224</f>
        <v>0.14367937603114367</v>
      </c>
      <c r="BQ27" s="51">
        <f ca="1">RAND()*0.224</f>
        <v>0.12539751607464344</v>
      </c>
      <c r="BR27" s="51">
        <f ca="1">RAND()*0.224</f>
        <v>0.18503364435071698</v>
      </c>
      <c r="BS27" s="51">
        <f ca="1">RAND()*0.224</f>
        <v>0.14662413542673924</v>
      </c>
      <c r="BT27" s="51">
        <f ca="1">RAND()*0.224</f>
        <v>4.7646775731583699E-2</v>
      </c>
      <c r="BU27" s="51">
        <f ca="1">RAND()*0.224</f>
        <v>7.9338471599443849E-2</v>
      </c>
      <c r="BV27" s="51">
        <f ca="1">RAND()*0.224</f>
        <v>6.2637269627851709E-3</v>
      </c>
      <c r="BW27" s="51">
        <f ca="1">RAND()*0.224</f>
        <v>0.10911821476452836</v>
      </c>
      <c r="BX27" s="51">
        <f ca="1">RAND()*0.224</f>
        <v>0.16418681463285562</v>
      </c>
      <c r="BY27" s="51">
        <f ca="1">RAND()*0.224</f>
        <v>5.85767548278779E-2</v>
      </c>
      <c r="BZ27" s="51">
        <f ca="1">RAND()*0.224</f>
        <v>0.14259791740905869</v>
      </c>
      <c r="CA27" s="51">
        <f ca="1">RAND()*0.224</f>
        <v>7.0937739951697859E-2</v>
      </c>
      <c r="CB27" s="51">
        <f ca="1">RAND()*0.224</f>
        <v>3.228916173838331E-2</v>
      </c>
      <c r="CC27" s="51">
        <f ca="1">RAND()*0.224</f>
        <v>0.15961060661974016</v>
      </c>
      <c r="CD27" s="51">
        <f ca="1">RAND()*0.224</f>
        <v>0.13215957308419637</v>
      </c>
      <c r="CE27" s="51">
        <f ca="1">RAND()*0.224</f>
        <v>3.8534007434947337E-2</v>
      </c>
      <c r="CF27" s="51">
        <f ca="1">RAND()*0.224</f>
        <v>0.18617750865176941</v>
      </c>
      <c r="CG27" s="51">
        <f ca="1">RAND()*0.224</f>
        <v>0.18567777700068533</v>
      </c>
      <c r="CH27" s="51">
        <f ca="1">RAND()*0.224</f>
        <v>0.2011172566170441</v>
      </c>
      <c r="CI27" s="51">
        <f ca="1">RAND()*0.224</f>
        <v>0.18736765145555423</v>
      </c>
      <c r="CJ27" s="51">
        <f ca="1">RAND()*0.224</f>
        <v>0.13045863060104648</v>
      </c>
      <c r="CK27" s="51">
        <f ca="1">RAND()*0.224</f>
        <v>0.2186545929493649</v>
      </c>
      <c r="CL27" s="51">
        <f ca="1">RAND()*0.224</f>
        <v>0.13007789607781386</v>
      </c>
      <c r="CM27" s="51">
        <f ca="1">RAND()*0.224</f>
        <v>0.14528540147669494</v>
      </c>
      <c r="CN27" s="51">
        <f ca="1">RAND()*0.224</f>
        <v>0.12130979756770371</v>
      </c>
      <c r="CO27" s="51">
        <f ca="1">RAND()*0.224</f>
        <v>0.11589227416576724</v>
      </c>
      <c r="CP27" s="51">
        <f ca="1">RAND()*0.224</f>
        <v>5.1905384344158991E-4</v>
      </c>
      <c r="CQ27" s="51">
        <f ca="1">RAND()*0.224</f>
        <v>8.0411680317231029E-3</v>
      </c>
      <c r="CR27" s="51">
        <f ca="1">RAND()*0.224</f>
        <v>0.15330334773856083</v>
      </c>
      <c r="CS27" s="51">
        <f ca="1">RAND()*0.224</f>
        <v>0.18067497322037307</v>
      </c>
      <c r="CT27" s="51">
        <f ca="1">RAND()*0.224</f>
        <v>8.8230670711485465E-2</v>
      </c>
      <c r="CU27" s="51">
        <f ca="1">RAND()*0.224</f>
        <v>0.19036810573975715</v>
      </c>
      <c r="CV27" s="51">
        <f ca="1">RAND()*0.224</f>
        <v>6.0536320085803313E-2</v>
      </c>
      <c r="CW27" s="51">
        <f ca="1">RAND()*0.224</f>
        <v>0.12676368486325582</v>
      </c>
      <c r="CX27" s="51">
        <f ca="1">RAND()*0.224</f>
        <v>0.21161240094255337</v>
      </c>
      <c r="CY27" s="51">
        <f ca="1">RAND()*0.224</f>
        <v>0.1086590013812346</v>
      </c>
      <c r="CZ27" s="51">
        <f ca="1">RAND()*0.224</f>
        <v>0.15296162453648343</v>
      </c>
      <c r="DA27" s="51">
        <f ca="1">RAND()*0.224</f>
        <v>0.20722607146488289</v>
      </c>
      <c r="DB27" s="51">
        <f ca="1">RAND()*0.224</f>
        <v>2.467217517262818E-2</v>
      </c>
      <c r="DC27" s="51">
        <f ca="1">RAND()*0.224</f>
        <v>0.20756273635038519</v>
      </c>
      <c r="DD27" s="51">
        <f ca="1">RAND()*0.224</f>
        <v>4.865666163744049E-3</v>
      </c>
      <c r="DE27" s="51">
        <f ca="1">RAND()*0.224</f>
        <v>0.16998165621811162</v>
      </c>
      <c r="DF27" s="51">
        <f ca="1">RAND()*0.224</f>
        <v>8.7377507734306588E-3</v>
      </c>
      <c r="DG27" s="51">
        <f ca="1">RAND()*0.224</f>
        <v>0.11071233305886394</v>
      </c>
      <c r="DH27" s="51">
        <f ca="1">RAND()*0.224</f>
        <v>9.7772863780886052E-2</v>
      </c>
      <c r="DI27" s="51">
        <f ca="1">RAND()*0.224</f>
        <v>0.13196945030600557</v>
      </c>
      <c r="DJ27" s="51">
        <f ca="1">RAND()*0.224</f>
        <v>8.7488269497272876E-3</v>
      </c>
      <c r="DK27" s="51">
        <f ca="1">RAND()*0.224</f>
        <v>0.21279301956510538</v>
      </c>
      <c r="DL27" s="51">
        <f ca="1">RAND()*0.224</f>
        <v>0.12595085880383131</v>
      </c>
      <c r="DM27" s="51">
        <f ca="1">RAND()*0.224</f>
        <v>4.4714197799265824E-2</v>
      </c>
      <c r="DN27" s="51">
        <f ca="1">RAND()*0.224</f>
        <v>0.11431962516315518</v>
      </c>
      <c r="DO27" s="51">
        <f ca="1">RAND()*0.224</f>
        <v>0.16520844678406865</v>
      </c>
      <c r="DP27" s="51">
        <f ca="1">RAND()*0.224</f>
        <v>0.12875837700768733</v>
      </c>
      <c r="DQ27" s="51">
        <f ca="1">RAND()*0.224</f>
        <v>0.12729995753869444</v>
      </c>
      <c r="DR27" s="51">
        <f ca="1">RAND()*0.224</f>
        <v>0.19619688408251174</v>
      </c>
      <c r="DS27" s="51">
        <f ca="1">RAND()*0.224</f>
        <v>2.8715957016381383E-2</v>
      </c>
      <c r="DT27" s="51">
        <f ca="1">RAND()*0.224</f>
        <v>4.5666573432299774E-2</v>
      </c>
      <c r="DU27" s="51">
        <f ca="1">RAND()*0.224</f>
        <v>6.8787491929440031E-2</v>
      </c>
      <c r="DV27" s="51">
        <f ca="1">RAND()*0.224</f>
        <v>0.13280170574965505</v>
      </c>
      <c r="DW27" s="51">
        <f ca="1">RAND()*0.224</f>
        <v>0.15772769660920102</v>
      </c>
      <c r="DX27" s="51">
        <f ca="1">RAND()*0.224</f>
        <v>0.12837904604662045</v>
      </c>
      <c r="DY27" s="51">
        <f ca="1">RAND()*0.224</f>
        <v>0.17395524569592358</v>
      </c>
      <c r="DZ27" s="51">
        <f ca="1">RAND()*0.224</f>
        <v>6.5485984175833248E-2</v>
      </c>
      <c r="EA27" s="51">
        <f ca="1">RAND()*0.224</f>
        <v>4.4186920927403277E-2</v>
      </c>
      <c r="EB27" s="51">
        <f ca="1">RAND()*0.224</f>
        <v>0.15425272833426645</v>
      </c>
      <c r="EC27" s="51">
        <f ca="1">RAND()*0.224</f>
        <v>5.3082180895256452E-2</v>
      </c>
      <c r="ED27" s="51">
        <f ca="1">RAND()*0.224</f>
        <v>5.2074277013521519E-2</v>
      </c>
      <c r="EE27" s="51">
        <f ca="1">RAND()*0.224</f>
        <v>0.13315555038294144</v>
      </c>
    </row>
    <row r="28" spans="1:135" x14ac:dyDescent="0.4">
      <c r="A28" s="31" t="str">
        <f t="shared" si="3"/>
        <v>KPI ID 21 %</v>
      </c>
      <c r="B28" s="49" t="s">
        <v>64</v>
      </c>
      <c r="C28" s="50" t="s">
        <v>37</v>
      </c>
      <c r="D28" s="51">
        <f ca="1">RAND()</f>
        <v>0.40600244674778252</v>
      </c>
      <c r="E28" s="51">
        <f ca="1">RAND()</f>
        <v>0.16802938842566795</v>
      </c>
      <c r="F28" s="51">
        <f ca="1">RAND()</f>
        <v>0.35444636586279921</v>
      </c>
      <c r="G28" s="51">
        <f ca="1">RAND()</f>
        <v>5.7229308393871747E-2</v>
      </c>
      <c r="H28" s="51">
        <f ca="1">RAND()</f>
        <v>0.6420870677365379</v>
      </c>
      <c r="I28" s="51">
        <f ca="1">RAND()</f>
        <v>0.63040872608156051</v>
      </c>
      <c r="J28" s="51">
        <f ca="1">RAND()</f>
        <v>0.36806199150700991</v>
      </c>
      <c r="K28" s="51">
        <f ca="1">RAND()</f>
        <v>0.53109844750592095</v>
      </c>
      <c r="L28" s="51">
        <f ca="1">RAND()</f>
        <v>0.60876891294179958</v>
      </c>
      <c r="M28" s="51">
        <f ca="1">RAND()</f>
        <v>0.31417842514463312</v>
      </c>
      <c r="N28" s="51">
        <f ca="1">RAND()</f>
        <v>6.3374673522564873E-2</v>
      </c>
      <c r="O28" s="51">
        <f ca="1">RAND()</f>
        <v>0.19640989951890564</v>
      </c>
      <c r="P28" s="51">
        <f ca="1">RAND()</f>
        <v>0.64301011640050354</v>
      </c>
      <c r="Q28" s="51">
        <f ca="1">RAND()</f>
        <v>0.44902353291875163</v>
      </c>
      <c r="R28" s="51">
        <f ca="1">RAND()</f>
        <v>0.4419997819488134</v>
      </c>
      <c r="S28" s="51">
        <f ca="1">RAND()</f>
        <v>0.47149232003568287</v>
      </c>
      <c r="T28" s="51">
        <f ca="1">RAND()</f>
        <v>8.0936994971876342E-3</v>
      </c>
      <c r="U28" s="51">
        <f ca="1">RAND()</f>
        <v>0.62311941358295153</v>
      </c>
      <c r="V28" s="51">
        <f ca="1">RAND()</f>
        <v>0.94239558830942516</v>
      </c>
      <c r="W28" s="51">
        <f ca="1">RAND()</f>
        <v>6.1717985129059016E-2</v>
      </c>
      <c r="X28" s="51">
        <f ca="1">RAND()</f>
        <v>0.67856590655095905</v>
      </c>
      <c r="Y28" s="51">
        <f ca="1">RAND()</f>
        <v>0.23752112615463572</v>
      </c>
      <c r="Z28" s="51">
        <f ca="1">RAND()</f>
        <v>6.5164768392225403E-2</v>
      </c>
      <c r="AA28" s="51">
        <f ca="1">RAND()</f>
        <v>0.24167842775648019</v>
      </c>
      <c r="AB28" s="51">
        <f ca="1">RAND()</f>
        <v>0.7346751108414642</v>
      </c>
      <c r="AC28" s="51">
        <f ca="1">RAND()</f>
        <v>5.519708976733817E-3</v>
      </c>
      <c r="AD28" s="51">
        <f ca="1">RAND()</f>
        <v>0.90068010362592399</v>
      </c>
      <c r="AE28" s="51">
        <f ca="1">RAND()</f>
        <v>0.86849727377399044</v>
      </c>
      <c r="AF28" s="51">
        <f ca="1">RAND()</f>
        <v>0.75657823038741534</v>
      </c>
      <c r="AG28" s="51">
        <f ca="1">RAND()</f>
        <v>0.72337090328447262</v>
      </c>
      <c r="AH28" s="51">
        <f ca="1">RAND()</f>
        <v>0.18556857890668965</v>
      </c>
      <c r="AI28" s="51">
        <f ca="1">RAND()</f>
        <v>0.34275455575726743</v>
      </c>
      <c r="AJ28" s="51">
        <f ca="1">RAND()</f>
        <v>0.90669730461833775</v>
      </c>
      <c r="AK28" s="51">
        <f ca="1">RAND()</f>
        <v>0.81854224207397719</v>
      </c>
      <c r="AL28" s="51">
        <f ca="1">RAND()</f>
        <v>0.10444779706313456</v>
      </c>
      <c r="AM28" s="51">
        <f ca="1">RAND()</f>
        <v>0.17752038822671035</v>
      </c>
      <c r="AN28" s="51">
        <f ca="1">RAND()</f>
        <v>8.8837524901654308E-2</v>
      </c>
      <c r="AO28" s="51">
        <f ca="1">RAND()</f>
        <v>0.80150042412450251</v>
      </c>
      <c r="AP28" s="51">
        <f ca="1">RAND()</f>
        <v>0.39015293484690927</v>
      </c>
      <c r="AQ28" s="51">
        <f ca="1">RAND()</f>
        <v>0.72360669003479694</v>
      </c>
      <c r="AR28" s="51">
        <f ca="1">RAND()</f>
        <v>0.97451956103943316</v>
      </c>
      <c r="AS28" s="51">
        <f ca="1">RAND()</f>
        <v>7.8911227395230488E-2</v>
      </c>
      <c r="AT28" s="51">
        <f ca="1">RAND()</f>
        <v>0.74100401446141362</v>
      </c>
      <c r="AU28" s="51">
        <f ca="1">RAND()</f>
        <v>0.70474698613863573</v>
      </c>
      <c r="AV28" s="51">
        <f ca="1">RAND()</f>
        <v>0.85798013184207544</v>
      </c>
      <c r="AW28" s="51">
        <f ca="1">RAND()</f>
        <v>0.73219116493120184</v>
      </c>
      <c r="AX28" s="51">
        <f ca="1">RAND()</f>
        <v>0.98910410098526469</v>
      </c>
      <c r="AY28" s="51">
        <f ca="1">RAND()</f>
        <v>0.68748325912960717</v>
      </c>
      <c r="AZ28" s="51">
        <f ca="1">RAND()</f>
        <v>0.12799781233317775</v>
      </c>
      <c r="BA28" s="51">
        <f ca="1">RAND()</f>
        <v>0.53801442061433491</v>
      </c>
      <c r="BB28" s="51">
        <f ca="1">RAND()</f>
        <v>0.36680105307627409</v>
      </c>
      <c r="BC28" s="51">
        <f ca="1">RAND()</f>
        <v>0.89744951085961056</v>
      </c>
      <c r="BD28" s="51">
        <f ca="1">RAND()</f>
        <v>4.3842974911840527E-2</v>
      </c>
      <c r="BE28" s="51">
        <f ca="1">RAND()</f>
        <v>0.1369599717678277</v>
      </c>
      <c r="BF28" s="51">
        <f ca="1">RAND()</f>
        <v>0.95385174779079984</v>
      </c>
      <c r="BG28" s="51">
        <f ca="1">RAND()</f>
        <v>0.93886817891439045</v>
      </c>
      <c r="BH28" s="51">
        <f ca="1">RAND()</f>
        <v>0.10584120713002265</v>
      </c>
      <c r="BI28" s="51">
        <f ca="1">RAND()</f>
        <v>0.65237295345168111</v>
      </c>
      <c r="BJ28" s="51">
        <f ca="1">RAND()</f>
        <v>0.41227005380718906</v>
      </c>
      <c r="BK28" s="51">
        <f ca="1">RAND()</f>
        <v>0.8843694556776085</v>
      </c>
      <c r="BL28" s="51">
        <f ca="1">RAND()</f>
        <v>0.40713786372093574</v>
      </c>
      <c r="BM28" s="51">
        <f ca="1">RAND()</f>
        <v>0.52306533025201618</v>
      </c>
      <c r="BN28" s="51">
        <f ca="1">RAND()</f>
        <v>0.32980498582629092</v>
      </c>
      <c r="BO28" s="51">
        <f ca="1">RAND()</f>
        <v>0.32217626045912739</v>
      </c>
      <c r="BP28" s="51">
        <f ca="1">RAND()</f>
        <v>0.64209802488270218</v>
      </c>
      <c r="BQ28" s="51">
        <f ca="1">RAND()</f>
        <v>0.23968495974343462</v>
      </c>
      <c r="BR28" s="51">
        <f ca="1">RAND()</f>
        <v>2.1513146992567567E-2</v>
      </c>
      <c r="BS28" s="51">
        <f ca="1">RAND()</f>
        <v>0.19183470692822102</v>
      </c>
      <c r="BT28" s="51">
        <f ca="1">RAND()</f>
        <v>0.7421021048170886</v>
      </c>
      <c r="BU28" s="51">
        <f ca="1">RAND()</f>
        <v>0.87290703258496793</v>
      </c>
      <c r="BV28" s="51">
        <f ca="1">RAND()</f>
        <v>0.85749062714949131</v>
      </c>
      <c r="BW28" s="51">
        <f ca="1">RAND()</f>
        <v>0.74163714318649576</v>
      </c>
      <c r="BX28" s="51">
        <f ca="1">RAND()</f>
        <v>0.17353799873643627</v>
      </c>
      <c r="BY28" s="51">
        <f ca="1">RAND()</f>
        <v>0.21118715970114788</v>
      </c>
      <c r="BZ28" s="51">
        <f ca="1">RAND()</f>
        <v>0.84288840390815856</v>
      </c>
      <c r="CA28" s="51">
        <f ca="1">RAND()</f>
        <v>0.34234005739996676</v>
      </c>
      <c r="CB28" s="51">
        <f ca="1">RAND()</f>
        <v>0.93381002662235746</v>
      </c>
      <c r="CC28" s="51">
        <f ca="1">RAND()</f>
        <v>0.26739315377111417</v>
      </c>
      <c r="CD28" s="51">
        <f ca="1">RAND()</f>
        <v>0.52742379511144288</v>
      </c>
      <c r="CE28" s="51">
        <f ca="1">RAND()</f>
        <v>0.54374433359924002</v>
      </c>
      <c r="CF28" s="51">
        <f ca="1">RAND()</f>
        <v>0.11313573046881376</v>
      </c>
      <c r="CG28" s="51">
        <f ca="1">RAND()</f>
        <v>9.4259520432851684E-2</v>
      </c>
      <c r="CH28" s="51">
        <f ca="1">RAND()</f>
        <v>0.25553884901734092</v>
      </c>
      <c r="CI28" s="51">
        <f ca="1">RAND()</f>
        <v>5.6309235548007597E-2</v>
      </c>
      <c r="CJ28" s="51">
        <f ca="1">RAND()</f>
        <v>0.95703780198558397</v>
      </c>
      <c r="CK28" s="51">
        <f ca="1">RAND()</f>
        <v>0.89579752327829398</v>
      </c>
      <c r="CL28" s="51">
        <f ca="1">RAND()</f>
        <v>0.24768714133068237</v>
      </c>
      <c r="CM28" s="51">
        <f ca="1">RAND()</f>
        <v>0.91178585119328925</v>
      </c>
      <c r="CN28" s="51">
        <f ca="1">RAND()</f>
        <v>0.86386089850495873</v>
      </c>
      <c r="CO28" s="51">
        <f ca="1">RAND()</f>
        <v>0.42065833358616367</v>
      </c>
      <c r="CP28" s="51">
        <f ca="1">RAND()</f>
        <v>0.38202164807489702</v>
      </c>
      <c r="CQ28" s="51">
        <f ca="1">RAND()</f>
        <v>0.72452120104465223</v>
      </c>
      <c r="CR28" s="51">
        <f ca="1">RAND()</f>
        <v>0.1787126252134964</v>
      </c>
      <c r="CS28" s="51">
        <f ca="1">RAND()</f>
        <v>0.2893153555063932</v>
      </c>
      <c r="CT28" s="51">
        <f ca="1">RAND()</f>
        <v>0.85461740725467783</v>
      </c>
      <c r="CU28" s="51">
        <f ca="1">RAND()</f>
        <v>0.63232263458996063</v>
      </c>
      <c r="CV28" s="51">
        <f ca="1">RAND()</f>
        <v>0.57814371928028363</v>
      </c>
      <c r="CW28" s="51">
        <f ca="1">RAND()</f>
        <v>0.75133735728203166</v>
      </c>
      <c r="CX28" s="51">
        <f ca="1">RAND()</f>
        <v>0.48136677134089956</v>
      </c>
      <c r="CY28" s="51">
        <f ca="1">RAND()</f>
        <v>0.71155752156931895</v>
      </c>
      <c r="CZ28" s="51">
        <f ca="1">RAND()</f>
        <v>0.20112633806954661</v>
      </c>
      <c r="DA28" s="51">
        <f ca="1">RAND()</f>
        <v>0.58609797580076195</v>
      </c>
      <c r="DB28" s="51">
        <f ca="1">RAND()</f>
        <v>0.7471642593162513</v>
      </c>
      <c r="DC28" s="51">
        <f ca="1">RAND()</f>
        <v>0.13131480644095261</v>
      </c>
      <c r="DD28" s="51">
        <f ca="1">RAND()</f>
        <v>0.94892709944684173</v>
      </c>
      <c r="DE28" s="51">
        <f ca="1">RAND()</f>
        <v>0.71919721095476596</v>
      </c>
      <c r="DF28" s="51">
        <f ca="1">RAND()</f>
        <v>0.1741789751833176</v>
      </c>
      <c r="DG28" s="51">
        <f ca="1">RAND()</f>
        <v>0.6392526244277672</v>
      </c>
      <c r="DH28" s="51">
        <f ca="1">RAND()</f>
        <v>0.72949244990042883</v>
      </c>
      <c r="DI28" s="51">
        <f ca="1">RAND()</f>
        <v>0.78630208675614133</v>
      </c>
      <c r="DJ28" s="51">
        <f ca="1">RAND()</f>
        <v>0.90437037984067536</v>
      </c>
      <c r="DK28" s="51">
        <f ca="1">RAND()</f>
        <v>0.68370265066446423</v>
      </c>
      <c r="DL28" s="51">
        <f ca="1">RAND()</f>
        <v>0.78523704849218434</v>
      </c>
      <c r="DM28" s="51">
        <f ca="1">RAND()</f>
        <v>0.13151973700476716</v>
      </c>
      <c r="DN28" s="51">
        <f ca="1">RAND()</f>
        <v>0.91536800748287717</v>
      </c>
      <c r="DO28" s="51">
        <f ca="1">RAND()</f>
        <v>0.98921734396434524</v>
      </c>
      <c r="DP28" s="51">
        <f ca="1">RAND()</f>
        <v>0.68700397398787649</v>
      </c>
      <c r="DQ28" s="51">
        <f ca="1">RAND()</f>
        <v>0.384416141649642</v>
      </c>
      <c r="DR28" s="51">
        <f ca="1">RAND()</f>
        <v>0.42558616451106701</v>
      </c>
      <c r="DS28" s="51">
        <f ca="1">RAND()</f>
        <v>0.4342532337676186</v>
      </c>
      <c r="DT28" s="51">
        <f ca="1">RAND()</f>
        <v>0.9083654440217781</v>
      </c>
      <c r="DU28" s="51">
        <f ca="1">RAND()</f>
        <v>0.77702074429800538</v>
      </c>
      <c r="DV28" s="51">
        <f ca="1">RAND()</f>
        <v>0.84134991143839166</v>
      </c>
      <c r="DW28" s="51">
        <f ca="1">RAND()</f>
        <v>8.5485465924682869E-2</v>
      </c>
      <c r="DX28" s="51">
        <f ca="1">RAND()</f>
        <v>0.81192541608059354</v>
      </c>
      <c r="DY28" s="51">
        <f ca="1">RAND()</f>
        <v>0.28870605342542244</v>
      </c>
      <c r="DZ28" s="51">
        <f ca="1">RAND()</f>
        <v>6.2704565930809086E-2</v>
      </c>
      <c r="EA28" s="51">
        <f ca="1">RAND()</f>
        <v>4.1375742717391084E-2</v>
      </c>
      <c r="EB28" s="51">
        <f ca="1">RAND()</f>
        <v>0.77657072500141022</v>
      </c>
      <c r="EC28" s="51">
        <f ca="1">RAND()</f>
        <v>0.57831402829768463</v>
      </c>
      <c r="ED28" s="51">
        <f ca="1">RAND()</f>
        <v>0.680791512070271</v>
      </c>
      <c r="EE28" s="51">
        <f ca="1">RAND()</f>
        <v>0.66499432483738519</v>
      </c>
    </row>
    <row r="29" spans="1:135" x14ac:dyDescent="0.4">
      <c r="A29" s="31" t="str">
        <f t="shared" si="3"/>
        <v>KPI ID 22</v>
      </c>
      <c r="B29" s="49" t="s">
        <v>64</v>
      </c>
      <c r="C29" s="50" t="s">
        <v>38</v>
      </c>
      <c r="D29" s="51">
        <f ca="1">RAND()+1</f>
        <v>1.9423224756799526</v>
      </c>
      <c r="E29" s="51">
        <f ca="1">RAND()+1</f>
        <v>1.5214164860619679</v>
      </c>
      <c r="F29" s="51">
        <f ca="1">RAND()+1</f>
        <v>1.2730593434703592</v>
      </c>
      <c r="G29" s="51">
        <f ca="1">RAND()+1</f>
        <v>1.5184137761287937</v>
      </c>
      <c r="H29" s="51">
        <f ca="1">RAND()+1</f>
        <v>1.0132826736768454</v>
      </c>
      <c r="I29" s="51">
        <f ca="1">RAND()+1</f>
        <v>1.7961887645390497</v>
      </c>
      <c r="J29" s="51">
        <f ca="1">RAND()+1</f>
        <v>1.3197856195606654</v>
      </c>
      <c r="K29" s="51">
        <f ca="1">RAND()+1</f>
        <v>1.2838418208236317</v>
      </c>
      <c r="L29" s="51">
        <f ca="1">RAND()+1</f>
        <v>1.2600364017701415</v>
      </c>
      <c r="M29" s="51">
        <f ca="1">RAND()+1</f>
        <v>1.675832315151518</v>
      </c>
      <c r="N29" s="51">
        <f ca="1">RAND()+1</f>
        <v>1.2211678112757642</v>
      </c>
      <c r="O29" s="51">
        <f ca="1">RAND()+1</f>
        <v>1.4186238714262949</v>
      </c>
      <c r="P29" s="51">
        <f ca="1">RAND()+1</f>
        <v>1.9639762493257558</v>
      </c>
      <c r="Q29" s="51">
        <f ca="1">RAND()+1</f>
        <v>1.9408896092565202</v>
      </c>
      <c r="R29" s="51">
        <f ca="1">RAND()+1</f>
        <v>1.8097445883198771</v>
      </c>
      <c r="S29" s="51">
        <f ca="1">RAND()+1</f>
        <v>1.0749677894018179</v>
      </c>
      <c r="T29" s="51">
        <f ca="1">RAND()+1</f>
        <v>1.1765627336134155</v>
      </c>
      <c r="U29" s="51">
        <f ca="1">RAND()+1</f>
        <v>1.1188716017144635</v>
      </c>
      <c r="V29" s="51">
        <f ca="1">RAND()+1</f>
        <v>1.508620349614703</v>
      </c>
      <c r="W29" s="51">
        <f ca="1">RAND()+1</f>
        <v>1.3560912223946702</v>
      </c>
      <c r="X29" s="51">
        <f ca="1">RAND()+1</f>
        <v>1.5908081281171933</v>
      </c>
      <c r="Y29" s="51">
        <f ca="1">RAND()+1</f>
        <v>1.6863855720710479</v>
      </c>
      <c r="Z29" s="51">
        <f ca="1">RAND()+1</f>
        <v>1.3318178765012472</v>
      </c>
      <c r="AA29" s="51">
        <f ca="1">RAND()+1</f>
        <v>1.0254701353618414</v>
      </c>
      <c r="AB29" s="51">
        <f ca="1">RAND()+1</f>
        <v>1.048261937176151</v>
      </c>
      <c r="AC29" s="51">
        <f ca="1">RAND()+1</f>
        <v>1.2632553510613587</v>
      </c>
      <c r="AD29" s="51">
        <f ca="1">RAND()+1</f>
        <v>1.988088324993234</v>
      </c>
      <c r="AE29" s="51">
        <f ca="1">RAND()+1</f>
        <v>1.2570336849609367</v>
      </c>
      <c r="AF29" s="51">
        <f ca="1">RAND()+1</f>
        <v>1.0459066203196463</v>
      </c>
      <c r="AG29" s="51">
        <f ca="1">RAND()+1</f>
        <v>1.8996951360270553</v>
      </c>
      <c r="AH29" s="51">
        <f ca="1">RAND()+1</f>
        <v>1.8894822983017558</v>
      </c>
      <c r="AI29" s="51">
        <f ca="1">RAND()+1</f>
        <v>1.3756317188949585</v>
      </c>
      <c r="AJ29" s="51">
        <f ca="1">RAND()+1</f>
        <v>1.7562503212058354</v>
      </c>
      <c r="AK29" s="51">
        <f ca="1">RAND()+1</f>
        <v>1.3347467395534922</v>
      </c>
      <c r="AL29" s="51">
        <f ca="1">RAND()+1</f>
        <v>1.5962325574132028</v>
      </c>
      <c r="AM29" s="51">
        <f ca="1">RAND()+1</f>
        <v>1.7906132359680762</v>
      </c>
      <c r="AN29" s="51">
        <f ca="1">RAND()+1</f>
        <v>1.4885085007478267</v>
      </c>
      <c r="AO29" s="51">
        <f ca="1">RAND()+1</f>
        <v>1.6216869414186279</v>
      </c>
      <c r="AP29" s="51">
        <f ca="1">RAND()+1</f>
        <v>1.2991509037326852</v>
      </c>
      <c r="AQ29" s="51">
        <f ca="1">RAND()+1</f>
        <v>1.727466857039895</v>
      </c>
      <c r="AR29" s="51">
        <f ca="1">RAND()+1</f>
        <v>1.2151034878988667</v>
      </c>
      <c r="AS29" s="51">
        <f ca="1">RAND()+1</f>
        <v>1.7696432156747308</v>
      </c>
      <c r="AT29" s="51">
        <f ca="1">RAND()+1</f>
        <v>1.4973157977070994</v>
      </c>
      <c r="AU29" s="51">
        <f ca="1">RAND()+1</f>
        <v>1.3188189117064004</v>
      </c>
      <c r="AV29" s="51">
        <f ca="1">RAND()+1</f>
        <v>1.442156615754048</v>
      </c>
      <c r="AW29" s="51">
        <f ca="1">RAND()+1</f>
        <v>1.2960491297957071</v>
      </c>
      <c r="AX29" s="51">
        <f ca="1">RAND()+1</f>
        <v>1.0020399394123172</v>
      </c>
      <c r="AY29" s="51">
        <f ca="1">RAND()+1</f>
        <v>1.7821657893999943</v>
      </c>
      <c r="AZ29" s="51">
        <f ca="1">RAND()+1</f>
        <v>1.0852981104691035</v>
      </c>
      <c r="BA29" s="51">
        <f ca="1">RAND()+1</f>
        <v>1.3934300436771403</v>
      </c>
      <c r="BB29" s="51">
        <f ca="1">RAND()+1</f>
        <v>1.0752839120638937</v>
      </c>
      <c r="BC29" s="51">
        <f ca="1">RAND()+1</f>
        <v>1.8274841519270786</v>
      </c>
      <c r="BD29" s="51">
        <f ca="1">RAND()+1</f>
        <v>1.1454154131434888</v>
      </c>
      <c r="BE29" s="51">
        <f ca="1">RAND()+1</f>
        <v>1.8037430635547214</v>
      </c>
      <c r="BF29" s="51">
        <f ca="1">RAND()+1</f>
        <v>1.8660717559964919</v>
      </c>
      <c r="BG29" s="51">
        <f ca="1">RAND()+1</f>
        <v>1.5500301852082492</v>
      </c>
      <c r="BH29" s="51">
        <f ca="1">RAND()+1</f>
        <v>1.9844729471521754</v>
      </c>
      <c r="BI29" s="51">
        <f ca="1">RAND()+1</f>
        <v>1.5835645231965993</v>
      </c>
      <c r="BJ29" s="51">
        <f ca="1">RAND()+1</f>
        <v>1.673117356333502</v>
      </c>
      <c r="BK29" s="51">
        <f ca="1">RAND()+1</f>
        <v>1.7832057875863443</v>
      </c>
      <c r="BL29" s="51">
        <f ca="1">RAND()+1</f>
        <v>1.6483744456741589</v>
      </c>
      <c r="BM29" s="51">
        <f ca="1">RAND()+1</f>
        <v>1.5750096844696668</v>
      </c>
      <c r="BN29" s="51">
        <f ca="1">RAND()+1</f>
        <v>1.9938568393653855</v>
      </c>
      <c r="BO29" s="51">
        <f ca="1">RAND()+1</f>
        <v>1.4178253596894361</v>
      </c>
      <c r="BP29" s="51">
        <f ca="1">RAND()+1</f>
        <v>1.728377815200755</v>
      </c>
      <c r="BQ29" s="51">
        <f ca="1">RAND()+1</f>
        <v>1.266222064596926</v>
      </c>
      <c r="BR29" s="51">
        <f ca="1">RAND()+1</f>
        <v>1.0352636499074577</v>
      </c>
      <c r="BS29" s="51">
        <f ca="1">RAND()+1</f>
        <v>1.5608032303838961</v>
      </c>
      <c r="BT29" s="51">
        <f ca="1">RAND()+1</f>
        <v>1.8244013274126565</v>
      </c>
      <c r="BU29" s="51">
        <f ca="1">RAND()+1</f>
        <v>1.6930519405522082</v>
      </c>
      <c r="BV29" s="51">
        <f ca="1">RAND()+1</f>
        <v>1.2947662153079855</v>
      </c>
      <c r="BW29" s="51">
        <f ca="1">RAND()+1</f>
        <v>1.9209640062763729</v>
      </c>
      <c r="BX29" s="51">
        <f ca="1">RAND()+1</f>
        <v>1.8825896055007105</v>
      </c>
      <c r="BY29" s="51">
        <f ca="1">RAND()+1</f>
        <v>1.3047565742429357</v>
      </c>
      <c r="BZ29" s="51">
        <f ca="1">RAND()+1</f>
        <v>1.119940926933749</v>
      </c>
      <c r="CA29" s="51">
        <f ca="1">RAND()+1</f>
        <v>1.9864083080388948</v>
      </c>
      <c r="CB29" s="51">
        <f ca="1">RAND()+1</f>
        <v>1.5782410459385006</v>
      </c>
      <c r="CC29" s="51">
        <f ca="1">RAND()+1</f>
        <v>1.492484369131942</v>
      </c>
      <c r="CD29" s="51">
        <f ca="1">RAND()+1</f>
        <v>1.248999534166952</v>
      </c>
      <c r="CE29" s="51">
        <f ca="1">RAND()+1</f>
        <v>1.3588669025289883</v>
      </c>
      <c r="CF29" s="51">
        <f ca="1">RAND()+1</f>
        <v>1.598087218937434</v>
      </c>
      <c r="CG29" s="51">
        <f ca="1">RAND()+1</f>
        <v>1.5025090787386386</v>
      </c>
      <c r="CH29" s="51">
        <f ca="1">RAND()+1</f>
        <v>1.452152857861631</v>
      </c>
      <c r="CI29" s="51">
        <f ca="1">RAND()+1</f>
        <v>1.6159328573640899</v>
      </c>
      <c r="CJ29" s="51">
        <f ca="1">RAND()+1</f>
        <v>1.405046264526898</v>
      </c>
      <c r="CK29" s="51">
        <f ca="1">RAND()+1</f>
        <v>1.2811755159446869</v>
      </c>
      <c r="CL29" s="51">
        <f ca="1">RAND()+1</f>
        <v>1.1328373177564617</v>
      </c>
      <c r="CM29" s="51">
        <f ca="1">RAND()+1</f>
        <v>1.5828647335301245</v>
      </c>
      <c r="CN29" s="51">
        <f ca="1">RAND()+1</f>
        <v>1.4640568492868278</v>
      </c>
      <c r="CO29" s="51">
        <f ca="1">RAND()+1</f>
        <v>1.6917793347469088</v>
      </c>
      <c r="CP29" s="51">
        <f ca="1">RAND()+1</f>
        <v>1.9519407994811897</v>
      </c>
      <c r="CQ29" s="51">
        <f ca="1">RAND()+1</f>
        <v>1.191829377905377</v>
      </c>
      <c r="CR29" s="51">
        <f ca="1">RAND()+1</f>
        <v>1.5839768140158796</v>
      </c>
      <c r="CS29" s="51">
        <f ca="1">RAND()+1</f>
        <v>1.606705066174992</v>
      </c>
      <c r="CT29" s="51">
        <f ca="1">RAND()+1</f>
        <v>1.5100661579738819</v>
      </c>
      <c r="CU29" s="51">
        <f ca="1">RAND()+1</f>
        <v>1.4994232747750691</v>
      </c>
      <c r="CV29" s="51">
        <f ca="1">RAND()+1</f>
        <v>1.7552831833534914</v>
      </c>
      <c r="CW29" s="51">
        <f ca="1">RAND()+1</f>
        <v>1.0170055163344498</v>
      </c>
      <c r="CX29" s="51">
        <f ca="1">RAND()+1</f>
        <v>1.070514295616249</v>
      </c>
      <c r="CY29" s="51">
        <f ca="1">RAND()+1</f>
        <v>1.0758966409826245</v>
      </c>
      <c r="CZ29" s="51">
        <f ca="1">RAND()+1</f>
        <v>1.3027103850135455</v>
      </c>
      <c r="DA29" s="51">
        <f ca="1">RAND()+1</f>
        <v>1.5528150744835849</v>
      </c>
      <c r="DB29" s="51">
        <f ca="1">RAND()+1</f>
        <v>1.1066278132515563</v>
      </c>
      <c r="DC29" s="51">
        <f ca="1">RAND()+1</f>
        <v>1.487524810111529</v>
      </c>
      <c r="DD29" s="51">
        <f ca="1">RAND()+1</f>
        <v>1.4162356470746231</v>
      </c>
      <c r="DE29" s="51">
        <f ca="1">RAND()+1</f>
        <v>1.6524021916027167</v>
      </c>
      <c r="DF29" s="51">
        <f ca="1">RAND()+1</f>
        <v>1.557123167591846</v>
      </c>
      <c r="DG29" s="51">
        <f ca="1">RAND()+1</f>
        <v>1.2533720973486981</v>
      </c>
      <c r="DH29" s="51">
        <f ca="1">RAND()+1</f>
        <v>1.3906263412804041</v>
      </c>
      <c r="DI29" s="51">
        <f ca="1">RAND()+1</f>
        <v>1.6690686531904537</v>
      </c>
      <c r="DJ29" s="51">
        <f ca="1">RAND()+1</f>
        <v>1.4387752830095211</v>
      </c>
      <c r="DK29" s="51">
        <f ca="1">RAND()+1</f>
        <v>1.7312931276759755</v>
      </c>
      <c r="DL29" s="51">
        <f ca="1">RAND()+1</f>
        <v>1.2017878590947686</v>
      </c>
      <c r="DM29" s="51">
        <f ca="1">RAND()+1</f>
        <v>1.4017673113086895</v>
      </c>
      <c r="DN29" s="51">
        <f ca="1">RAND()+1</f>
        <v>1.327992097249294</v>
      </c>
      <c r="DO29" s="51">
        <f ca="1">RAND()+1</f>
        <v>1.6041212698947294</v>
      </c>
      <c r="DP29" s="51">
        <f ca="1">RAND()+1</f>
        <v>1.532916828823883</v>
      </c>
      <c r="DQ29" s="51">
        <f ca="1">RANDBETWEEN(20, 45)</f>
        <v>30</v>
      </c>
      <c r="DR29" s="51">
        <f ca="1">RAND()+1</f>
        <v>1.1398893059207929</v>
      </c>
      <c r="DS29" s="51">
        <f ca="1">RAND()+1</f>
        <v>1.8110772949980309</v>
      </c>
      <c r="DT29" s="51">
        <f ca="1">RAND()+1</f>
        <v>1.7041466908471732</v>
      </c>
      <c r="DU29" s="51">
        <f ca="1">RAND()+1</f>
        <v>1.5525373849417816</v>
      </c>
      <c r="DV29" s="51">
        <f ca="1">RAND()+1</f>
        <v>1.9612886881321399</v>
      </c>
      <c r="DW29" s="51">
        <f ca="1">RAND()+1</f>
        <v>1.082406531497071</v>
      </c>
      <c r="DX29" s="51">
        <f ca="1">RAND()+1</f>
        <v>1.5339078201973284</v>
      </c>
      <c r="DY29" s="51">
        <f ca="1">RAND()+1</f>
        <v>1.7687862915813106</v>
      </c>
      <c r="DZ29" s="51">
        <f ca="1">RAND()+1</f>
        <v>1.4321704307661407</v>
      </c>
      <c r="EA29" s="51">
        <f ca="1">RAND()+1</f>
        <v>1.0303844257702794</v>
      </c>
      <c r="EB29" s="51">
        <f ca="1">RAND()+1</f>
        <v>1.5988264241704055</v>
      </c>
      <c r="EC29" s="51">
        <f ca="1">RAND()+1</f>
        <v>1.8469363955977101</v>
      </c>
      <c r="ED29" s="51">
        <f ca="1">RAND()+1</f>
        <v>1.676759756081571</v>
      </c>
      <c r="EE29" s="51">
        <f ca="1">RAND()+1</f>
        <v>1.9560705654405253</v>
      </c>
    </row>
    <row r="30" spans="1:135" x14ac:dyDescent="0.4">
      <c r="A30" s="31" t="str">
        <f t="shared" si="3"/>
        <v>KPI ID 23 R</v>
      </c>
      <c r="B30" s="49" t="s">
        <v>64</v>
      </c>
      <c r="C30" s="50" t="s">
        <v>39</v>
      </c>
      <c r="D30" s="51">
        <f ca="1">RANDBETWEEN(1, 200)</f>
        <v>11</v>
      </c>
      <c r="E30" s="51">
        <f ca="1">RANDBETWEEN(1, 200)</f>
        <v>93</v>
      </c>
      <c r="F30" s="51">
        <f ca="1">RANDBETWEEN(1, 200)</f>
        <v>23</v>
      </c>
      <c r="G30" s="51">
        <f ca="1">RANDBETWEEN(1, 200)</f>
        <v>153</v>
      </c>
      <c r="H30" s="51">
        <f ca="1">RANDBETWEEN(1, 200)</f>
        <v>184</v>
      </c>
      <c r="I30" s="51">
        <f ca="1">RANDBETWEEN(1, 200)</f>
        <v>4</v>
      </c>
      <c r="J30" s="51">
        <f ca="1">RANDBETWEEN(1, 200)</f>
        <v>168</v>
      </c>
      <c r="K30" s="51">
        <f ca="1">RANDBETWEEN(1, 200)</f>
        <v>57</v>
      </c>
      <c r="L30" s="51">
        <f ca="1">RANDBETWEEN(1, 200)</f>
        <v>1</v>
      </c>
      <c r="M30" s="51">
        <f ca="1">RANDBETWEEN(1, 200)</f>
        <v>24</v>
      </c>
      <c r="N30" s="51">
        <f ca="1">RANDBETWEEN(1, 200)</f>
        <v>129</v>
      </c>
      <c r="O30" s="51">
        <f ca="1">RANDBETWEEN(1, 200)</f>
        <v>120</v>
      </c>
      <c r="P30" s="51">
        <f ca="1">RANDBETWEEN(1, 200)</f>
        <v>108</v>
      </c>
      <c r="Q30" s="51">
        <f ca="1">RANDBETWEEN(1, 200)</f>
        <v>76</v>
      </c>
      <c r="R30" s="51">
        <f ca="1">RANDBETWEEN(1, 200)</f>
        <v>200</v>
      </c>
      <c r="S30" s="51">
        <f ca="1">RANDBETWEEN(1, 200)</f>
        <v>66</v>
      </c>
      <c r="T30" s="51">
        <f ca="1">RANDBETWEEN(1, 200)</f>
        <v>184</v>
      </c>
      <c r="U30" s="51">
        <f ca="1">RANDBETWEEN(1, 200)</f>
        <v>30</v>
      </c>
      <c r="V30" s="51">
        <f ca="1">RANDBETWEEN(1, 200)</f>
        <v>85</v>
      </c>
      <c r="W30" s="51">
        <f ca="1">RANDBETWEEN(1, 200)</f>
        <v>136</v>
      </c>
      <c r="X30" s="51">
        <f ca="1">RANDBETWEEN(1, 200)</f>
        <v>107</v>
      </c>
      <c r="Y30" s="51">
        <f ca="1">RANDBETWEEN(1, 200)</f>
        <v>18</v>
      </c>
      <c r="Z30" s="51">
        <f ca="1">RANDBETWEEN(1, 200)</f>
        <v>86</v>
      </c>
      <c r="AA30" s="51">
        <f ca="1">RANDBETWEEN(1, 200)</f>
        <v>192</v>
      </c>
      <c r="AB30" s="51">
        <f ca="1">RANDBETWEEN(1, 200)</f>
        <v>6</v>
      </c>
      <c r="AC30" s="51">
        <f ca="1">RANDBETWEEN(1, 200)</f>
        <v>70</v>
      </c>
      <c r="AD30" s="51">
        <f ca="1">RANDBETWEEN(1, 200)</f>
        <v>22</v>
      </c>
      <c r="AE30" s="51">
        <f ca="1">RANDBETWEEN(1, 200)</f>
        <v>96</v>
      </c>
      <c r="AF30" s="51">
        <f ca="1">RANDBETWEEN(1, 200)</f>
        <v>131</v>
      </c>
      <c r="AG30" s="51">
        <f ca="1">RANDBETWEEN(1, 200)</f>
        <v>52</v>
      </c>
      <c r="AH30" s="51">
        <f ca="1">RANDBETWEEN(1, 200)</f>
        <v>197</v>
      </c>
      <c r="AI30" s="51">
        <f ca="1">RANDBETWEEN(1, 200)</f>
        <v>135</v>
      </c>
      <c r="AJ30" s="51">
        <f ca="1">RANDBETWEEN(1, 200)</f>
        <v>62</v>
      </c>
      <c r="AK30" s="51">
        <f ca="1">RANDBETWEEN(1, 200)</f>
        <v>18</v>
      </c>
      <c r="AL30" s="51">
        <f ca="1">RANDBETWEEN(1, 200)</f>
        <v>143</v>
      </c>
      <c r="AM30" s="51">
        <f ca="1">RANDBETWEEN(1, 200)</f>
        <v>145</v>
      </c>
      <c r="AN30" s="51">
        <f ca="1">RANDBETWEEN(1, 200)</f>
        <v>39</v>
      </c>
      <c r="AO30" s="51">
        <f ca="1">RANDBETWEEN(1, 200)</f>
        <v>47</v>
      </c>
      <c r="AP30" s="51">
        <f ca="1">RANDBETWEEN(1, 200)</f>
        <v>28</v>
      </c>
      <c r="AQ30" s="51">
        <f ca="1">RANDBETWEEN(1, 200)</f>
        <v>107</v>
      </c>
      <c r="AR30" s="51">
        <f ca="1">RANDBETWEEN(1, 200)</f>
        <v>142</v>
      </c>
      <c r="AS30" s="51">
        <f ca="1">RANDBETWEEN(1, 200)</f>
        <v>114</v>
      </c>
      <c r="AT30" s="51">
        <f ca="1">RANDBETWEEN(1, 200)</f>
        <v>79</v>
      </c>
      <c r="AU30" s="51">
        <f ca="1">RANDBETWEEN(1, 200)</f>
        <v>144</v>
      </c>
      <c r="AV30" s="51">
        <f ca="1">RANDBETWEEN(1, 200)</f>
        <v>62</v>
      </c>
      <c r="AW30" s="51">
        <f ca="1">RANDBETWEEN(1, 200)</f>
        <v>146</v>
      </c>
      <c r="AX30" s="51">
        <f ca="1">RANDBETWEEN(1, 200)</f>
        <v>1</v>
      </c>
      <c r="AY30" s="51">
        <f ca="1">RANDBETWEEN(1, 200)</f>
        <v>90</v>
      </c>
      <c r="AZ30" s="51">
        <f ca="1">RANDBETWEEN(1, 200)</f>
        <v>78</v>
      </c>
      <c r="BA30" s="51">
        <f ca="1">RANDBETWEEN(1, 200)</f>
        <v>20</v>
      </c>
      <c r="BB30" s="51">
        <f ca="1">RANDBETWEEN(1, 200)</f>
        <v>160</v>
      </c>
      <c r="BC30" s="51">
        <f ca="1">RANDBETWEEN(1, 200)</f>
        <v>3</v>
      </c>
      <c r="BD30" s="51">
        <f ca="1">RANDBETWEEN(1, 200)</f>
        <v>198</v>
      </c>
      <c r="BE30" s="51">
        <f ca="1">RANDBETWEEN(1, 200)</f>
        <v>79</v>
      </c>
      <c r="BF30" s="51">
        <f ca="1">RANDBETWEEN(1, 200)</f>
        <v>88</v>
      </c>
      <c r="BG30" s="51">
        <f ca="1">RANDBETWEEN(1, 200)</f>
        <v>43</v>
      </c>
      <c r="BH30" s="51">
        <f ca="1">RANDBETWEEN(1, 200)</f>
        <v>85</v>
      </c>
      <c r="BI30" s="51">
        <f ca="1">RANDBETWEEN(1, 200)</f>
        <v>86</v>
      </c>
      <c r="BJ30" s="51">
        <f ca="1">RANDBETWEEN(1, 200)</f>
        <v>5</v>
      </c>
      <c r="BK30" s="51">
        <f ca="1">RANDBETWEEN(1, 200)</f>
        <v>173</v>
      </c>
      <c r="BL30" s="51">
        <f ca="1">RANDBETWEEN(1, 200)</f>
        <v>180</v>
      </c>
      <c r="BM30" s="51">
        <f ca="1">RANDBETWEEN(1, 200)</f>
        <v>18</v>
      </c>
      <c r="BN30" s="51">
        <f ca="1">RANDBETWEEN(1, 200)</f>
        <v>101</v>
      </c>
      <c r="BO30" s="51">
        <f ca="1">RANDBETWEEN(1, 200)</f>
        <v>121</v>
      </c>
      <c r="BP30" s="51">
        <f ca="1">RANDBETWEEN(1, 200)</f>
        <v>63</v>
      </c>
      <c r="BQ30" s="51">
        <f ca="1">RANDBETWEEN(1, 200)</f>
        <v>49</v>
      </c>
      <c r="BR30" s="51">
        <f ca="1">RANDBETWEEN(1, 200)</f>
        <v>105</v>
      </c>
      <c r="BS30" s="51">
        <f ca="1">RANDBETWEEN(1, 200)</f>
        <v>185</v>
      </c>
      <c r="BT30" s="51">
        <f ca="1">RANDBETWEEN(1, 200)</f>
        <v>39</v>
      </c>
      <c r="BU30" s="51">
        <f ca="1">RANDBETWEEN(1, 200)</f>
        <v>108</v>
      </c>
      <c r="BV30" s="51">
        <f ca="1">RANDBETWEEN(1, 200)</f>
        <v>180</v>
      </c>
      <c r="BW30" s="51">
        <f ca="1">RANDBETWEEN(1, 200)</f>
        <v>27</v>
      </c>
      <c r="BX30" s="51">
        <f ca="1">RANDBETWEEN(1, 200)</f>
        <v>78</v>
      </c>
      <c r="BY30" s="51">
        <f ca="1">RANDBETWEEN(1, 200)</f>
        <v>7</v>
      </c>
      <c r="BZ30" s="51">
        <f ca="1">RANDBETWEEN(1, 200)</f>
        <v>83</v>
      </c>
      <c r="CA30" s="51">
        <f ca="1">RANDBETWEEN(1, 200)</f>
        <v>4</v>
      </c>
      <c r="CB30" s="51">
        <f ca="1">RANDBETWEEN(1, 200)</f>
        <v>177</v>
      </c>
      <c r="CC30" s="51">
        <f ca="1">RANDBETWEEN(1, 200)</f>
        <v>118</v>
      </c>
      <c r="CD30" s="51">
        <f ca="1">RANDBETWEEN(1, 200)</f>
        <v>172</v>
      </c>
      <c r="CE30" s="51">
        <f ca="1">RANDBETWEEN(1, 200)</f>
        <v>33</v>
      </c>
      <c r="CF30" s="51">
        <f ca="1">RANDBETWEEN(1, 200)</f>
        <v>59</v>
      </c>
      <c r="CG30" s="51">
        <f ca="1">RANDBETWEEN(1, 200)</f>
        <v>34</v>
      </c>
      <c r="CH30" s="51">
        <f ca="1">RANDBETWEEN(1, 200)</f>
        <v>158</v>
      </c>
      <c r="CI30" s="51">
        <f ca="1">RANDBETWEEN(1, 200)</f>
        <v>47</v>
      </c>
      <c r="CJ30" s="51">
        <f ca="1">RANDBETWEEN(1, 200)</f>
        <v>106</v>
      </c>
      <c r="CK30" s="51">
        <f ca="1">RANDBETWEEN(1, 200)</f>
        <v>12</v>
      </c>
      <c r="CL30" s="51">
        <f ca="1">RANDBETWEEN(1, 200)</f>
        <v>103</v>
      </c>
      <c r="CM30" s="51">
        <f ca="1">RANDBETWEEN(1, 200)</f>
        <v>165</v>
      </c>
      <c r="CN30" s="51">
        <f ca="1">RANDBETWEEN(1, 200)</f>
        <v>99</v>
      </c>
      <c r="CO30" s="51">
        <f ca="1">RANDBETWEEN(1, 200)</f>
        <v>136</v>
      </c>
      <c r="CP30" s="51">
        <f ca="1">RANDBETWEEN(1, 200)</f>
        <v>151</v>
      </c>
      <c r="CQ30" s="51">
        <f ca="1">RANDBETWEEN(1, 200)</f>
        <v>10</v>
      </c>
      <c r="CR30" s="51">
        <f ca="1">RANDBETWEEN(1, 200)</f>
        <v>4</v>
      </c>
      <c r="CS30" s="51">
        <f ca="1">RANDBETWEEN(1, 200)</f>
        <v>30</v>
      </c>
      <c r="CT30" s="51">
        <f ca="1">RANDBETWEEN(1, 200)</f>
        <v>167</v>
      </c>
      <c r="CU30" s="51">
        <f ca="1">RANDBETWEEN(1, 200)</f>
        <v>181</v>
      </c>
      <c r="CV30" s="51">
        <f ca="1">RANDBETWEEN(1, 200)</f>
        <v>138</v>
      </c>
      <c r="CW30" s="51">
        <f ca="1">RANDBETWEEN(1, 200)</f>
        <v>7</v>
      </c>
      <c r="CX30" s="51">
        <f ca="1">RANDBETWEEN(1, 200)</f>
        <v>161</v>
      </c>
      <c r="CY30" s="51">
        <f ca="1">RANDBETWEEN(1, 200)</f>
        <v>56</v>
      </c>
      <c r="CZ30" s="51">
        <f ca="1">RANDBETWEEN(1, 200)</f>
        <v>93</v>
      </c>
      <c r="DA30" s="51">
        <f ca="1">RANDBETWEEN(1, 200)</f>
        <v>44</v>
      </c>
      <c r="DB30" s="51">
        <f ca="1">RANDBETWEEN(1, 200)</f>
        <v>108</v>
      </c>
      <c r="DC30" s="51">
        <f ca="1">RANDBETWEEN(1, 200)</f>
        <v>44</v>
      </c>
      <c r="DD30" s="51">
        <f ca="1">RANDBETWEEN(1, 200)</f>
        <v>87</v>
      </c>
      <c r="DE30" s="51">
        <f ca="1">RANDBETWEEN(1, 200)</f>
        <v>180</v>
      </c>
      <c r="DF30" s="51">
        <f ca="1">RANDBETWEEN(1, 200)</f>
        <v>183</v>
      </c>
      <c r="DG30" s="51">
        <f ca="1">RANDBETWEEN(1, 200)</f>
        <v>58</v>
      </c>
      <c r="DH30" s="51">
        <f ca="1">RANDBETWEEN(1, 200)</f>
        <v>149</v>
      </c>
      <c r="DI30" s="51">
        <f ca="1">RANDBETWEEN(1, 200)</f>
        <v>185</v>
      </c>
      <c r="DJ30" s="51">
        <f ca="1">RANDBETWEEN(1, 200)</f>
        <v>41</v>
      </c>
      <c r="DK30" s="51">
        <f ca="1">RANDBETWEEN(1, 200)</f>
        <v>2</v>
      </c>
      <c r="DL30" s="51">
        <f ca="1">RANDBETWEEN(1, 200)</f>
        <v>159</v>
      </c>
      <c r="DM30" s="51">
        <f ca="1">RANDBETWEEN(1, 200)</f>
        <v>125</v>
      </c>
      <c r="DN30" s="51">
        <f ca="1">RANDBETWEEN(1, 200)</f>
        <v>71</v>
      </c>
      <c r="DO30" s="51">
        <f ca="1">RANDBETWEEN(1, 200)</f>
        <v>48</v>
      </c>
      <c r="DP30" s="51">
        <f ca="1">RANDBETWEEN(1, 200)</f>
        <v>2</v>
      </c>
      <c r="DQ30" s="51">
        <f ca="1">RANDBETWEEN(1, 200)</f>
        <v>165</v>
      </c>
      <c r="DR30" s="51">
        <f ca="1">RANDBETWEEN(1, 200)</f>
        <v>103</v>
      </c>
      <c r="DS30" s="51">
        <f ca="1">RANDBETWEEN(1, 200)</f>
        <v>173</v>
      </c>
      <c r="DT30" s="51">
        <f ca="1">RANDBETWEEN(1, 200)</f>
        <v>24</v>
      </c>
      <c r="DU30" s="51">
        <f ca="1">RANDBETWEEN(1, 200)</f>
        <v>6</v>
      </c>
      <c r="DV30" s="51">
        <f ca="1">RANDBETWEEN(1, 200)</f>
        <v>48</v>
      </c>
      <c r="DW30" s="51">
        <f ca="1">RANDBETWEEN(1, 200)</f>
        <v>79</v>
      </c>
      <c r="DX30" s="51">
        <f ca="1">RANDBETWEEN(1, 200)</f>
        <v>187</v>
      </c>
      <c r="DY30" s="51">
        <f ca="1">RANDBETWEEN(1, 200)</f>
        <v>42</v>
      </c>
      <c r="DZ30" s="51">
        <f ca="1">RANDBETWEEN(1, 200)</f>
        <v>58</v>
      </c>
      <c r="EA30" s="51">
        <f ca="1">RANDBETWEEN(1, 200)</f>
        <v>47</v>
      </c>
      <c r="EB30" s="51">
        <f ca="1">RANDBETWEEN(1, 200)</f>
        <v>88</v>
      </c>
      <c r="EC30" s="51">
        <f ca="1">RANDBETWEEN(1, 200)</f>
        <v>121</v>
      </c>
      <c r="ED30" s="51">
        <f ca="1">RANDBETWEEN(1, 200)</f>
        <v>180</v>
      </c>
      <c r="EE30" s="51">
        <f ca="1">RANDBETWEEN(1, 200)</f>
        <v>96</v>
      </c>
    </row>
    <row r="31" spans="1:135" x14ac:dyDescent="0.4">
      <c r="A31" s="31" t="str">
        <f t="shared" si="3"/>
        <v>KPI ID 24</v>
      </c>
      <c r="B31" s="49" t="s">
        <v>64</v>
      </c>
      <c r="C31" s="50" t="s">
        <v>40</v>
      </c>
      <c r="D31" s="51">
        <f ca="1">RANDBETWEEN(20, 45)</f>
        <v>42</v>
      </c>
      <c r="E31" s="51">
        <f ca="1">RANDBETWEEN(20, 45)</f>
        <v>28</v>
      </c>
      <c r="F31" s="51">
        <f ca="1">RANDBETWEEN(20, 45)</f>
        <v>36</v>
      </c>
      <c r="G31" s="51">
        <f ca="1">RANDBETWEEN(20, 45)</f>
        <v>20</v>
      </c>
      <c r="H31" s="51">
        <f ca="1">RANDBETWEEN(20, 45)</f>
        <v>28</v>
      </c>
      <c r="I31" s="51">
        <f ca="1">RANDBETWEEN(20, 45)</f>
        <v>33</v>
      </c>
      <c r="J31" s="51">
        <f ca="1">RANDBETWEEN(20, 45)</f>
        <v>38</v>
      </c>
      <c r="K31" s="51">
        <f ca="1">RANDBETWEEN(20, 45)</f>
        <v>42</v>
      </c>
      <c r="L31" s="51">
        <f ca="1">RANDBETWEEN(20, 45)</f>
        <v>26</v>
      </c>
      <c r="M31" s="51">
        <f ca="1">RANDBETWEEN(20, 45)</f>
        <v>29</v>
      </c>
      <c r="N31" s="51">
        <f ca="1">RANDBETWEEN(20, 45)</f>
        <v>22</v>
      </c>
      <c r="O31" s="51">
        <f ca="1">RANDBETWEEN(20, 45)</f>
        <v>24</v>
      </c>
      <c r="P31" s="51">
        <f ca="1">RANDBETWEEN(20, 45)</f>
        <v>30</v>
      </c>
      <c r="Q31" s="51">
        <f ca="1">RANDBETWEEN(20, 45)</f>
        <v>28</v>
      </c>
      <c r="R31" s="51">
        <f ca="1">RANDBETWEEN(20, 45)</f>
        <v>24</v>
      </c>
      <c r="S31" s="51">
        <f ca="1">RANDBETWEEN(20, 45)</f>
        <v>34</v>
      </c>
      <c r="T31" s="51">
        <f ca="1">RANDBETWEEN(20, 45)</f>
        <v>44</v>
      </c>
      <c r="U31" s="51">
        <f ca="1">RANDBETWEEN(20, 45)</f>
        <v>22</v>
      </c>
      <c r="V31" s="51">
        <f ca="1">RANDBETWEEN(20, 45)</f>
        <v>34</v>
      </c>
      <c r="W31" s="51">
        <f ca="1">RANDBETWEEN(20, 45)</f>
        <v>30</v>
      </c>
      <c r="X31" s="51">
        <f ca="1">RANDBETWEEN(20, 45)</f>
        <v>28</v>
      </c>
      <c r="Y31" s="51">
        <f ca="1">RANDBETWEEN(20, 45)</f>
        <v>24</v>
      </c>
      <c r="Z31" s="51">
        <f ca="1">RANDBETWEEN(20, 45)</f>
        <v>34</v>
      </c>
      <c r="AA31" s="51">
        <f ca="1">RANDBETWEEN(20, 45)</f>
        <v>43</v>
      </c>
      <c r="AB31" s="51">
        <f ca="1">RANDBETWEEN(20, 45)</f>
        <v>31</v>
      </c>
      <c r="AC31" s="51">
        <f ca="1">RANDBETWEEN(20, 45)</f>
        <v>35</v>
      </c>
      <c r="AD31" s="51">
        <f ca="1">RANDBETWEEN(20, 45)</f>
        <v>39</v>
      </c>
      <c r="AE31" s="51">
        <f ca="1">RANDBETWEEN(20, 45)</f>
        <v>24</v>
      </c>
      <c r="AF31" s="51">
        <f ca="1">RANDBETWEEN(20, 45)</f>
        <v>24</v>
      </c>
      <c r="AG31" s="51">
        <f ca="1">RANDBETWEEN(20, 45)</f>
        <v>37</v>
      </c>
      <c r="AH31" s="51">
        <f ca="1">RANDBETWEEN(20, 45)</f>
        <v>27</v>
      </c>
      <c r="AI31" s="51">
        <f ca="1">RANDBETWEEN(20, 45)</f>
        <v>38</v>
      </c>
      <c r="AJ31" s="51">
        <f ca="1">RANDBETWEEN(20, 45)</f>
        <v>39</v>
      </c>
      <c r="AK31" s="51">
        <f ca="1">RANDBETWEEN(20, 45)</f>
        <v>34</v>
      </c>
      <c r="AL31" s="51">
        <f ca="1">RANDBETWEEN(20, 45)</f>
        <v>21</v>
      </c>
      <c r="AM31" s="51">
        <f ca="1">RANDBETWEEN(20, 45)</f>
        <v>34</v>
      </c>
      <c r="AN31" s="51">
        <f ca="1">RANDBETWEEN(20, 45)</f>
        <v>34</v>
      </c>
      <c r="AO31" s="51">
        <f ca="1">RANDBETWEEN(20, 45)</f>
        <v>34</v>
      </c>
      <c r="AP31" s="51">
        <f ca="1">RANDBETWEEN(20, 45)</f>
        <v>30</v>
      </c>
      <c r="AQ31" s="51">
        <f ca="1">RANDBETWEEN(20, 45)</f>
        <v>31</v>
      </c>
      <c r="AR31" s="51">
        <f ca="1">RANDBETWEEN(20, 45)</f>
        <v>25</v>
      </c>
      <c r="AS31" s="51">
        <f ca="1">RANDBETWEEN(20, 45)</f>
        <v>35</v>
      </c>
      <c r="AT31" s="51">
        <f ca="1">RANDBETWEEN(20, 45)</f>
        <v>33</v>
      </c>
      <c r="AU31" s="51">
        <f ca="1">RANDBETWEEN(20, 45)</f>
        <v>29</v>
      </c>
      <c r="AV31" s="51">
        <f ca="1">RANDBETWEEN(20, 45)</f>
        <v>44</v>
      </c>
      <c r="AW31" s="51">
        <f ca="1">RANDBETWEEN(20, 45)</f>
        <v>40</v>
      </c>
      <c r="AX31" s="51">
        <f ca="1">RANDBETWEEN(20, 45)</f>
        <v>34</v>
      </c>
      <c r="AY31" s="51">
        <f ca="1">RANDBETWEEN(20, 45)</f>
        <v>38</v>
      </c>
      <c r="AZ31" s="51">
        <f ca="1">RANDBETWEEN(20, 45)</f>
        <v>22</v>
      </c>
      <c r="BA31" s="51">
        <f ca="1">RANDBETWEEN(20, 45)</f>
        <v>43</v>
      </c>
      <c r="BB31" s="51">
        <f ca="1">RANDBETWEEN(20, 45)</f>
        <v>38</v>
      </c>
      <c r="BC31" s="51">
        <f ca="1">RANDBETWEEN(20, 45)</f>
        <v>30</v>
      </c>
      <c r="BD31" s="51">
        <f ca="1">RANDBETWEEN(20, 45)</f>
        <v>26</v>
      </c>
      <c r="BE31" s="51">
        <f ca="1">RANDBETWEEN(20, 45)</f>
        <v>40</v>
      </c>
      <c r="BF31" s="51">
        <f ca="1">RANDBETWEEN(20, 45)</f>
        <v>21</v>
      </c>
      <c r="BG31" s="51">
        <f ca="1">RANDBETWEEN(20, 45)</f>
        <v>26</v>
      </c>
      <c r="BH31" s="51">
        <f ca="1">RANDBETWEEN(20, 45)</f>
        <v>38</v>
      </c>
      <c r="BI31" s="51">
        <f ca="1">RANDBETWEEN(20, 45)</f>
        <v>45</v>
      </c>
      <c r="BJ31" s="51">
        <f ca="1">RANDBETWEEN(20, 45)</f>
        <v>27</v>
      </c>
      <c r="BK31" s="51">
        <f ca="1">RANDBETWEEN(20, 45)</f>
        <v>37</v>
      </c>
      <c r="BL31" s="51">
        <f ca="1">RANDBETWEEN(20, 45)</f>
        <v>44</v>
      </c>
      <c r="BM31" s="51">
        <f ca="1">RANDBETWEEN(20, 45)</f>
        <v>45</v>
      </c>
      <c r="BN31" s="51">
        <f ca="1">RANDBETWEEN(20, 45)</f>
        <v>24</v>
      </c>
      <c r="BO31" s="51">
        <f ca="1">RANDBETWEEN(20, 45)</f>
        <v>45</v>
      </c>
      <c r="BP31" s="51">
        <f ca="1">RANDBETWEEN(20, 45)</f>
        <v>25</v>
      </c>
      <c r="BQ31" s="51">
        <f ca="1">RANDBETWEEN(20, 45)</f>
        <v>43</v>
      </c>
      <c r="BR31" s="51">
        <f ca="1">RANDBETWEEN(20, 45)</f>
        <v>40</v>
      </c>
      <c r="BS31" s="51">
        <f ca="1">RANDBETWEEN(20, 45)</f>
        <v>34</v>
      </c>
      <c r="BT31" s="51">
        <f ca="1">RANDBETWEEN(20, 45)</f>
        <v>20</v>
      </c>
      <c r="BU31" s="51">
        <f ca="1">RANDBETWEEN(20, 45)</f>
        <v>27</v>
      </c>
      <c r="BV31" s="51">
        <f ca="1">RANDBETWEEN(20, 45)</f>
        <v>36</v>
      </c>
      <c r="BW31" s="51">
        <f ca="1">RANDBETWEEN(20, 45)</f>
        <v>35</v>
      </c>
      <c r="BX31" s="51">
        <f ca="1">RANDBETWEEN(20, 45)</f>
        <v>25</v>
      </c>
      <c r="BY31" s="51">
        <f ca="1">RANDBETWEEN(20, 45)</f>
        <v>39</v>
      </c>
      <c r="BZ31" s="51">
        <f ca="1">RANDBETWEEN(20, 45)</f>
        <v>29</v>
      </c>
      <c r="CA31" s="51">
        <f ca="1">RANDBETWEEN(20, 45)</f>
        <v>32</v>
      </c>
      <c r="CB31" s="51">
        <f ca="1">RANDBETWEEN(20, 45)</f>
        <v>39</v>
      </c>
      <c r="CC31" s="51">
        <f ca="1">RANDBETWEEN(20, 45)</f>
        <v>24</v>
      </c>
      <c r="CD31" s="51">
        <f ca="1">RANDBETWEEN(20, 45)</f>
        <v>27</v>
      </c>
      <c r="CE31" s="51">
        <f ca="1">RANDBETWEEN(20, 45)</f>
        <v>26</v>
      </c>
      <c r="CF31" s="51">
        <f ca="1">RANDBETWEEN(20, 45)</f>
        <v>32</v>
      </c>
      <c r="CG31" s="51">
        <f ca="1">RANDBETWEEN(20, 45)</f>
        <v>44</v>
      </c>
      <c r="CH31" s="51">
        <f ca="1">RANDBETWEEN(20, 45)</f>
        <v>45</v>
      </c>
      <c r="CI31" s="51">
        <f ca="1">RANDBETWEEN(20, 45)</f>
        <v>43</v>
      </c>
      <c r="CJ31" s="51">
        <f ca="1">RANDBETWEEN(20, 45)</f>
        <v>28</v>
      </c>
      <c r="CK31" s="51">
        <f ca="1">RANDBETWEEN(20, 45)</f>
        <v>28</v>
      </c>
      <c r="CL31" s="51">
        <f ca="1">RANDBETWEEN(20, 45)</f>
        <v>28</v>
      </c>
      <c r="CM31" s="51">
        <f ca="1">RANDBETWEEN(20, 45)</f>
        <v>31</v>
      </c>
      <c r="CN31" s="51">
        <f ca="1">RANDBETWEEN(20, 45)</f>
        <v>34</v>
      </c>
      <c r="CO31" s="51">
        <f ca="1">RANDBETWEEN(20, 45)</f>
        <v>29</v>
      </c>
      <c r="CP31" s="51">
        <f ca="1">RANDBETWEEN(20, 45)</f>
        <v>42</v>
      </c>
      <c r="CQ31" s="51">
        <f ca="1">RANDBETWEEN(20, 45)</f>
        <v>42</v>
      </c>
      <c r="CR31" s="51">
        <f ca="1">RANDBETWEEN(20, 45)</f>
        <v>42</v>
      </c>
      <c r="CS31" s="51">
        <f ca="1">RANDBETWEEN(20, 45)</f>
        <v>34</v>
      </c>
      <c r="CT31" s="51">
        <f ca="1">RANDBETWEEN(20, 45)</f>
        <v>45</v>
      </c>
      <c r="CU31" s="51">
        <f ca="1">RANDBETWEEN(20, 45)</f>
        <v>39</v>
      </c>
      <c r="CV31" s="51">
        <f ca="1">RANDBETWEEN(20, 45)</f>
        <v>35</v>
      </c>
      <c r="CW31" s="51">
        <f ca="1">RANDBETWEEN(20, 45)</f>
        <v>34</v>
      </c>
      <c r="CX31" s="51">
        <f ca="1">RANDBETWEEN(20, 45)</f>
        <v>43</v>
      </c>
      <c r="CY31" s="51">
        <f ca="1">RANDBETWEEN(20, 45)</f>
        <v>20</v>
      </c>
      <c r="CZ31" s="51">
        <f ca="1">RANDBETWEEN(20, 45)</f>
        <v>25</v>
      </c>
      <c r="DA31" s="51">
        <f ca="1">RANDBETWEEN(20, 45)</f>
        <v>22</v>
      </c>
      <c r="DB31" s="51">
        <f ca="1">RANDBETWEEN(20, 45)</f>
        <v>34</v>
      </c>
      <c r="DC31" s="51">
        <f ca="1">RANDBETWEEN(20, 45)</f>
        <v>34</v>
      </c>
      <c r="DD31" s="51">
        <f ca="1">RANDBETWEEN(20, 45)</f>
        <v>43</v>
      </c>
      <c r="DE31" s="51">
        <f ca="1">RANDBETWEEN(20, 45)</f>
        <v>45</v>
      </c>
      <c r="DF31" s="51">
        <f ca="1">RANDBETWEEN(20, 45)</f>
        <v>27</v>
      </c>
      <c r="DG31" s="51">
        <f ca="1">RANDBETWEEN(20, 45)</f>
        <v>30</v>
      </c>
      <c r="DH31" s="51">
        <f ca="1">RANDBETWEEN(20, 45)</f>
        <v>22</v>
      </c>
      <c r="DI31" s="51">
        <f ca="1">RANDBETWEEN(20, 45)</f>
        <v>40</v>
      </c>
      <c r="DJ31" s="51">
        <f ca="1">RANDBETWEEN(20, 45)</f>
        <v>34</v>
      </c>
      <c r="DK31" s="51">
        <f ca="1">RANDBETWEEN(20, 45)</f>
        <v>22</v>
      </c>
      <c r="DL31" s="51">
        <f ca="1">RANDBETWEEN(20, 45)</f>
        <v>26</v>
      </c>
      <c r="DM31" s="51">
        <f ca="1">RANDBETWEEN(20, 45)</f>
        <v>24</v>
      </c>
      <c r="DN31" s="51">
        <f ca="1">RAND()+1</f>
        <v>1.2846457705028933</v>
      </c>
      <c r="DO31" s="51">
        <f ca="1">RANDBETWEEN(20, 45)</f>
        <v>35</v>
      </c>
      <c r="DP31" s="51">
        <f ca="1">RANDBETWEEN(20, 45)</f>
        <v>37</v>
      </c>
      <c r="DQ31" s="51">
        <f ca="1">RANDBETWEEN(20, 45)</f>
        <v>25</v>
      </c>
      <c r="DR31" s="51">
        <f ca="1">RANDBETWEEN(20, 45)</f>
        <v>45</v>
      </c>
      <c r="DS31" s="51">
        <f ca="1">RANDBETWEEN(20, 45)</f>
        <v>32</v>
      </c>
      <c r="DT31" s="51">
        <f ca="1">RANDBETWEEN(20, 45)</f>
        <v>30</v>
      </c>
      <c r="DU31" s="51">
        <f ca="1">RANDBETWEEN(20, 45)</f>
        <v>30</v>
      </c>
      <c r="DV31" s="51">
        <f ca="1">RANDBETWEEN(20, 45)</f>
        <v>31</v>
      </c>
      <c r="DW31" s="51">
        <f ca="1">RANDBETWEEN(20, 45)</f>
        <v>34</v>
      </c>
      <c r="DX31" s="51">
        <f ca="1">RANDBETWEEN(20, 45)</f>
        <v>23</v>
      </c>
      <c r="DY31" s="51">
        <f ca="1">RANDBETWEEN(20, 45)</f>
        <v>29</v>
      </c>
      <c r="DZ31" s="51">
        <f ca="1">RANDBETWEEN(20, 45)</f>
        <v>26</v>
      </c>
      <c r="EA31" s="51">
        <f ca="1">RANDBETWEEN(20, 45)</f>
        <v>25</v>
      </c>
      <c r="EB31" s="51">
        <f ca="1">RANDBETWEEN(20, 45)</f>
        <v>28</v>
      </c>
      <c r="EC31" s="51">
        <f ca="1">RANDBETWEEN(20, 45)</f>
        <v>29</v>
      </c>
      <c r="ED31" s="51">
        <f ca="1">RANDBETWEEN(20, 45)</f>
        <v>31</v>
      </c>
      <c r="EE31" s="51">
        <f ca="1">RAND()</f>
        <v>0.4837220933255707</v>
      </c>
    </row>
    <row r="32" spans="1:135" x14ac:dyDescent="0.4">
      <c r="A32" s="31" t="str">
        <f t="shared" si="3"/>
        <v>KPI ID 25 R</v>
      </c>
      <c r="B32" s="49" t="s">
        <v>64</v>
      </c>
      <c r="C32" s="50" t="s">
        <v>41</v>
      </c>
      <c r="D32" s="51">
        <f ca="1">RANDBETWEEN(1, 33)</f>
        <v>12</v>
      </c>
      <c r="E32" s="51">
        <f ca="1">RANDBETWEEN(1, 33)</f>
        <v>10</v>
      </c>
      <c r="F32" s="51">
        <f ca="1">RANDBETWEEN(1, 33)</f>
        <v>22</v>
      </c>
      <c r="G32" s="51">
        <f ca="1">RANDBETWEEN(1, 33)</f>
        <v>6</v>
      </c>
      <c r="H32" s="51">
        <f ca="1">RANDBETWEEN(1, 33)</f>
        <v>16</v>
      </c>
      <c r="I32" s="51">
        <f ca="1">RANDBETWEEN(1, 33)</f>
        <v>25</v>
      </c>
      <c r="J32" s="51">
        <f ca="1">RANDBETWEEN(1, 33)</f>
        <v>30</v>
      </c>
      <c r="K32" s="51">
        <f ca="1">RANDBETWEEN(1, 33)</f>
        <v>8</v>
      </c>
      <c r="L32" s="51">
        <f ca="1">RANDBETWEEN(1, 33)</f>
        <v>19</v>
      </c>
      <c r="M32" s="51">
        <f ca="1">RANDBETWEEN(1, 33)</f>
        <v>28</v>
      </c>
      <c r="N32" s="51">
        <f ca="1">RANDBETWEEN(1, 33)</f>
        <v>27</v>
      </c>
      <c r="O32" s="51">
        <f ca="1">RANDBETWEEN(1, 33)</f>
        <v>27</v>
      </c>
      <c r="P32" s="51">
        <f ca="1">RANDBETWEEN(1, 33)</f>
        <v>8</v>
      </c>
      <c r="Q32" s="51">
        <f ca="1">RANDBETWEEN(1, 33)</f>
        <v>21</v>
      </c>
      <c r="R32" s="51">
        <f ca="1">RANDBETWEEN(1, 33)</f>
        <v>4</v>
      </c>
      <c r="S32" s="51">
        <f ca="1">RANDBETWEEN(1, 33)</f>
        <v>4</v>
      </c>
      <c r="T32" s="51">
        <f ca="1">RANDBETWEEN(1, 33)</f>
        <v>8</v>
      </c>
      <c r="U32" s="51">
        <f ca="1">RANDBETWEEN(1, 33)</f>
        <v>33</v>
      </c>
      <c r="V32" s="51">
        <f ca="1">RANDBETWEEN(1, 33)</f>
        <v>29</v>
      </c>
      <c r="W32" s="51">
        <f ca="1">RANDBETWEEN(1, 33)</f>
        <v>4</v>
      </c>
      <c r="X32" s="51">
        <f ca="1">RANDBETWEEN(1, 33)</f>
        <v>21</v>
      </c>
      <c r="Y32" s="51">
        <f ca="1">RANDBETWEEN(1, 33)</f>
        <v>18</v>
      </c>
      <c r="Z32" s="51">
        <f ca="1">RANDBETWEEN(1, 33)</f>
        <v>29</v>
      </c>
      <c r="AA32" s="51">
        <f ca="1">RANDBETWEEN(1, 33)</f>
        <v>24</v>
      </c>
      <c r="AB32" s="51">
        <f ca="1">RANDBETWEEN(1, 33)</f>
        <v>22</v>
      </c>
      <c r="AC32" s="51">
        <f ca="1">RANDBETWEEN(1, 33)</f>
        <v>28</v>
      </c>
      <c r="AD32" s="51">
        <f ca="1">RANDBETWEEN(1, 33)</f>
        <v>15</v>
      </c>
      <c r="AE32" s="51">
        <f ca="1">RANDBETWEEN(1, 33)</f>
        <v>12</v>
      </c>
      <c r="AF32" s="51">
        <f ca="1">RANDBETWEEN(1, 33)</f>
        <v>26</v>
      </c>
      <c r="AG32" s="51">
        <f ca="1">RANDBETWEEN(1, 33)</f>
        <v>13</v>
      </c>
      <c r="AH32" s="51">
        <f ca="1">RANDBETWEEN(1, 33)</f>
        <v>3</v>
      </c>
      <c r="AI32" s="51">
        <f ca="1">RANDBETWEEN(1, 33)</f>
        <v>24</v>
      </c>
      <c r="AJ32" s="51">
        <f ca="1">RANDBETWEEN(1, 33)</f>
        <v>27</v>
      </c>
      <c r="AK32" s="51">
        <f ca="1">RANDBETWEEN(1, 33)</f>
        <v>20</v>
      </c>
      <c r="AL32" s="51">
        <f ca="1">RANDBETWEEN(1, 33)</f>
        <v>22</v>
      </c>
      <c r="AM32" s="51">
        <f ca="1">RANDBETWEEN(1, 33)</f>
        <v>1</v>
      </c>
      <c r="AN32" s="51">
        <f ca="1">RANDBETWEEN(1, 33)</f>
        <v>14</v>
      </c>
      <c r="AO32" s="51">
        <f ca="1">RANDBETWEEN(1, 33)</f>
        <v>27</v>
      </c>
      <c r="AP32" s="51">
        <f ca="1">RANDBETWEEN(1, 33)</f>
        <v>3</v>
      </c>
      <c r="AQ32" s="51">
        <f ca="1">RANDBETWEEN(1, 33)</f>
        <v>22</v>
      </c>
      <c r="AR32" s="51">
        <f ca="1">RANDBETWEEN(1, 33)</f>
        <v>29</v>
      </c>
      <c r="AS32" s="51">
        <f ca="1">RANDBETWEEN(1, 33)</f>
        <v>18</v>
      </c>
      <c r="AT32" s="51">
        <f ca="1">RANDBETWEEN(1, 33)</f>
        <v>25</v>
      </c>
      <c r="AU32" s="51">
        <f ca="1">RANDBETWEEN(1, 33)</f>
        <v>13</v>
      </c>
      <c r="AV32" s="51">
        <f ca="1">RANDBETWEEN(1, 33)</f>
        <v>3</v>
      </c>
      <c r="AW32" s="51">
        <f ca="1">RANDBETWEEN(1, 33)</f>
        <v>21</v>
      </c>
      <c r="AX32" s="51">
        <f ca="1">RANDBETWEEN(1, 33)</f>
        <v>21</v>
      </c>
      <c r="AY32" s="51">
        <f ca="1">RANDBETWEEN(1, 33)</f>
        <v>11</v>
      </c>
      <c r="AZ32" s="51">
        <f ca="1">RANDBETWEEN(1, 33)</f>
        <v>4</v>
      </c>
      <c r="BA32" s="51">
        <f ca="1">RANDBETWEEN(1, 33)</f>
        <v>2</v>
      </c>
      <c r="BB32" s="51">
        <f ca="1">RANDBETWEEN(1, 33)</f>
        <v>28</v>
      </c>
      <c r="BC32" s="51">
        <f ca="1">RANDBETWEEN(1, 33)</f>
        <v>21</v>
      </c>
      <c r="BD32" s="51">
        <f ca="1">RANDBETWEEN(1, 33)</f>
        <v>30</v>
      </c>
      <c r="BE32" s="51">
        <f ca="1">RANDBETWEEN(1, 33)</f>
        <v>16</v>
      </c>
      <c r="BF32" s="51">
        <f ca="1">RANDBETWEEN(1, 33)</f>
        <v>12</v>
      </c>
      <c r="BG32" s="51">
        <f ca="1">RANDBETWEEN(1, 33)</f>
        <v>24</v>
      </c>
      <c r="BH32" s="51">
        <f ca="1">RANDBETWEEN(1, 33)</f>
        <v>6</v>
      </c>
      <c r="BI32" s="51">
        <f ca="1">RANDBETWEEN(1, 33)</f>
        <v>25</v>
      </c>
      <c r="BJ32" s="51">
        <f ca="1">RANDBETWEEN(1, 33)</f>
        <v>8</v>
      </c>
      <c r="BK32" s="51">
        <f ca="1">RANDBETWEEN(1, 33)</f>
        <v>29</v>
      </c>
      <c r="BL32" s="51">
        <f ca="1">RANDBETWEEN(1, 33)</f>
        <v>18</v>
      </c>
      <c r="BM32" s="51">
        <f ca="1">RANDBETWEEN(1, 33)</f>
        <v>21</v>
      </c>
      <c r="BN32" s="51">
        <f ca="1">RANDBETWEEN(1, 33)</f>
        <v>24</v>
      </c>
      <c r="BO32" s="51">
        <f ca="1">RANDBETWEEN(1, 33)</f>
        <v>28</v>
      </c>
      <c r="BP32" s="51">
        <f ca="1">RANDBETWEEN(1, 33)</f>
        <v>5</v>
      </c>
      <c r="BQ32" s="51">
        <f ca="1">RANDBETWEEN(1, 33)</f>
        <v>19</v>
      </c>
      <c r="BR32" s="51">
        <f ca="1">RANDBETWEEN(1, 33)</f>
        <v>10</v>
      </c>
      <c r="BS32" s="51">
        <f ca="1">RANDBETWEEN(1, 33)</f>
        <v>18</v>
      </c>
      <c r="BT32" s="51">
        <f ca="1">RANDBETWEEN(1, 33)</f>
        <v>15</v>
      </c>
      <c r="BU32" s="51">
        <f ca="1">RANDBETWEEN(1, 33)</f>
        <v>19</v>
      </c>
      <c r="BV32" s="51">
        <f ca="1">RANDBETWEEN(1, 33)</f>
        <v>6</v>
      </c>
      <c r="BW32" s="51">
        <f ca="1">RANDBETWEEN(1, 33)</f>
        <v>7</v>
      </c>
      <c r="BX32" s="51">
        <f ca="1">RANDBETWEEN(1, 33)</f>
        <v>28</v>
      </c>
      <c r="BY32" s="51">
        <f ca="1">RANDBETWEEN(1, 33)</f>
        <v>25</v>
      </c>
      <c r="BZ32" s="51">
        <f ca="1">RANDBETWEEN(1, 33)</f>
        <v>19</v>
      </c>
      <c r="CA32" s="51">
        <f ca="1">RANDBETWEEN(1, 33)</f>
        <v>29</v>
      </c>
      <c r="CB32" s="51">
        <f ca="1">RANDBETWEEN(1, 33)</f>
        <v>26</v>
      </c>
      <c r="CC32" s="51">
        <f ca="1">RANDBETWEEN(1, 33)</f>
        <v>14</v>
      </c>
      <c r="CD32" s="51">
        <f ca="1">RANDBETWEEN(1, 33)</f>
        <v>19</v>
      </c>
      <c r="CE32" s="51">
        <f ca="1">RANDBETWEEN(1, 33)</f>
        <v>5</v>
      </c>
      <c r="CF32" s="51">
        <f ca="1">RANDBETWEEN(1, 33)</f>
        <v>14</v>
      </c>
      <c r="CG32" s="51">
        <f ca="1">RANDBETWEEN(1, 33)</f>
        <v>8</v>
      </c>
      <c r="CH32" s="51">
        <f ca="1">RANDBETWEEN(1, 33)</f>
        <v>16</v>
      </c>
      <c r="CI32" s="51">
        <f ca="1">RANDBETWEEN(1, 33)</f>
        <v>13</v>
      </c>
      <c r="CJ32" s="51">
        <f ca="1">RANDBETWEEN(1, 33)</f>
        <v>26</v>
      </c>
      <c r="CK32" s="51">
        <f ca="1">RANDBETWEEN(1, 33)</f>
        <v>8</v>
      </c>
      <c r="CL32" s="51">
        <f ca="1">RANDBETWEEN(1, 33)</f>
        <v>9</v>
      </c>
      <c r="CM32" s="51">
        <f ca="1">RANDBETWEEN(1, 33)</f>
        <v>1</v>
      </c>
      <c r="CN32" s="51">
        <f ca="1">RANDBETWEEN(1, 33)</f>
        <v>24</v>
      </c>
      <c r="CO32" s="51">
        <f ca="1">RANDBETWEEN(1, 33)</f>
        <v>10</v>
      </c>
      <c r="CP32" s="51">
        <f ca="1">RANDBETWEEN(1, 33)</f>
        <v>11</v>
      </c>
      <c r="CQ32" s="51">
        <f ca="1">RANDBETWEEN(1, 33)</f>
        <v>8</v>
      </c>
      <c r="CR32" s="51">
        <f ca="1">RANDBETWEEN(1, 33)</f>
        <v>2</v>
      </c>
      <c r="CS32" s="51">
        <f ca="1">RANDBETWEEN(1, 33)</f>
        <v>26</v>
      </c>
      <c r="CT32" s="51">
        <f ca="1">RANDBETWEEN(1, 33)</f>
        <v>19</v>
      </c>
      <c r="CU32" s="51">
        <f ca="1">RANDBETWEEN(1, 33)</f>
        <v>13</v>
      </c>
      <c r="CV32" s="51">
        <f ca="1">RANDBETWEEN(1, 33)</f>
        <v>26</v>
      </c>
      <c r="CW32" s="51">
        <f ca="1">RANDBETWEEN(1, 33)</f>
        <v>15</v>
      </c>
      <c r="CX32" s="51">
        <f ca="1">RANDBETWEEN(1, 33)</f>
        <v>20</v>
      </c>
      <c r="CY32" s="51">
        <f ca="1">RANDBETWEEN(1, 33)</f>
        <v>23</v>
      </c>
      <c r="CZ32" s="51">
        <f ca="1">RANDBETWEEN(1, 33)</f>
        <v>14</v>
      </c>
      <c r="DA32" s="51">
        <f ca="1">RANDBETWEEN(1, 33)</f>
        <v>31</v>
      </c>
      <c r="DB32" s="51">
        <f ca="1">RANDBETWEEN(1, 33)</f>
        <v>12</v>
      </c>
      <c r="DC32" s="51">
        <f ca="1">RANDBETWEEN(1, 33)</f>
        <v>31</v>
      </c>
      <c r="DD32" s="51">
        <f ca="1">RANDBETWEEN(1, 33)</f>
        <v>17</v>
      </c>
      <c r="DE32" s="51">
        <f ca="1">RANDBETWEEN(1, 33)</f>
        <v>12</v>
      </c>
      <c r="DF32" s="51">
        <f ca="1">RANDBETWEEN(1, 33)</f>
        <v>4</v>
      </c>
      <c r="DG32" s="51">
        <f ca="1">RANDBETWEEN(1, 33)</f>
        <v>2</v>
      </c>
      <c r="DH32" s="51">
        <f ca="1">RANDBETWEEN(1, 33)</f>
        <v>28</v>
      </c>
      <c r="DI32" s="51">
        <f ca="1">RANDBETWEEN(1, 33)</f>
        <v>32</v>
      </c>
      <c r="DJ32" s="51">
        <f ca="1">RANDBETWEEN(1, 33)</f>
        <v>13</v>
      </c>
      <c r="DK32" s="51">
        <f ca="1">RANDBETWEEN(1, 33)</f>
        <v>8</v>
      </c>
      <c r="DL32" s="51">
        <f ca="1">RANDBETWEEN(1, 33)</f>
        <v>6</v>
      </c>
      <c r="DM32" s="51">
        <f ca="1">RANDBETWEEN(1, 33)</f>
        <v>31</v>
      </c>
      <c r="DN32" s="51">
        <f ca="1">RANDBETWEEN(1, 33)</f>
        <v>28</v>
      </c>
      <c r="DO32" s="51">
        <f ca="1">RANDBETWEEN(1, 33)</f>
        <v>9</v>
      </c>
      <c r="DP32" s="51">
        <f ca="1">RANDBETWEEN(1, 33)</f>
        <v>10</v>
      </c>
      <c r="DQ32" s="51">
        <f ca="1">RANDBETWEEN(1, 33)</f>
        <v>32</v>
      </c>
      <c r="DR32" s="51">
        <f ca="1">RANDBETWEEN(1, 33)</f>
        <v>7</v>
      </c>
      <c r="DS32" s="51">
        <f ca="1">RANDBETWEEN(1, 33)</f>
        <v>3</v>
      </c>
      <c r="DT32" s="51">
        <f ca="1">RANDBETWEEN(1, 33)</f>
        <v>31</v>
      </c>
      <c r="DU32" s="51">
        <f ca="1">RANDBETWEEN(1, 33)</f>
        <v>33</v>
      </c>
      <c r="DV32" s="51">
        <f ca="1">RANDBETWEEN(1, 33)</f>
        <v>30</v>
      </c>
      <c r="DW32" s="51">
        <f ca="1">RANDBETWEEN(1, 33)</f>
        <v>14</v>
      </c>
      <c r="DX32" s="51">
        <f ca="1">RANDBETWEEN(1, 33)</f>
        <v>22</v>
      </c>
      <c r="DY32" s="51">
        <f ca="1">RANDBETWEEN(1, 33)</f>
        <v>32</v>
      </c>
      <c r="DZ32" s="51">
        <f ca="1">RANDBETWEEN(1, 33)</f>
        <v>9</v>
      </c>
      <c r="EA32" s="51">
        <f ca="1">RANDBETWEEN(1, 33)</f>
        <v>13</v>
      </c>
      <c r="EB32" s="51">
        <f ca="1">RANDBETWEEN(1, 33)</f>
        <v>11</v>
      </c>
      <c r="EC32" s="51">
        <f ca="1">RANDBETWEEN(1, 33)</f>
        <v>24</v>
      </c>
      <c r="ED32" s="51">
        <f ca="1">RANDBETWEEN(1, 33)</f>
        <v>2</v>
      </c>
      <c r="EE32" s="51">
        <f ca="1">RANDBETWEEN(1, 33)</f>
        <v>3</v>
      </c>
    </row>
    <row r="33" spans="1:135" x14ac:dyDescent="0.4">
      <c r="A33" s="31" t="str">
        <f t="shared" si="3"/>
        <v>KPI ID 26</v>
      </c>
      <c r="B33" s="49" t="s">
        <v>64</v>
      </c>
      <c r="C33" s="50" t="s">
        <v>42</v>
      </c>
      <c r="D33" s="51">
        <f ca="1">RANDBETWEEN(0, 45)</f>
        <v>1</v>
      </c>
      <c r="E33" s="51">
        <f ca="1">RANDBETWEEN(0, 45)</f>
        <v>30</v>
      </c>
      <c r="F33" s="51">
        <f ca="1">RANDBETWEEN(0, 45)</f>
        <v>9</v>
      </c>
      <c r="G33" s="51">
        <f ca="1">RANDBETWEEN(0, 45)</f>
        <v>0</v>
      </c>
      <c r="H33" s="51">
        <f ca="1">RANDBETWEEN(0, 45)</f>
        <v>36</v>
      </c>
      <c r="I33" s="51">
        <f ca="1">RANDBETWEEN(0, 45)</f>
        <v>28</v>
      </c>
      <c r="J33" s="51">
        <f ca="1">RANDBETWEEN(0, 45)</f>
        <v>16</v>
      </c>
      <c r="K33" s="51">
        <f ca="1">RANDBETWEEN(0, 45)</f>
        <v>2</v>
      </c>
      <c r="L33" s="51">
        <f ca="1">RANDBETWEEN(0, 45)</f>
        <v>8</v>
      </c>
      <c r="M33" s="51">
        <f ca="1">RANDBETWEEN(0, 45)</f>
        <v>31</v>
      </c>
      <c r="N33" s="51">
        <f ca="1">RANDBETWEEN(0, 45)</f>
        <v>11</v>
      </c>
      <c r="O33" s="51">
        <f ca="1">RANDBETWEEN(0, 45)</f>
        <v>22</v>
      </c>
      <c r="P33" s="51">
        <f ca="1">RANDBETWEEN(0, 45)</f>
        <v>21</v>
      </c>
      <c r="Q33" s="51">
        <f ca="1">RANDBETWEEN(0, 45)</f>
        <v>16</v>
      </c>
      <c r="R33" s="51">
        <f ca="1">RANDBETWEEN(0, 45)</f>
        <v>8</v>
      </c>
      <c r="S33" s="51">
        <f ca="1">RANDBETWEEN(0, 45)</f>
        <v>37</v>
      </c>
      <c r="T33" s="51">
        <f ca="1">RANDBETWEEN(0, 45)</f>
        <v>43</v>
      </c>
      <c r="U33" s="51">
        <f ca="1">RANDBETWEEN(0, 45)</f>
        <v>16</v>
      </c>
      <c r="V33" s="51">
        <f ca="1">RANDBETWEEN(0, 45)</f>
        <v>11</v>
      </c>
      <c r="W33" s="51">
        <f ca="1">RANDBETWEEN(0, 45)</f>
        <v>33</v>
      </c>
      <c r="X33" s="51">
        <f ca="1">RANDBETWEEN(0, 45)</f>
        <v>21</v>
      </c>
      <c r="Y33" s="51">
        <f ca="1">RANDBETWEEN(0, 45)</f>
        <v>25</v>
      </c>
      <c r="Z33" s="51">
        <f ca="1">RANDBETWEEN(0, 45)</f>
        <v>10</v>
      </c>
      <c r="AA33" s="51">
        <f ca="1">RANDBETWEEN(0, 45)</f>
        <v>34</v>
      </c>
      <c r="AB33" s="51">
        <f ca="1">RANDBETWEEN(0, 45)</f>
        <v>3</v>
      </c>
      <c r="AC33" s="51">
        <f ca="1">RANDBETWEEN(0, 45)</f>
        <v>18</v>
      </c>
      <c r="AD33" s="51">
        <f ca="1">RANDBETWEEN(0, 45)</f>
        <v>37</v>
      </c>
      <c r="AE33" s="51">
        <f ca="1">RANDBETWEEN(0, 45)</f>
        <v>39</v>
      </c>
      <c r="AF33" s="51">
        <f ca="1">RANDBETWEEN(0, 45)</f>
        <v>39</v>
      </c>
      <c r="AG33" s="51">
        <f ca="1">RANDBETWEEN(0, 45)</f>
        <v>33</v>
      </c>
      <c r="AH33" s="51">
        <f ca="1">RANDBETWEEN(0, 45)</f>
        <v>13</v>
      </c>
      <c r="AI33" s="51">
        <f ca="1">RANDBETWEEN(0, 45)</f>
        <v>15</v>
      </c>
      <c r="AJ33" s="51">
        <f ca="1">RANDBETWEEN(0, 45)</f>
        <v>38</v>
      </c>
      <c r="AK33" s="51">
        <f ca="1">RANDBETWEEN(0, 45)</f>
        <v>22</v>
      </c>
      <c r="AL33" s="51">
        <f ca="1">RANDBETWEEN(0, 45)</f>
        <v>20</v>
      </c>
      <c r="AM33" s="51">
        <f ca="1">RANDBETWEEN(0, 45)</f>
        <v>18</v>
      </c>
      <c r="AN33" s="51">
        <f ca="1">RANDBETWEEN(0, 45)</f>
        <v>37</v>
      </c>
      <c r="AO33" s="51">
        <f ca="1">RANDBETWEEN(0, 45)</f>
        <v>4</v>
      </c>
      <c r="AP33" s="51">
        <f ca="1">RANDBETWEEN(0, 45)</f>
        <v>11</v>
      </c>
      <c r="AQ33" s="51">
        <f ca="1">RANDBETWEEN(0, 45)</f>
        <v>17</v>
      </c>
      <c r="AR33" s="51">
        <f ca="1">RANDBETWEEN(0, 45)</f>
        <v>0</v>
      </c>
      <c r="AS33" s="51">
        <f ca="1">RANDBETWEEN(0, 45)</f>
        <v>15</v>
      </c>
      <c r="AT33" s="51">
        <f ca="1">RANDBETWEEN(0, 45)</f>
        <v>8</v>
      </c>
      <c r="AU33" s="51">
        <f ca="1">RANDBETWEEN(0, 45)</f>
        <v>36</v>
      </c>
      <c r="AV33" s="51">
        <f ca="1">RANDBETWEEN(0, 45)</f>
        <v>38</v>
      </c>
      <c r="AW33" s="51">
        <f ca="1">RANDBETWEEN(0, 45)</f>
        <v>5</v>
      </c>
      <c r="AX33" s="51">
        <f ca="1">RANDBETWEEN(0, 45)</f>
        <v>6</v>
      </c>
      <c r="AY33" s="51">
        <f ca="1">RANDBETWEEN(0, 45)</f>
        <v>45</v>
      </c>
      <c r="AZ33" s="51">
        <f ca="1">RANDBETWEEN(0, 45)</f>
        <v>39</v>
      </c>
      <c r="BA33" s="51">
        <f ca="1">RANDBETWEEN(0, 45)</f>
        <v>44</v>
      </c>
      <c r="BB33" s="51">
        <f ca="1">RANDBETWEEN(0, 45)</f>
        <v>3</v>
      </c>
      <c r="BC33" s="51">
        <f ca="1">RANDBETWEEN(0, 45)</f>
        <v>1</v>
      </c>
      <c r="BD33" s="51">
        <f ca="1">RANDBETWEEN(0, 45)</f>
        <v>29</v>
      </c>
      <c r="BE33" s="51">
        <f ca="1">RANDBETWEEN(0, 45)</f>
        <v>27</v>
      </c>
      <c r="BF33" s="51">
        <f ca="1">RANDBETWEEN(0, 45)</f>
        <v>20</v>
      </c>
      <c r="BG33" s="51">
        <f ca="1">RANDBETWEEN(0, 45)</f>
        <v>16</v>
      </c>
      <c r="BH33" s="51">
        <f ca="1">RANDBETWEEN(0, 45)</f>
        <v>16</v>
      </c>
      <c r="BI33" s="51">
        <f ca="1">RANDBETWEEN(0, 45)</f>
        <v>4</v>
      </c>
      <c r="BJ33" s="51">
        <f ca="1">RANDBETWEEN(0, 45)</f>
        <v>21</v>
      </c>
      <c r="BK33" s="51">
        <f ca="1">RANDBETWEEN(0, 45)</f>
        <v>42</v>
      </c>
      <c r="BL33" s="51">
        <f ca="1">RANDBETWEEN(0, 45)</f>
        <v>3</v>
      </c>
      <c r="BM33" s="51">
        <f ca="1">RANDBETWEEN(0, 45)</f>
        <v>1</v>
      </c>
      <c r="BN33" s="51">
        <f ca="1">RANDBETWEEN(0, 45)</f>
        <v>3</v>
      </c>
      <c r="BO33" s="51">
        <f ca="1">RANDBETWEEN(0, 45)</f>
        <v>22</v>
      </c>
      <c r="BP33" s="51">
        <f ca="1">RANDBETWEEN(0, 45)</f>
        <v>9</v>
      </c>
      <c r="BQ33" s="51">
        <f ca="1">RANDBETWEEN(0, 45)</f>
        <v>7</v>
      </c>
      <c r="BR33" s="51">
        <f ca="1">RANDBETWEEN(0, 45)</f>
        <v>10</v>
      </c>
      <c r="BS33" s="51">
        <f ca="1">RANDBETWEEN(0, 45)</f>
        <v>10</v>
      </c>
      <c r="BT33" s="51">
        <f ca="1">RANDBETWEEN(0, 45)</f>
        <v>42</v>
      </c>
      <c r="BU33" s="51">
        <f ca="1">RANDBETWEEN(0, 45)</f>
        <v>37</v>
      </c>
      <c r="BV33" s="51">
        <f ca="1">RANDBETWEEN(0, 45)</f>
        <v>29</v>
      </c>
      <c r="BW33" s="51">
        <f ca="1">RANDBETWEEN(0, 45)</f>
        <v>21</v>
      </c>
      <c r="BX33" s="51">
        <f ca="1">RANDBETWEEN(0, 45)</f>
        <v>17</v>
      </c>
      <c r="BY33" s="51">
        <f ca="1">RANDBETWEEN(0, 45)</f>
        <v>35</v>
      </c>
      <c r="BZ33" s="51">
        <f ca="1">RANDBETWEEN(0, 45)</f>
        <v>0</v>
      </c>
      <c r="CA33" s="51">
        <f ca="1">RANDBETWEEN(0, 45)</f>
        <v>34</v>
      </c>
      <c r="CB33" s="51">
        <f ca="1">RANDBETWEEN(0, 45)</f>
        <v>40</v>
      </c>
      <c r="CC33" s="51">
        <f ca="1">RANDBETWEEN(0, 45)</f>
        <v>4</v>
      </c>
      <c r="CD33" s="51">
        <f ca="1">RANDBETWEEN(0, 45)</f>
        <v>0</v>
      </c>
      <c r="CE33" s="51">
        <f ca="1">RANDBETWEEN(0, 45)</f>
        <v>20</v>
      </c>
      <c r="CF33" s="51">
        <f ca="1">RANDBETWEEN(0, 45)</f>
        <v>18</v>
      </c>
      <c r="CG33" s="51">
        <f ca="1">RANDBETWEEN(0, 45)</f>
        <v>25</v>
      </c>
      <c r="CH33" s="51">
        <f ca="1">RANDBETWEEN(0, 45)</f>
        <v>1</v>
      </c>
      <c r="CI33" s="51">
        <f ca="1">RANDBETWEEN(0, 45)</f>
        <v>8</v>
      </c>
      <c r="CJ33" s="51">
        <f ca="1">RANDBETWEEN(0, 45)</f>
        <v>36</v>
      </c>
      <c r="CK33" s="51">
        <f ca="1">RANDBETWEEN(0, 45)</f>
        <v>13</v>
      </c>
      <c r="CL33" s="51">
        <f ca="1">RANDBETWEEN(0, 45)</f>
        <v>24</v>
      </c>
      <c r="CM33" s="51">
        <f ca="1">RANDBETWEEN(0, 45)</f>
        <v>36</v>
      </c>
      <c r="CN33" s="51">
        <f ca="1">RANDBETWEEN(0, 45)</f>
        <v>45</v>
      </c>
      <c r="CO33" s="51">
        <f ca="1">RANDBETWEEN(0, 45)</f>
        <v>28</v>
      </c>
      <c r="CP33" s="51">
        <f ca="1">RANDBETWEEN(0, 45)</f>
        <v>45</v>
      </c>
      <c r="CQ33" s="51">
        <f ca="1">RANDBETWEEN(0, 45)</f>
        <v>39</v>
      </c>
      <c r="CR33" s="51">
        <f ca="1">RANDBETWEEN(0, 45)</f>
        <v>36</v>
      </c>
      <c r="CS33" s="51">
        <f ca="1">RANDBETWEEN(0, 45)</f>
        <v>28</v>
      </c>
      <c r="CT33" s="51">
        <f ca="1">RANDBETWEEN(0, 45)</f>
        <v>2</v>
      </c>
      <c r="CU33" s="51">
        <f ca="1">RANDBETWEEN(0, 45)</f>
        <v>13</v>
      </c>
      <c r="CV33" s="51">
        <f ca="1">RANDBETWEEN(0, 45)</f>
        <v>33</v>
      </c>
      <c r="CW33" s="51">
        <f ca="1">RANDBETWEEN(0, 45)</f>
        <v>22</v>
      </c>
      <c r="CX33" s="51">
        <f ca="1">RANDBETWEEN(0, 45)</f>
        <v>0</v>
      </c>
      <c r="CY33" s="51">
        <f ca="1">RANDBETWEEN(0, 45)</f>
        <v>16</v>
      </c>
      <c r="CZ33" s="51">
        <f ca="1">RANDBETWEEN(0, 45)</f>
        <v>44</v>
      </c>
      <c r="DA33" s="51">
        <f ca="1">RANDBETWEEN(0, 45)</f>
        <v>16</v>
      </c>
      <c r="DB33" s="51">
        <f ca="1">RANDBETWEEN(0, 45)</f>
        <v>5</v>
      </c>
      <c r="DC33" s="51">
        <f ca="1">RANDBETWEEN(0, 45)</f>
        <v>26</v>
      </c>
      <c r="DD33" s="51">
        <f ca="1">RANDBETWEEN(0, 45)</f>
        <v>29</v>
      </c>
      <c r="DE33" s="51">
        <f ca="1">RANDBETWEEN(0, 45)</f>
        <v>29</v>
      </c>
      <c r="DF33" s="51">
        <f ca="1">RANDBETWEEN(0, 45)</f>
        <v>5</v>
      </c>
      <c r="DG33" s="51">
        <f ca="1">RANDBETWEEN(0, 45)</f>
        <v>44</v>
      </c>
      <c r="DH33" s="51">
        <f ca="1">RANDBETWEEN(0, 45)</f>
        <v>8</v>
      </c>
      <c r="DI33" s="51">
        <f ca="1">RANDBETWEEN(0, 45)</f>
        <v>34</v>
      </c>
      <c r="DJ33" s="51">
        <f ca="1">RANDBETWEEN(0, 45)</f>
        <v>23</v>
      </c>
      <c r="DK33" s="51">
        <f ca="1">RANDBETWEEN(0, 45)</f>
        <v>11</v>
      </c>
      <c r="DL33" s="51">
        <f ca="1">RANDBETWEEN(0, 45)</f>
        <v>8</v>
      </c>
      <c r="DM33" s="51">
        <f ca="1">RANDBETWEEN(0, 45)</f>
        <v>0</v>
      </c>
      <c r="DN33" s="51">
        <f ca="1">RANDBETWEEN(0, 45)</f>
        <v>25</v>
      </c>
      <c r="DO33" s="51">
        <f ca="1">RANDBETWEEN(0, 45)</f>
        <v>8</v>
      </c>
      <c r="DP33" s="51">
        <f ca="1">RANDBETWEEN(0, 45)</f>
        <v>30</v>
      </c>
      <c r="DQ33" s="51">
        <f ca="1">RANDBETWEEN(0, 45)</f>
        <v>39</v>
      </c>
      <c r="DR33" s="51">
        <f ca="1">RANDBETWEEN(0, 45)</f>
        <v>13</v>
      </c>
      <c r="DS33" s="51">
        <f ca="1">RANDBETWEEN(0, 45)</f>
        <v>3</v>
      </c>
      <c r="DT33" s="51">
        <f ca="1">RANDBETWEEN(0, 45)</f>
        <v>31</v>
      </c>
      <c r="DU33" s="51">
        <f ca="1">RANDBETWEEN(0, 45)</f>
        <v>35</v>
      </c>
      <c r="DV33" s="51">
        <f ca="1">RANDBETWEEN(0, 45)</f>
        <v>18</v>
      </c>
      <c r="DW33" s="51">
        <f ca="1">RANDBETWEEN(0, 45)</f>
        <v>8</v>
      </c>
      <c r="DX33" s="51">
        <f ca="1">RANDBETWEEN(0, 45)</f>
        <v>34</v>
      </c>
      <c r="DY33" s="51">
        <f ca="1">RANDBETWEEN(0, 45)</f>
        <v>24</v>
      </c>
      <c r="DZ33" s="51">
        <f ca="1">RANDBETWEEN(0, 45)</f>
        <v>43</v>
      </c>
      <c r="EA33" s="51">
        <f ca="1">RANDBETWEEN(0, 45)</f>
        <v>28</v>
      </c>
      <c r="EB33" s="51">
        <f ca="1">RANDBETWEEN(0, 45)</f>
        <v>41</v>
      </c>
      <c r="EC33" s="51">
        <f ca="1">RANDBETWEEN(0, 45)</f>
        <v>36</v>
      </c>
      <c r="ED33" s="51">
        <f ca="1">RANDBETWEEN(0, 45)</f>
        <v>41</v>
      </c>
      <c r="EE33" s="51">
        <f ca="1">RANDBETWEEN(0, 45)</f>
        <v>33</v>
      </c>
    </row>
    <row r="34" spans="1:135" x14ac:dyDescent="0.4">
      <c r="A34" s="31" t="str">
        <f t="shared" si="3"/>
        <v>KPI ID 27</v>
      </c>
      <c r="B34" s="49" t="s">
        <v>64</v>
      </c>
      <c r="C34" s="50" t="s">
        <v>43</v>
      </c>
      <c r="D34" s="51">
        <f ca="1">RAND()</f>
        <v>0.45821394962327722</v>
      </c>
      <c r="E34" s="51">
        <f ca="1">RAND()</f>
        <v>0.60713273405978707</v>
      </c>
      <c r="F34" s="51">
        <f ca="1">RAND()</f>
        <v>0.27424101685153446</v>
      </c>
      <c r="G34" s="51">
        <f ca="1">RAND()</f>
        <v>0.96559965998300545</v>
      </c>
      <c r="H34" s="51">
        <f ca="1">RAND()</f>
        <v>0.73084252420580531</v>
      </c>
      <c r="I34" s="51">
        <f ca="1">RAND()</f>
        <v>0.62891304985027907</v>
      </c>
      <c r="J34" s="51">
        <f ca="1">RAND()</f>
        <v>0.32826221540874645</v>
      </c>
      <c r="K34" s="51">
        <f ca="1">RAND()</f>
        <v>0.56433774865239594</v>
      </c>
      <c r="L34" s="51">
        <f ca="1">RAND()</f>
        <v>0.44424323548901246</v>
      </c>
      <c r="M34" s="51">
        <f ca="1">RAND()</f>
        <v>0.8646911730399558</v>
      </c>
      <c r="N34" s="51">
        <f ca="1">RAND()</f>
        <v>6.4963079428335235E-2</v>
      </c>
      <c r="O34" s="51">
        <f ca="1">RAND()</f>
        <v>0.2154692992084527</v>
      </c>
      <c r="P34" s="51">
        <f ca="1">RAND()</f>
        <v>0.28340512038395604</v>
      </c>
      <c r="Q34" s="51">
        <f ca="1">RAND()</f>
        <v>0.67237583264690415</v>
      </c>
      <c r="R34" s="51">
        <f ca="1">RAND()</f>
        <v>0.64176819881432146</v>
      </c>
      <c r="S34" s="51">
        <f ca="1">RAND()</f>
        <v>0.24292708582221445</v>
      </c>
      <c r="T34" s="51">
        <f ca="1">RAND()</f>
        <v>0.43656450994554719</v>
      </c>
      <c r="U34" s="51">
        <f ca="1">RAND()</f>
        <v>0.66040556931828376</v>
      </c>
      <c r="V34" s="51">
        <f ca="1">RAND()</f>
        <v>0.28320533184635821</v>
      </c>
      <c r="W34" s="51">
        <f ca="1">RAND()</f>
        <v>0.9134221974254626</v>
      </c>
      <c r="X34" s="51">
        <f ca="1">RAND()</f>
        <v>0.14120867883668575</v>
      </c>
      <c r="Y34" s="51">
        <f ca="1">RAND()</f>
        <v>0.94084753678739053</v>
      </c>
      <c r="Z34" s="51">
        <f ca="1">RAND()</f>
        <v>0.57667454771213333</v>
      </c>
      <c r="AA34" s="51">
        <f ca="1">RAND()</f>
        <v>0.90861080426512386</v>
      </c>
      <c r="AB34" s="51">
        <f ca="1">RAND()</f>
        <v>7.9343395737311306E-3</v>
      </c>
      <c r="AC34" s="51">
        <f ca="1">RAND()</f>
        <v>0.75576073478651695</v>
      </c>
      <c r="AD34" s="51">
        <f ca="1">RAND()</f>
        <v>0.69297923442366205</v>
      </c>
      <c r="AE34" s="51">
        <f ca="1">RAND()</f>
        <v>0.7232794767519205</v>
      </c>
      <c r="AF34" s="51">
        <f ca="1">RAND()</f>
        <v>0.36446904643724698</v>
      </c>
      <c r="AG34" s="51">
        <f ca="1">RAND()</f>
        <v>0.62515725341799666</v>
      </c>
      <c r="AH34" s="51">
        <f ca="1">RAND()</f>
        <v>0.27135678531486707</v>
      </c>
      <c r="AI34" s="51">
        <f ca="1">RAND()</f>
        <v>0.28465376792367947</v>
      </c>
      <c r="AJ34" s="51">
        <f ca="1">RAND()</f>
        <v>0.46362914144290601</v>
      </c>
      <c r="AK34" s="51">
        <f ca="1">RAND()</f>
        <v>0.71317435630555825</v>
      </c>
      <c r="AL34" s="51">
        <f ca="1">RAND()</f>
        <v>0.68721830227567848</v>
      </c>
      <c r="AM34" s="51">
        <f ca="1">RAND()</f>
        <v>0.6861109692851004</v>
      </c>
      <c r="AN34" s="51">
        <f ca="1">RAND()</f>
        <v>0.22730200349815322</v>
      </c>
      <c r="AO34" s="51">
        <f ca="1">RAND()</f>
        <v>4.0622614230570675E-2</v>
      </c>
      <c r="AP34" s="51">
        <f ca="1">RAND()</f>
        <v>0.27467540312113981</v>
      </c>
      <c r="AQ34" s="51">
        <f ca="1">RAND()</f>
        <v>0.55211920595634978</v>
      </c>
      <c r="AR34" s="51">
        <f ca="1">RAND()</f>
        <v>0.83899391357381314</v>
      </c>
      <c r="AS34" s="51">
        <f ca="1">RAND()</f>
        <v>0.51596819061062005</v>
      </c>
      <c r="AT34" s="51">
        <f ca="1">RAND()</f>
        <v>0.35043035956953406</v>
      </c>
      <c r="AU34" s="51">
        <f ca="1">RAND()</f>
        <v>0.62824988154022399</v>
      </c>
      <c r="AV34" s="51">
        <f ca="1">RAND()</f>
        <v>0.776005027668069</v>
      </c>
      <c r="AW34" s="51">
        <f ca="1">RAND()</f>
        <v>0.73986032119017076</v>
      </c>
      <c r="AX34" s="51">
        <f ca="1">RAND()</f>
        <v>0.94999193059215037</v>
      </c>
      <c r="AY34" s="51">
        <f ca="1">RAND()</f>
        <v>0.17307183907217139</v>
      </c>
      <c r="AZ34" s="51">
        <f ca="1">RAND()</f>
        <v>0.7905272212030402</v>
      </c>
      <c r="BA34" s="51">
        <f ca="1">RAND()</f>
        <v>0.18799757902785508</v>
      </c>
      <c r="BB34" s="51">
        <f ca="1">RAND()</f>
        <v>6.1440040951625141E-2</v>
      </c>
      <c r="BC34" s="51">
        <f ca="1">RAND()</f>
        <v>0.17782442523551967</v>
      </c>
      <c r="BD34" s="51">
        <f ca="1">RAND()</f>
        <v>0.15324254939249693</v>
      </c>
      <c r="BE34" s="51">
        <f ca="1">RAND()</f>
        <v>0.78667062718476011</v>
      </c>
      <c r="BF34" s="51">
        <f ca="1">RAND()</f>
        <v>8.5411036597633605E-2</v>
      </c>
      <c r="BG34" s="51">
        <f ca="1">RAND()</f>
        <v>0.4308434434963988</v>
      </c>
      <c r="BH34" s="51">
        <f ca="1">RAND()</f>
        <v>0.80674965394922227</v>
      </c>
      <c r="BI34" s="51">
        <f ca="1">RAND()</f>
        <v>0.77365186846601652</v>
      </c>
      <c r="BJ34" s="51">
        <f ca="1">RAND()</f>
        <v>0.2336086466704459</v>
      </c>
      <c r="BK34" s="51">
        <f ca="1">RAND()</f>
        <v>0.46686122371793637</v>
      </c>
      <c r="BL34" s="51">
        <f ca="1">RAND()</f>
        <v>0.40540859123960615</v>
      </c>
      <c r="BM34" s="51">
        <f ca="1">RAND()</f>
        <v>8.9129146098284595E-3</v>
      </c>
      <c r="BN34" s="51">
        <f ca="1">RAND()</f>
        <v>0.66789070313486965</v>
      </c>
      <c r="BO34" s="51">
        <f ca="1">RAND()</f>
        <v>0.93554399482472272</v>
      </c>
      <c r="BP34" s="51">
        <f ca="1">RAND()</f>
        <v>0.30041465794117095</v>
      </c>
      <c r="BQ34" s="51">
        <f ca="1">RAND()</f>
        <v>0.66348119820123352</v>
      </c>
      <c r="BR34" s="51">
        <f ca="1">RAND()</f>
        <v>0.3508459621140545</v>
      </c>
      <c r="BS34" s="51">
        <f ca="1">RAND()</f>
        <v>0.38666231116671479</v>
      </c>
      <c r="BT34" s="51">
        <f ca="1">RAND()</f>
        <v>0.15430988902967946</v>
      </c>
      <c r="BU34" s="51">
        <f ca="1">RAND()</f>
        <v>0.86632141477444491</v>
      </c>
      <c r="BV34" s="51">
        <f ca="1">RAND()</f>
        <v>0.34062862707704478</v>
      </c>
      <c r="BW34" s="51">
        <f ca="1">RAND()</f>
        <v>0.31510792732523896</v>
      </c>
      <c r="BX34" s="51">
        <f ca="1">RAND()</f>
        <v>0.35029891930794599</v>
      </c>
      <c r="BY34" s="51">
        <f ca="1">RAND()</f>
        <v>0.47561864469847104</v>
      </c>
      <c r="BZ34" s="51">
        <f ca="1">RAND()</f>
        <v>0.52601062054559866</v>
      </c>
      <c r="CA34" s="51">
        <f ca="1">RAND()</f>
        <v>0.51596536300919493</v>
      </c>
      <c r="CB34" s="51">
        <f ca="1">RAND()</f>
        <v>0.63116388514735255</v>
      </c>
      <c r="CC34" s="51">
        <f ca="1">RAND()</f>
        <v>0.99598755283544438</v>
      </c>
      <c r="CD34" s="51">
        <f ca="1">RAND()</f>
        <v>0.98098963761382441</v>
      </c>
      <c r="CE34" s="51">
        <f ca="1">RAND()</f>
        <v>0.79390484061802724</v>
      </c>
      <c r="CF34" s="51">
        <f ca="1">RAND()</f>
        <v>0.18860149749483568</v>
      </c>
      <c r="CG34" s="51">
        <f ca="1">RAND()</f>
        <v>0.55173388244561206</v>
      </c>
      <c r="CH34" s="51">
        <f ca="1">RAND()</f>
        <v>0.8790132272972031</v>
      </c>
      <c r="CI34" s="51">
        <f ca="1">RAND()</f>
        <v>0.62757080845008617</v>
      </c>
      <c r="CJ34" s="51">
        <f ca="1">RAND()</f>
        <v>0.76829449659305193</v>
      </c>
      <c r="CK34" s="51">
        <f ca="1">RAND()</f>
        <v>0.1712586196589948</v>
      </c>
      <c r="CL34" s="51">
        <f ca="1">RAND()</f>
        <v>8.8618304869111597E-2</v>
      </c>
      <c r="CM34" s="51">
        <f ca="1">RAND()</f>
        <v>0.54390214108862822</v>
      </c>
      <c r="CN34" s="51">
        <f ca="1">RAND()</f>
        <v>0.18045971468947941</v>
      </c>
      <c r="CO34" s="51">
        <f ca="1">RAND()</f>
        <v>0.89381281780544763</v>
      </c>
      <c r="CP34" s="51">
        <f ca="1">RAND()</f>
        <v>0.8042719738455224</v>
      </c>
      <c r="CQ34" s="51">
        <f ca="1">RAND()</f>
        <v>0.40718602299557449</v>
      </c>
      <c r="CR34" s="51">
        <f ca="1">RAND()</f>
        <v>0.20906578439807788</v>
      </c>
      <c r="CS34" s="51">
        <f ca="1">RAND()</f>
        <v>0.36094432663272069</v>
      </c>
      <c r="CT34" s="51">
        <f ca="1">RAND()</f>
        <v>0.99565746166788738</v>
      </c>
      <c r="CU34" s="51">
        <f ca="1">RAND()</f>
        <v>0.139159881121935</v>
      </c>
      <c r="CV34" s="51">
        <f ca="1">RAND()</f>
        <v>0.41272184910578891</v>
      </c>
      <c r="CW34" s="51">
        <f ca="1">RAND()</f>
        <v>0.17991280416738509</v>
      </c>
      <c r="CX34" s="51">
        <f ca="1">RAND()</f>
        <v>0.82176489010540388</v>
      </c>
      <c r="CY34" s="51">
        <f ca="1">RAND()</f>
        <v>8.0149040728471954E-2</v>
      </c>
      <c r="CZ34" s="51">
        <f ca="1">RAND()</f>
        <v>0.97298848822393769</v>
      </c>
      <c r="DA34" s="51">
        <f ca="1">RAND()</f>
        <v>0.13543541774065015</v>
      </c>
      <c r="DB34" s="51">
        <f ca="1">RAND()</f>
        <v>0.41110426441951853</v>
      </c>
      <c r="DC34" s="51">
        <f ca="1">RAND()</f>
        <v>0.5256601603080554</v>
      </c>
      <c r="DD34" s="51">
        <f ca="1">RAND()</f>
        <v>0.20104181627503714</v>
      </c>
      <c r="DE34" s="51">
        <f ca="1">RAND()</f>
        <v>0.1257742267181885</v>
      </c>
      <c r="DF34" s="51">
        <f ca="1">RAND()</f>
        <v>0.17809770471684216</v>
      </c>
      <c r="DG34" s="51">
        <f ca="1">RAND()</f>
        <v>0.28772023269518787</v>
      </c>
      <c r="DH34" s="51">
        <f ca="1">RAND()</f>
        <v>3.9523412001934766E-2</v>
      </c>
      <c r="DI34" s="51">
        <f ca="1">RAND()</f>
        <v>0.53047317214068623</v>
      </c>
      <c r="DJ34" s="51">
        <f ca="1">RAND()</f>
        <v>0.1479834228554775</v>
      </c>
      <c r="DK34" s="51">
        <f ca="1">RAND()</f>
        <v>6.8216904250268162E-2</v>
      </c>
      <c r="DL34" s="51">
        <f ca="1">RAND()</f>
        <v>5.954739177403201E-2</v>
      </c>
      <c r="DM34" s="51">
        <f ca="1">RAND()</f>
        <v>0.11975763667036288</v>
      </c>
      <c r="DN34" s="51">
        <f ca="1">RAND()</f>
        <v>0.7696266512308032</v>
      </c>
      <c r="DO34" s="51">
        <f ca="1">RAND()</f>
        <v>0.95902423193009034</v>
      </c>
      <c r="DP34" s="51">
        <f ca="1">RAND()</f>
        <v>0.22640180502594609</v>
      </c>
      <c r="DQ34" s="51">
        <f ca="1">RAND()</f>
        <v>0.48887431068766707</v>
      </c>
      <c r="DR34" s="51">
        <f ca="1">RAND()</f>
        <v>0.3904520837679043</v>
      </c>
      <c r="DS34" s="51">
        <f ca="1">RAND()</f>
        <v>0.15891111456681772</v>
      </c>
      <c r="DT34" s="51">
        <f ca="1">RAND()</f>
        <v>0.67068172871081255</v>
      </c>
      <c r="DU34" s="51">
        <f ca="1">RAND()</f>
        <v>0.7474220280214775</v>
      </c>
      <c r="DV34" s="51">
        <f ca="1">RAND()</f>
        <v>0.86017894928477889</v>
      </c>
      <c r="DW34" s="51">
        <f ca="1">RAND()</f>
        <v>0.32891955393329386</v>
      </c>
      <c r="DX34" s="51">
        <f ca="1">RAND()</f>
        <v>0.38942946131394462</v>
      </c>
      <c r="DY34" s="51">
        <f ca="1">RAND()</f>
        <v>0.82913518662295838</v>
      </c>
      <c r="DZ34" s="51">
        <f ca="1">RAND()</f>
        <v>0.5781873107735791</v>
      </c>
      <c r="EA34" s="51">
        <f ca="1">RAND()</f>
        <v>0.6153236217452186</v>
      </c>
      <c r="EB34" s="51">
        <f ca="1">RAND()</f>
        <v>0.21275021178655351</v>
      </c>
      <c r="EC34" s="51">
        <f ca="1">RAND()</f>
        <v>0.34664493718975387</v>
      </c>
      <c r="ED34" s="51">
        <f ca="1">RAND()</f>
        <v>0.59905488389018391</v>
      </c>
      <c r="EE34" s="51">
        <f ca="1">RAND()</f>
        <v>0.15004215704370427</v>
      </c>
    </row>
    <row r="35" spans="1:135" x14ac:dyDescent="0.4">
      <c r="A35" s="31" t="str">
        <f t="shared" si="3"/>
        <v>KPI ID 28 %</v>
      </c>
      <c r="B35" s="49" t="s">
        <v>64</v>
      </c>
      <c r="C35" s="50" t="s">
        <v>44</v>
      </c>
      <c r="D35" s="51">
        <f ca="1">RAND()+1</f>
        <v>1.057684403141689</v>
      </c>
      <c r="E35" s="51">
        <f ca="1">RAND()+1</f>
        <v>1.1754840756211051</v>
      </c>
      <c r="F35" s="51">
        <f ca="1">RAND()+1</f>
        <v>1.6988800604509877</v>
      </c>
      <c r="G35" s="51">
        <f ca="1">RAND()+1</f>
        <v>1.2679494754609593</v>
      </c>
      <c r="H35" s="51">
        <f ca="1">RAND()+1</f>
        <v>1.9278423732644292</v>
      </c>
      <c r="I35" s="51">
        <f ca="1">RAND()+1</f>
        <v>1.1589980835581761</v>
      </c>
      <c r="J35" s="51">
        <f ca="1">RAND()+1</f>
        <v>1.2809801317356866</v>
      </c>
      <c r="K35" s="51">
        <f ca="1">RAND()+1</f>
        <v>1.7470353310648712</v>
      </c>
      <c r="L35" s="51">
        <f ca="1">RAND()+1</f>
        <v>1.9349601535264771</v>
      </c>
      <c r="M35" s="51">
        <f ca="1">RAND()+1</f>
        <v>1.8143560390938482</v>
      </c>
      <c r="N35" s="51">
        <f ca="1">RAND()+1</f>
        <v>1.6051862354847988</v>
      </c>
      <c r="O35" s="51">
        <f ca="1">RAND()+1</f>
        <v>1.6655095300968519</v>
      </c>
      <c r="P35" s="51">
        <f ca="1">RAND()+1</f>
        <v>1.9633236381473216</v>
      </c>
      <c r="Q35" s="51">
        <f ca="1">RAND()+1</f>
        <v>1.1162438682827212</v>
      </c>
      <c r="R35" s="51">
        <f ca="1">RAND()+1</f>
        <v>1.1320038184064605</v>
      </c>
      <c r="S35" s="51">
        <f ca="1">RAND()+1</f>
        <v>1.2396759068931167</v>
      </c>
      <c r="T35" s="51">
        <f ca="1">RAND()+1</f>
        <v>1.5001417722215347</v>
      </c>
      <c r="U35" s="51">
        <f ca="1">RAND()+1</f>
        <v>1.730228626728749</v>
      </c>
      <c r="V35" s="51">
        <f ca="1">RAND()+1</f>
        <v>1.3278326142311321</v>
      </c>
      <c r="W35" s="51">
        <f ca="1">RAND()+1</f>
        <v>1.0886645367031176</v>
      </c>
      <c r="X35" s="51">
        <f ca="1">RAND()+1</f>
        <v>1.6499815863404446</v>
      </c>
      <c r="Y35" s="51">
        <f ca="1">RAND()+1</f>
        <v>1.1691235254958463</v>
      </c>
      <c r="Z35" s="51">
        <f ca="1">RAND()+1</f>
        <v>1.276567175257004</v>
      </c>
      <c r="AA35" s="51">
        <f ca="1">RAND()+1</f>
        <v>1.6035352522459818</v>
      </c>
      <c r="AB35" s="51">
        <f ca="1">RAND()+1</f>
        <v>1.1464811472401273</v>
      </c>
      <c r="AC35" s="51">
        <f ca="1">RAND()+1</f>
        <v>1.7961318771195049</v>
      </c>
      <c r="AD35" s="51">
        <f ca="1">RAND()+1</f>
        <v>1.7583819762627488</v>
      </c>
      <c r="AE35" s="51">
        <f ca="1">RAND()+1</f>
        <v>1.9070861843215487</v>
      </c>
      <c r="AF35" s="51">
        <f ca="1">RAND()+1</f>
        <v>1.3255287925291905</v>
      </c>
      <c r="AG35" s="51">
        <f ca="1">RAND()+1</f>
        <v>1.5477115928176766</v>
      </c>
      <c r="AH35" s="51">
        <f ca="1">RAND()+1</f>
        <v>1.5097250974512408</v>
      </c>
      <c r="AI35" s="51">
        <f ca="1">RAND()+1</f>
        <v>1.5405562781462787</v>
      </c>
      <c r="AJ35" s="51">
        <f ca="1">RAND()+1</f>
        <v>1.9480304392960335</v>
      </c>
      <c r="AK35" s="51">
        <f ca="1">RAND()+1</f>
        <v>1.0418460711858795</v>
      </c>
      <c r="AL35" s="51">
        <f ca="1">RAND()+1</f>
        <v>1.6190749767112735</v>
      </c>
      <c r="AM35" s="51">
        <f ca="1">RAND()+1</f>
        <v>1.0655471583706579</v>
      </c>
      <c r="AN35" s="51">
        <f ca="1">RAND()+1</f>
        <v>1.8173881053107399</v>
      </c>
      <c r="AO35" s="51">
        <f ca="1">RAND()+1</f>
        <v>1.6910797267155966</v>
      </c>
      <c r="AP35" s="51">
        <f ca="1">RAND()+1</f>
        <v>1.5212614367549113</v>
      </c>
      <c r="AQ35" s="51">
        <f ca="1">RAND()+1</f>
        <v>1.6793220473761465</v>
      </c>
      <c r="AR35" s="51">
        <f ca="1">RAND()+1</f>
        <v>1.9944308393495418</v>
      </c>
      <c r="AS35" s="51">
        <f ca="1">RAND()+1</f>
        <v>1.6750819281248162</v>
      </c>
      <c r="AT35" s="51">
        <f ca="1">RAND()+1</f>
        <v>1.3867796772094141</v>
      </c>
      <c r="AU35" s="51">
        <f ca="1">RAND()+1</f>
        <v>1.2841421387158958</v>
      </c>
      <c r="AV35" s="51">
        <f ca="1">RAND()+1</f>
        <v>1.3189357698142905</v>
      </c>
      <c r="AW35" s="51">
        <f ca="1">RAND()+1</f>
        <v>1.6143883703339412</v>
      </c>
      <c r="AX35" s="51">
        <f ca="1">RAND()+1</f>
        <v>1.5729004253336991</v>
      </c>
      <c r="AY35" s="51">
        <f ca="1">RAND()+1</f>
        <v>1.4059676028054064</v>
      </c>
      <c r="AZ35" s="51">
        <f ca="1">RAND()+1</f>
        <v>1.0005808411891193</v>
      </c>
      <c r="BA35" s="51">
        <f ca="1">RAND()+1</f>
        <v>1.8899434153326369</v>
      </c>
      <c r="BB35" s="51">
        <f ca="1">RAND()+1</f>
        <v>1.8311326409598605</v>
      </c>
      <c r="BC35" s="51">
        <f ca="1">RAND()+1</f>
        <v>1.2677466650864055</v>
      </c>
      <c r="BD35" s="51">
        <f ca="1">RAND()+1</f>
        <v>1.1691318325735365</v>
      </c>
      <c r="BE35" s="51">
        <f ca="1">RAND()+1</f>
        <v>1.7431548798501615</v>
      </c>
      <c r="BF35" s="51">
        <f ca="1">RAND()+1</f>
        <v>1.7738368198324475</v>
      </c>
      <c r="BG35" s="51">
        <f ca="1">RAND()+1</f>
        <v>1.9062582378427919</v>
      </c>
      <c r="BH35" s="51">
        <f ca="1">RAND()+1</f>
        <v>1.5121331872433905</v>
      </c>
      <c r="BI35" s="51">
        <f ca="1">RAND()+1</f>
        <v>1.2794596382938228</v>
      </c>
      <c r="BJ35" s="51">
        <f ca="1">RAND()+1</f>
        <v>1.6090192682686046</v>
      </c>
      <c r="BK35" s="51">
        <f ca="1">RAND()+1</f>
        <v>1.0208942505636163</v>
      </c>
      <c r="BL35" s="51">
        <f ca="1">RAND()+1</f>
        <v>1.4764673510806008</v>
      </c>
      <c r="BM35" s="51">
        <f ca="1">RAND()+1</f>
        <v>1.6644111766393461</v>
      </c>
      <c r="BN35" s="51">
        <f ca="1">RAND()+1</f>
        <v>1.3894792957730031</v>
      </c>
      <c r="BO35" s="51">
        <f ca="1">RAND()+1</f>
        <v>1.4887801029618388</v>
      </c>
      <c r="BP35" s="51">
        <f ca="1">RAND()+1</f>
        <v>1.3280844373415595</v>
      </c>
      <c r="BQ35" s="51">
        <f ca="1">RAND()+1</f>
        <v>1.533961993202196</v>
      </c>
      <c r="BR35" s="51">
        <f ca="1">RAND()+1</f>
        <v>1.1914633710219962</v>
      </c>
      <c r="BS35" s="51">
        <f ca="1">RAND()+1</f>
        <v>1.5011260418455585</v>
      </c>
      <c r="BT35" s="51">
        <f ca="1">RAND()+1</f>
        <v>1.8885709489259916</v>
      </c>
      <c r="BU35" s="51">
        <f ca="1">RAND()+1</f>
        <v>1.5729024473848472</v>
      </c>
      <c r="BV35" s="51">
        <f ca="1">RAND()+1</f>
        <v>1.2067987526740893</v>
      </c>
      <c r="BW35" s="51">
        <f ca="1">RAND()+1</f>
        <v>1.8751801112559199</v>
      </c>
      <c r="BX35" s="51">
        <f ca="1">RAND()+1</f>
        <v>1.6416734375967938</v>
      </c>
      <c r="BY35" s="51">
        <f ca="1">RAND()+1</f>
        <v>1.3589608519342504</v>
      </c>
      <c r="BZ35" s="51">
        <f ca="1">RAND()+1</f>
        <v>1.6718509664509988</v>
      </c>
      <c r="CA35" s="51">
        <f ca="1">RAND()+1</f>
        <v>1.5848411250407139</v>
      </c>
      <c r="CB35" s="51">
        <f ca="1">RAND()+1</f>
        <v>1.1079947948510163</v>
      </c>
      <c r="CC35" s="51">
        <f ca="1">RAND()+1</f>
        <v>1.1623329961208575</v>
      </c>
      <c r="CD35" s="51">
        <f ca="1">RAND()+1</f>
        <v>1.455714131455077</v>
      </c>
      <c r="CE35" s="51">
        <f ca="1">RAND()+1</f>
        <v>1.7357710832216746</v>
      </c>
      <c r="CF35" s="51">
        <f ca="1">RAND()+1</f>
        <v>1.4124658267375203</v>
      </c>
      <c r="CG35" s="51">
        <f ca="1">RAND()+1</f>
        <v>1.4030118621279006</v>
      </c>
      <c r="CH35" s="51">
        <f ca="1">RAND()+1</f>
        <v>1.0676224695889593</v>
      </c>
      <c r="CI35" s="51">
        <f ca="1">RAND()+1</f>
        <v>1.861503991617443</v>
      </c>
      <c r="CJ35" s="51">
        <f ca="1">RAND()+1</f>
        <v>1.4160434187712569</v>
      </c>
      <c r="CK35" s="51">
        <f ca="1">RAND()+1</f>
        <v>1.6037654615886681</v>
      </c>
      <c r="CL35" s="51">
        <f ca="1">RAND()+1</f>
        <v>1.8663243263626317</v>
      </c>
      <c r="CM35" s="51">
        <f ca="1">RAND()+1</f>
        <v>1.7098017103838112</v>
      </c>
      <c r="CN35" s="51">
        <f ca="1">RAND()+1</f>
        <v>1.3406014935868633</v>
      </c>
      <c r="CO35" s="51">
        <f ca="1">RAND()+1</f>
        <v>1.9855175807089029</v>
      </c>
      <c r="CP35" s="51">
        <f ca="1">RAND()+1</f>
        <v>1.0107401080474598</v>
      </c>
      <c r="CQ35" s="51">
        <f ca="1">RAND()+1</f>
        <v>1.7860807910181808</v>
      </c>
      <c r="CR35" s="51">
        <f ca="1">RAND()+1</f>
        <v>1.4716350523506916</v>
      </c>
      <c r="CS35" s="51">
        <f ca="1">RAND()+1</f>
        <v>1.2627651570698761</v>
      </c>
      <c r="CT35" s="51">
        <f ca="1">RAND()+1</f>
        <v>1.2669633867595682</v>
      </c>
      <c r="CU35" s="51">
        <f ca="1">RAND()+1</f>
        <v>1.1498098195692206</v>
      </c>
      <c r="CV35" s="51">
        <f ca="1">RAND()+1</f>
        <v>1.3932865096523446</v>
      </c>
      <c r="CW35" s="51">
        <f ca="1">RAND()+1</f>
        <v>1.0686401396453971</v>
      </c>
      <c r="CX35" s="51">
        <f ca="1">RAND()+1</f>
        <v>1.1060826807852937</v>
      </c>
      <c r="CY35" s="51">
        <f ca="1">RAND()+1</f>
        <v>1.1712065022378955</v>
      </c>
      <c r="CZ35" s="51">
        <f ca="1">RAND()+1</f>
        <v>1.9471969689239428</v>
      </c>
      <c r="DA35" s="51">
        <f ca="1">RAND()+1</f>
        <v>1.6680028279459991</v>
      </c>
      <c r="DB35" s="51">
        <f ca="1">RAND()+1</f>
        <v>1.2531349255396931</v>
      </c>
      <c r="DC35" s="51">
        <f ca="1">RAND()+1</f>
        <v>1.7646150606587112</v>
      </c>
      <c r="DD35" s="51">
        <f ca="1">RAND()+1</f>
        <v>1.1817185695535741</v>
      </c>
      <c r="DE35" s="51">
        <f ca="1">RAND()+1</f>
        <v>1.6923082277495904</v>
      </c>
      <c r="DF35" s="51">
        <f ca="1">RAND()+1</f>
        <v>1.6904386282714119</v>
      </c>
      <c r="DG35" s="51">
        <f ca="1">RAND()+1</f>
        <v>1.5869014859644803</v>
      </c>
      <c r="DH35" s="51">
        <f ca="1">RAND()+1</f>
        <v>1.0583385163883055</v>
      </c>
      <c r="DI35" s="51">
        <f ca="1">RAND()+1</f>
        <v>1.809849926977166</v>
      </c>
      <c r="DJ35" s="51">
        <f ca="1">RAND()+1</f>
        <v>1.7935601547362512</v>
      </c>
      <c r="DK35" s="51">
        <f ca="1">RAND()+1</f>
        <v>1.0659088057972512</v>
      </c>
      <c r="DL35" s="51">
        <f ca="1">RAND()+1</f>
        <v>1.0103525638720319</v>
      </c>
      <c r="DM35" s="51">
        <f ca="1">RAND()+1</f>
        <v>1.2033953199188736</v>
      </c>
      <c r="DN35" s="51">
        <f ca="1">RAND()+1</f>
        <v>1.3550542700542132</v>
      </c>
      <c r="DO35" s="51">
        <f ca="1">RAND()+1</f>
        <v>1.710272902547151</v>
      </c>
      <c r="DP35" s="51">
        <f ca="1">RAND()+1</f>
        <v>1.6103840035986792</v>
      </c>
      <c r="DQ35" s="51">
        <f ca="1">RAND()+1</f>
        <v>1.5712677533214565</v>
      </c>
      <c r="DR35" s="51">
        <f ca="1">RAND()+1</f>
        <v>1.2727500817247446</v>
      </c>
      <c r="DS35" s="51">
        <f ca="1">RAND()+1</f>
        <v>1.9954925201653282</v>
      </c>
      <c r="DT35" s="51">
        <f ca="1">RAND()+1</f>
        <v>1.7170251544824433</v>
      </c>
      <c r="DU35" s="51">
        <f ca="1">RAND()+1</f>
        <v>1.3365292644248705</v>
      </c>
      <c r="DV35" s="51">
        <f ca="1">RAND()+1</f>
        <v>1.1271474138581727</v>
      </c>
      <c r="DW35" s="51">
        <f ca="1">RAND()+1</f>
        <v>1.216108498501397</v>
      </c>
      <c r="DX35" s="51">
        <f ca="1">RAND()+1</f>
        <v>1.8250392176948722</v>
      </c>
      <c r="DY35" s="51">
        <f ca="1">RAND()+1</f>
        <v>1.1806299990432501</v>
      </c>
      <c r="DZ35" s="51">
        <f ca="1">RAND()+1</f>
        <v>1.7655799321049599</v>
      </c>
      <c r="EA35" s="51">
        <f ca="1">RAND()+1</f>
        <v>1.6175364438066482</v>
      </c>
      <c r="EB35" s="51">
        <f ca="1">RAND()+1</f>
        <v>1.386626319249717</v>
      </c>
      <c r="EC35" s="51">
        <f ca="1">RAND()+1</f>
        <v>1.5884154602249136</v>
      </c>
      <c r="ED35" s="51">
        <f ca="1">RAND()+1</f>
        <v>1.6168791127363822</v>
      </c>
      <c r="EE35" s="51">
        <f ca="1">RAND()+1</f>
        <v>1.3551312326551865</v>
      </c>
    </row>
    <row r="36" spans="1:135" x14ac:dyDescent="0.4">
      <c r="A36" s="31" t="str">
        <f t="shared" si="3"/>
        <v>KPI ID 29 %</v>
      </c>
      <c r="B36" s="49" t="s">
        <v>64</v>
      </c>
      <c r="C36" s="50" t="s">
        <v>45</v>
      </c>
      <c r="D36" s="51">
        <f ca="1">RANDBETWEEN(20, 45)</f>
        <v>34</v>
      </c>
      <c r="E36" s="51">
        <f ca="1">RANDBETWEEN(20, 45)</f>
        <v>29</v>
      </c>
      <c r="F36" s="51">
        <f ca="1">RANDBETWEEN(20, 45)</f>
        <v>44</v>
      </c>
      <c r="G36" s="51">
        <f ca="1">RANDBETWEEN(20, 45)</f>
        <v>20</v>
      </c>
      <c r="H36" s="51">
        <f ca="1">RANDBETWEEN(20, 45)</f>
        <v>38</v>
      </c>
      <c r="I36" s="51">
        <f ca="1">RANDBETWEEN(20, 45)</f>
        <v>29</v>
      </c>
      <c r="J36" s="51">
        <f ca="1">RANDBETWEEN(20, 45)</f>
        <v>27</v>
      </c>
      <c r="K36" s="51">
        <f ca="1">RANDBETWEEN(20, 45)</f>
        <v>41</v>
      </c>
      <c r="L36" s="51">
        <f ca="1">RANDBETWEEN(20, 45)</f>
        <v>22</v>
      </c>
      <c r="M36" s="51">
        <f ca="1">RANDBETWEEN(20, 45)</f>
        <v>28</v>
      </c>
      <c r="N36" s="51">
        <f ca="1">RANDBETWEEN(20, 45)</f>
        <v>31</v>
      </c>
      <c r="O36" s="51">
        <f ca="1">RANDBETWEEN(20, 45)</f>
        <v>40</v>
      </c>
      <c r="P36" s="51">
        <f ca="1">RANDBETWEEN(20, 45)</f>
        <v>23</v>
      </c>
      <c r="Q36" s="51">
        <f ca="1">RANDBETWEEN(20, 45)</f>
        <v>38</v>
      </c>
      <c r="R36" s="51">
        <f ca="1">RANDBETWEEN(20, 45)</f>
        <v>31</v>
      </c>
      <c r="S36" s="51">
        <f ca="1">RANDBETWEEN(20, 45)</f>
        <v>41</v>
      </c>
      <c r="T36" s="51">
        <f ca="1">RANDBETWEEN(20, 45)</f>
        <v>25</v>
      </c>
      <c r="U36" s="51">
        <f ca="1">RANDBETWEEN(20, 45)</f>
        <v>24</v>
      </c>
      <c r="V36" s="51">
        <f ca="1">RANDBETWEEN(20, 45)</f>
        <v>41</v>
      </c>
      <c r="W36" s="51">
        <f ca="1">RANDBETWEEN(20, 45)</f>
        <v>42</v>
      </c>
      <c r="X36" s="51">
        <f ca="1">RANDBETWEEN(20, 45)</f>
        <v>28</v>
      </c>
      <c r="Y36" s="51">
        <f ca="1">RANDBETWEEN(20, 45)</f>
        <v>39</v>
      </c>
      <c r="Z36" s="51">
        <f ca="1">RANDBETWEEN(20, 45)</f>
        <v>40</v>
      </c>
      <c r="AA36" s="51">
        <f ca="1">RANDBETWEEN(20, 45)</f>
        <v>32</v>
      </c>
      <c r="AB36" s="51">
        <f ca="1">RANDBETWEEN(20, 45)</f>
        <v>28</v>
      </c>
      <c r="AC36" s="51">
        <f ca="1">RANDBETWEEN(20, 45)</f>
        <v>42</v>
      </c>
      <c r="AD36" s="51">
        <f ca="1">RANDBETWEEN(20, 45)</f>
        <v>35</v>
      </c>
      <c r="AE36" s="51">
        <f ca="1">RANDBETWEEN(20, 45)</f>
        <v>41</v>
      </c>
      <c r="AF36" s="51">
        <f ca="1">RANDBETWEEN(20, 45)</f>
        <v>41</v>
      </c>
      <c r="AG36" s="51">
        <f ca="1">RANDBETWEEN(20, 45)</f>
        <v>44</v>
      </c>
      <c r="AH36" s="51">
        <f ca="1">RANDBETWEEN(20, 45)</f>
        <v>37</v>
      </c>
      <c r="AI36" s="51">
        <f ca="1">RANDBETWEEN(20, 45)</f>
        <v>39</v>
      </c>
      <c r="AJ36" s="51">
        <f ca="1">RANDBETWEEN(20, 45)</f>
        <v>43</v>
      </c>
      <c r="AK36" s="51">
        <f ca="1">RANDBETWEEN(20, 45)</f>
        <v>29</v>
      </c>
      <c r="AL36" s="51">
        <f ca="1">RANDBETWEEN(20, 45)</f>
        <v>24</v>
      </c>
      <c r="AM36" s="51">
        <f ca="1">RANDBETWEEN(20, 45)</f>
        <v>26</v>
      </c>
      <c r="AN36" s="51">
        <f ca="1">RANDBETWEEN(20, 45)</f>
        <v>41</v>
      </c>
      <c r="AO36" s="51">
        <f ca="1">RANDBETWEEN(20, 45)</f>
        <v>26</v>
      </c>
      <c r="AP36" s="51">
        <f ca="1">RANDBETWEEN(20, 45)</f>
        <v>30</v>
      </c>
      <c r="AQ36" s="51">
        <f ca="1">RANDBETWEEN(20, 45)</f>
        <v>36</v>
      </c>
      <c r="AR36" s="51">
        <f ca="1">RANDBETWEEN(20, 45)</f>
        <v>22</v>
      </c>
      <c r="AS36" s="51">
        <f ca="1">RANDBETWEEN(20, 45)</f>
        <v>30</v>
      </c>
      <c r="AT36" s="51">
        <f ca="1">RANDBETWEEN(20, 45)</f>
        <v>42</v>
      </c>
      <c r="AU36" s="51">
        <f ca="1">RANDBETWEEN(20, 45)</f>
        <v>34</v>
      </c>
      <c r="AV36" s="51">
        <f ca="1">RANDBETWEEN(20, 45)</f>
        <v>36</v>
      </c>
      <c r="AW36" s="51">
        <f ca="1">RANDBETWEEN(20, 45)</f>
        <v>40</v>
      </c>
      <c r="AX36" s="51">
        <f ca="1">RANDBETWEEN(20, 45)</f>
        <v>24</v>
      </c>
      <c r="AY36" s="51">
        <f ca="1">RANDBETWEEN(20, 45)</f>
        <v>23</v>
      </c>
      <c r="AZ36" s="51">
        <f ca="1">RANDBETWEEN(20, 45)</f>
        <v>33</v>
      </c>
      <c r="BA36" s="51">
        <f ca="1">RANDBETWEEN(20, 45)</f>
        <v>35</v>
      </c>
      <c r="BB36" s="51">
        <f ca="1">RANDBETWEEN(20, 45)</f>
        <v>43</v>
      </c>
      <c r="BC36" s="51">
        <f ca="1">RANDBETWEEN(20, 45)</f>
        <v>25</v>
      </c>
      <c r="BD36" s="51">
        <f ca="1">RANDBETWEEN(20, 45)</f>
        <v>33</v>
      </c>
      <c r="BE36" s="51">
        <f ca="1">RANDBETWEEN(20, 45)</f>
        <v>42</v>
      </c>
      <c r="BF36" s="51">
        <f ca="1">RANDBETWEEN(20, 45)</f>
        <v>22</v>
      </c>
      <c r="BG36" s="51">
        <f ca="1">RANDBETWEEN(20, 45)</f>
        <v>43</v>
      </c>
      <c r="BH36" s="51">
        <f ca="1">RANDBETWEEN(20, 45)</f>
        <v>38</v>
      </c>
      <c r="BI36" s="51">
        <f ca="1">RANDBETWEEN(20, 45)</f>
        <v>21</v>
      </c>
      <c r="BJ36" s="51">
        <f ca="1">RANDBETWEEN(20, 45)</f>
        <v>40</v>
      </c>
      <c r="BK36" s="51">
        <f ca="1">RANDBETWEEN(20, 45)</f>
        <v>27</v>
      </c>
      <c r="BL36" s="51">
        <f ca="1">RANDBETWEEN(20, 45)</f>
        <v>26</v>
      </c>
      <c r="BM36" s="51">
        <f ca="1">RANDBETWEEN(20, 45)</f>
        <v>41</v>
      </c>
      <c r="BN36" s="51">
        <f ca="1">RANDBETWEEN(20, 45)</f>
        <v>27</v>
      </c>
      <c r="BO36" s="51">
        <f ca="1">RANDBETWEEN(20, 45)</f>
        <v>36</v>
      </c>
      <c r="BP36" s="51">
        <f ca="1">RANDBETWEEN(20, 45)</f>
        <v>42</v>
      </c>
      <c r="BQ36" s="51">
        <f ca="1">RANDBETWEEN(20, 45)</f>
        <v>27</v>
      </c>
      <c r="BR36" s="51">
        <f ca="1">RANDBETWEEN(20, 45)</f>
        <v>43</v>
      </c>
      <c r="BS36" s="51">
        <f ca="1">RANDBETWEEN(20, 45)</f>
        <v>36</v>
      </c>
      <c r="BT36" s="51">
        <f ca="1">RANDBETWEEN(20, 45)</f>
        <v>37</v>
      </c>
      <c r="BU36" s="51">
        <f ca="1">RANDBETWEEN(20, 45)</f>
        <v>29</v>
      </c>
      <c r="BV36" s="51">
        <f ca="1">RANDBETWEEN(20, 45)</f>
        <v>38</v>
      </c>
      <c r="BW36" s="51">
        <f ca="1">RANDBETWEEN(20, 45)</f>
        <v>39</v>
      </c>
      <c r="BX36" s="51">
        <f ca="1">RANDBETWEEN(20, 45)</f>
        <v>34</v>
      </c>
      <c r="BY36" s="51">
        <f ca="1">RANDBETWEEN(20, 45)</f>
        <v>33</v>
      </c>
      <c r="BZ36" s="51">
        <f ca="1">RANDBETWEEN(20, 45)</f>
        <v>34</v>
      </c>
      <c r="CA36" s="51">
        <f ca="1">RANDBETWEEN(20, 45)</f>
        <v>22</v>
      </c>
      <c r="CB36" s="51">
        <f ca="1">RANDBETWEEN(20, 45)</f>
        <v>38</v>
      </c>
      <c r="CC36" s="51">
        <f ca="1">RANDBETWEEN(20, 45)</f>
        <v>20</v>
      </c>
      <c r="CD36" s="51">
        <f ca="1">RANDBETWEEN(20, 45)</f>
        <v>24</v>
      </c>
      <c r="CE36" s="51">
        <f ca="1">RANDBETWEEN(20, 45)</f>
        <v>37</v>
      </c>
      <c r="CF36" s="51">
        <f ca="1">RANDBETWEEN(20, 45)</f>
        <v>42</v>
      </c>
      <c r="CG36" s="51">
        <f ca="1">RANDBETWEEN(20, 45)</f>
        <v>39</v>
      </c>
      <c r="CH36" s="51">
        <f ca="1">RANDBETWEEN(20, 45)</f>
        <v>45</v>
      </c>
      <c r="CI36" s="51">
        <f ca="1">RANDBETWEEN(20, 45)</f>
        <v>38</v>
      </c>
      <c r="CJ36" s="51">
        <f ca="1">RANDBETWEEN(20, 45)</f>
        <v>41</v>
      </c>
      <c r="CK36" s="51">
        <f ca="1">RANDBETWEEN(20, 45)</f>
        <v>45</v>
      </c>
      <c r="CL36" s="51">
        <f ca="1">RANDBETWEEN(20, 45)</f>
        <v>41</v>
      </c>
      <c r="CM36" s="51">
        <f ca="1">RANDBETWEEN(20, 45)</f>
        <v>35</v>
      </c>
      <c r="CN36" s="51">
        <f ca="1">RANDBETWEEN(20, 45)</f>
        <v>25</v>
      </c>
      <c r="CO36" s="51">
        <f ca="1">RANDBETWEEN(20, 45)</f>
        <v>44</v>
      </c>
      <c r="CP36" s="51">
        <f ca="1">RANDBETWEEN(20, 45)</f>
        <v>28</v>
      </c>
      <c r="CQ36" s="51">
        <f ca="1">RANDBETWEEN(20, 45)</f>
        <v>32</v>
      </c>
      <c r="CR36" s="51">
        <f ca="1">RANDBETWEEN(20, 45)</f>
        <v>21</v>
      </c>
      <c r="CS36" s="51">
        <f ca="1">RANDBETWEEN(20, 45)</f>
        <v>37</v>
      </c>
      <c r="CT36" s="51">
        <f ca="1">RANDBETWEEN(20, 45)</f>
        <v>24</v>
      </c>
      <c r="CU36" s="51">
        <f ca="1">RANDBETWEEN(20, 45)</f>
        <v>26</v>
      </c>
      <c r="CV36" s="51">
        <f ca="1">RANDBETWEEN(20, 45)</f>
        <v>29</v>
      </c>
      <c r="CW36" s="51">
        <f ca="1">RANDBETWEEN(20, 45)</f>
        <v>24</v>
      </c>
      <c r="CX36" s="51">
        <f ca="1">RANDBETWEEN(20, 45)</f>
        <v>30</v>
      </c>
      <c r="CY36" s="51">
        <f ca="1">RANDBETWEEN(20, 45)</f>
        <v>31</v>
      </c>
      <c r="CZ36" s="51">
        <f ca="1">RANDBETWEEN(20, 45)</f>
        <v>40</v>
      </c>
      <c r="DA36" s="51">
        <f ca="1">RANDBETWEEN(20, 45)</f>
        <v>27</v>
      </c>
      <c r="DB36" s="51">
        <f ca="1">RANDBETWEEN(20, 45)</f>
        <v>41</v>
      </c>
      <c r="DC36" s="51">
        <f ca="1">RANDBETWEEN(20, 45)</f>
        <v>32</v>
      </c>
      <c r="DD36" s="51">
        <f ca="1">RANDBETWEEN(20, 45)</f>
        <v>40</v>
      </c>
      <c r="DE36" s="51">
        <f ca="1">RANDBETWEEN(20, 45)</f>
        <v>45</v>
      </c>
      <c r="DF36" s="51">
        <f ca="1">RANDBETWEEN(20, 45)</f>
        <v>40</v>
      </c>
      <c r="DG36" s="51">
        <f ca="1">RANDBETWEEN(20, 45)</f>
        <v>26</v>
      </c>
      <c r="DH36" s="51">
        <f ca="1">RANDBETWEEN(20, 45)</f>
        <v>22</v>
      </c>
      <c r="DI36" s="51">
        <f ca="1">RANDBETWEEN(20, 45)</f>
        <v>24</v>
      </c>
      <c r="DJ36" s="51">
        <f ca="1">RANDBETWEEN(20, 45)</f>
        <v>38</v>
      </c>
      <c r="DK36" s="51">
        <f ca="1">RANDBETWEEN(20, 45)</f>
        <v>26</v>
      </c>
      <c r="DL36" s="51">
        <f ca="1">RANDBETWEEN(20, 45)</f>
        <v>36</v>
      </c>
      <c r="DM36" s="51">
        <f ca="1">RANDBETWEEN(20, 45)</f>
        <v>42</v>
      </c>
      <c r="DN36" s="51">
        <f ca="1">RANDBETWEEN(20, 45)</f>
        <v>42</v>
      </c>
      <c r="DO36" s="51">
        <f ca="1">RANDBETWEEN(20, 45)</f>
        <v>35</v>
      </c>
      <c r="DP36" s="51">
        <f ca="1">RANDBETWEEN(20, 45)</f>
        <v>38</v>
      </c>
      <c r="DQ36" s="51">
        <f ca="1">RANDBETWEEN(20, 45)</f>
        <v>40</v>
      </c>
      <c r="DR36" s="51">
        <f ca="1">RANDBETWEEN(20, 45)</f>
        <v>41</v>
      </c>
      <c r="DS36" s="51">
        <f ca="1">RANDBETWEEN(20, 45)</f>
        <v>33</v>
      </c>
      <c r="DT36" s="51">
        <f ca="1">RANDBETWEEN(20, 45)</f>
        <v>24</v>
      </c>
      <c r="DU36" s="51">
        <f ca="1">RANDBETWEEN(20, 45)</f>
        <v>31</v>
      </c>
      <c r="DV36" s="51">
        <f ca="1">RANDBETWEEN(20, 45)</f>
        <v>42</v>
      </c>
      <c r="DW36" s="51">
        <f ca="1">RANDBETWEEN(20, 45)</f>
        <v>29</v>
      </c>
      <c r="DX36" s="51">
        <f ca="1">RANDBETWEEN(20, 45)</f>
        <v>29</v>
      </c>
      <c r="DY36" s="51">
        <f ca="1">RANDBETWEEN(20, 45)</f>
        <v>42</v>
      </c>
      <c r="DZ36" s="51">
        <f ca="1">RANDBETWEEN(20, 45)</f>
        <v>39</v>
      </c>
      <c r="EA36" s="51">
        <f ca="1">RANDBETWEEN(20, 45)</f>
        <v>43</v>
      </c>
      <c r="EB36" s="51">
        <f ca="1">RANDBETWEEN(20, 45)</f>
        <v>28</v>
      </c>
      <c r="EC36" s="51">
        <f ca="1">RANDBETWEEN(20, 45)</f>
        <v>45</v>
      </c>
      <c r="ED36" s="51">
        <f ca="1">RANDBETWEEN(20, 45)</f>
        <v>39</v>
      </c>
      <c r="EE36" s="51">
        <f ca="1">RANDBETWEEN(20, 45)</f>
        <v>21</v>
      </c>
    </row>
    <row r="37" spans="1:135" x14ac:dyDescent="0.4">
      <c r="A37" s="31" t="str">
        <f t="shared" si="3"/>
        <v>KPI ID 30</v>
      </c>
      <c r="B37" s="49" t="s">
        <v>64</v>
      </c>
      <c r="C37" s="50" t="s">
        <v>46</v>
      </c>
      <c r="D37" s="51">
        <f ca="1">RANDBETWEEN(20, 45)</f>
        <v>35</v>
      </c>
      <c r="E37" s="51">
        <f ca="1">RANDBETWEEN(20, 45)</f>
        <v>34</v>
      </c>
      <c r="F37" s="51">
        <f ca="1">RANDBETWEEN(20, 45)</f>
        <v>25</v>
      </c>
      <c r="G37" s="51">
        <f ca="1">RANDBETWEEN(20, 45)</f>
        <v>22</v>
      </c>
      <c r="H37" s="51">
        <f ca="1">RANDBETWEEN(20, 45)</f>
        <v>43</v>
      </c>
      <c r="I37" s="51">
        <f ca="1">RANDBETWEEN(20, 45)</f>
        <v>40</v>
      </c>
      <c r="J37" s="51">
        <f ca="1">RANDBETWEEN(20, 45)</f>
        <v>21</v>
      </c>
      <c r="K37" s="51">
        <f ca="1">RANDBETWEEN(20, 45)</f>
        <v>22</v>
      </c>
      <c r="L37" s="51">
        <f ca="1">RANDBETWEEN(20, 45)</f>
        <v>31</v>
      </c>
      <c r="M37" s="51">
        <f ca="1">RANDBETWEEN(20, 45)</f>
        <v>23</v>
      </c>
      <c r="N37" s="51">
        <f ca="1">RANDBETWEEN(20, 45)</f>
        <v>40</v>
      </c>
      <c r="O37" s="51">
        <f ca="1">RANDBETWEEN(20, 45)</f>
        <v>44</v>
      </c>
      <c r="P37" s="51">
        <f ca="1">RANDBETWEEN(20, 45)</f>
        <v>45</v>
      </c>
      <c r="Q37" s="51">
        <f ca="1">RANDBETWEEN(20, 45)</f>
        <v>41</v>
      </c>
      <c r="R37" s="51">
        <f ca="1">RANDBETWEEN(20, 45)</f>
        <v>36</v>
      </c>
      <c r="S37" s="51">
        <f ca="1">RANDBETWEEN(20, 45)</f>
        <v>25</v>
      </c>
      <c r="T37" s="51">
        <f ca="1">RANDBETWEEN(20, 45)</f>
        <v>24</v>
      </c>
      <c r="U37" s="51">
        <f ca="1">RANDBETWEEN(20, 45)</f>
        <v>30</v>
      </c>
      <c r="V37" s="51">
        <f ca="1">RANDBETWEEN(20, 45)</f>
        <v>31</v>
      </c>
      <c r="W37" s="51">
        <f ca="1">RANDBETWEEN(20, 45)</f>
        <v>27</v>
      </c>
      <c r="X37" s="51">
        <f ca="1">RANDBETWEEN(20, 45)</f>
        <v>35</v>
      </c>
      <c r="Y37" s="51">
        <f ca="1">RANDBETWEEN(20, 45)</f>
        <v>24</v>
      </c>
      <c r="Z37" s="51">
        <f ca="1">RANDBETWEEN(20, 45)</f>
        <v>23</v>
      </c>
      <c r="AA37" s="51">
        <f ca="1">RANDBETWEEN(20, 45)</f>
        <v>45</v>
      </c>
      <c r="AB37" s="51">
        <f ca="1">RANDBETWEEN(20, 45)</f>
        <v>30</v>
      </c>
      <c r="AC37" s="51">
        <f ca="1">RANDBETWEEN(20, 45)</f>
        <v>36</v>
      </c>
      <c r="AD37" s="51">
        <f ca="1">RANDBETWEEN(20, 45)</f>
        <v>45</v>
      </c>
      <c r="AE37" s="51">
        <f ca="1">RANDBETWEEN(20, 45)</f>
        <v>24</v>
      </c>
      <c r="AF37" s="51">
        <f ca="1">RANDBETWEEN(20, 45)</f>
        <v>45</v>
      </c>
      <c r="AG37" s="51">
        <f ca="1">RANDBETWEEN(20, 45)</f>
        <v>26</v>
      </c>
      <c r="AH37" s="51">
        <f ca="1">RANDBETWEEN(20, 45)</f>
        <v>21</v>
      </c>
      <c r="AI37" s="51">
        <f ca="1">RANDBETWEEN(20, 45)</f>
        <v>22</v>
      </c>
      <c r="AJ37" s="51">
        <f ca="1">RANDBETWEEN(20, 45)</f>
        <v>37</v>
      </c>
      <c r="AK37" s="51">
        <f ca="1">RANDBETWEEN(20, 45)</f>
        <v>24</v>
      </c>
      <c r="AL37" s="51">
        <f ca="1">RANDBETWEEN(20, 45)</f>
        <v>36</v>
      </c>
      <c r="AM37" s="51">
        <f ca="1">RANDBETWEEN(20, 45)</f>
        <v>40</v>
      </c>
      <c r="AN37" s="51">
        <f ca="1">RANDBETWEEN(20, 45)</f>
        <v>41</v>
      </c>
      <c r="AO37" s="51">
        <f ca="1">RANDBETWEEN(20, 45)</f>
        <v>37</v>
      </c>
      <c r="AP37" s="51">
        <f ca="1">RANDBETWEEN(20, 45)</f>
        <v>42</v>
      </c>
      <c r="AQ37" s="51">
        <f ca="1">RANDBETWEEN(20, 45)</f>
        <v>30</v>
      </c>
      <c r="AR37" s="51">
        <f ca="1">RANDBETWEEN(20, 45)</f>
        <v>40</v>
      </c>
      <c r="AS37" s="51">
        <f ca="1">RANDBETWEEN(20, 45)</f>
        <v>23</v>
      </c>
      <c r="AT37" s="51">
        <f ca="1">RANDBETWEEN(20, 45)</f>
        <v>45</v>
      </c>
      <c r="AU37" s="51">
        <f ca="1">RANDBETWEEN(20, 45)</f>
        <v>28</v>
      </c>
      <c r="AV37" s="51">
        <f ca="1">RANDBETWEEN(20, 45)</f>
        <v>37</v>
      </c>
      <c r="AW37" s="51">
        <f ca="1">RANDBETWEEN(20, 45)</f>
        <v>45</v>
      </c>
      <c r="AX37" s="51">
        <f ca="1">RANDBETWEEN(20, 45)</f>
        <v>35</v>
      </c>
      <c r="AY37" s="51">
        <f ca="1">RANDBETWEEN(20, 45)</f>
        <v>37</v>
      </c>
      <c r="AZ37" s="51">
        <f ca="1">RANDBETWEEN(20, 45)</f>
        <v>39</v>
      </c>
      <c r="BA37" s="51">
        <f ca="1">RANDBETWEEN(20, 45)</f>
        <v>34</v>
      </c>
      <c r="BB37" s="51">
        <f ca="1">RANDBETWEEN(20, 45)</f>
        <v>33</v>
      </c>
      <c r="BC37" s="51">
        <f ca="1">RANDBETWEEN(20, 45)</f>
        <v>22</v>
      </c>
      <c r="BD37" s="51">
        <f ca="1">RANDBETWEEN(20, 45)</f>
        <v>44</v>
      </c>
      <c r="BE37" s="51">
        <f ca="1">RANDBETWEEN(20, 45)</f>
        <v>45</v>
      </c>
      <c r="BF37" s="51">
        <f ca="1">RANDBETWEEN(20, 45)</f>
        <v>43</v>
      </c>
      <c r="BG37" s="51">
        <f ca="1">RANDBETWEEN(20, 45)</f>
        <v>32</v>
      </c>
      <c r="BH37" s="51">
        <f ca="1">RANDBETWEEN(20, 45)</f>
        <v>36</v>
      </c>
      <c r="BI37" s="51">
        <f ca="1">RANDBETWEEN(20, 45)</f>
        <v>23</v>
      </c>
      <c r="BJ37" s="51">
        <f ca="1">RANDBETWEEN(20, 45)</f>
        <v>33</v>
      </c>
      <c r="BK37" s="51">
        <f ca="1">RANDBETWEEN(20, 45)</f>
        <v>39</v>
      </c>
      <c r="BL37" s="51">
        <f ca="1">RANDBETWEEN(20, 45)</f>
        <v>26</v>
      </c>
      <c r="BM37" s="51">
        <f ca="1">RANDBETWEEN(20, 45)</f>
        <v>38</v>
      </c>
      <c r="BN37" s="51">
        <f ca="1">RANDBETWEEN(20, 45)</f>
        <v>33</v>
      </c>
      <c r="BO37" s="51">
        <f ca="1">RANDBETWEEN(20, 45)</f>
        <v>41</v>
      </c>
      <c r="BP37" s="51">
        <f ca="1">RANDBETWEEN(20, 45)</f>
        <v>29</v>
      </c>
      <c r="BQ37" s="51">
        <f ca="1">RANDBETWEEN(20, 45)</f>
        <v>22</v>
      </c>
      <c r="BR37" s="51">
        <f ca="1">RANDBETWEEN(20, 45)</f>
        <v>22</v>
      </c>
      <c r="BS37" s="51">
        <f ca="1">RANDBETWEEN(20, 45)</f>
        <v>39</v>
      </c>
      <c r="BT37" s="51">
        <f ca="1">RANDBETWEEN(20, 45)</f>
        <v>27</v>
      </c>
      <c r="BU37" s="51">
        <f ca="1">RANDBETWEEN(20, 45)</f>
        <v>30</v>
      </c>
      <c r="BV37" s="51">
        <f ca="1">RANDBETWEEN(20, 45)</f>
        <v>44</v>
      </c>
      <c r="BW37" s="51">
        <f ca="1">RANDBETWEEN(20, 45)</f>
        <v>20</v>
      </c>
      <c r="BX37" s="51">
        <f ca="1">RANDBETWEEN(20, 45)</f>
        <v>23</v>
      </c>
      <c r="BY37" s="51">
        <f ca="1">RANDBETWEEN(20, 45)</f>
        <v>37</v>
      </c>
      <c r="BZ37" s="51">
        <f ca="1">RANDBETWEEN(20, 45)</f>
        <v>42</v>
      </c>
      <c r="CA37" s="51">
        <f ca="1">RANDBETWEEN(20, 45)</f>
        <v>25</v>
      </c>
      <c r="CB37" s="51">
        <f ca="1">RANDBETWEEN(20, 45)</f>
        <v>35</v>
      </c>
      <c r="CC37" s="51">
        <f ca="1">RANDBETWEEN(20, 45)</f>
        <v>23</v>
      </c>
      <c r="CD37" s="51">
        <f ca="1">RANDBETWEEN(20, 45)</f>
        <v>44</v>
      </c>
      <c r="CE37" s="51">
        <f ca="1">RANDBETWEEN(20, 45)</f>
        <v>30</v>
      </c>
      <c r="CF37" s="51">
        <f ca="1">RANDBETWEEN(20, 45)</f>
        <v>42</v>
      </c>
      <c r="CG37" s="51">
        <f ca="1">RANDBETWEEN(20, 45)</f>
        <v>28</v>
      </c>
      <c r="CH37" s="51">
        <f ca="1">RANDBETWEEN(20, 45)</f>
        <v>33</v>
      </c>
      <c r="CI37" s="51">
        <f ca="1">RANDBETWEEN(20, 45)</f>
        <v>33</v>
      </c>
      <c r="CJ37" s="51">
        <f ca="1">RANDBETWEEN(20, 45)</f>
        <v>37</v>
      </c>
      <c r="CK37" s="51">
        <f ca="1">RANDBETWEEN(20, 45)</f>
        <v>37</v>
      </c>
      <c r="CL37" s="51">
        <f ca="1">RANDBETWEEN(20, 45)</f>
        <v>24</v>
      </c>
      <c r="CM37" s="51">
        <f ca="1">RANDBETWEEN(20, 45)</f>
        <v>45</v>
      </c>
      <c r="CN37" s="51">
        <f ca="1">RANDBETWEEN(20, 45)</f>
        <v>26</v>
      </c>
      <c r="CO37" s="51">
        <f ca="1">RANDBETWEEN(20, 45)</f>
        <v>25</v>
      </c>
      <c r="CP37" s="51">
        <f ca="1">RANDBETWEEN(20, 45)</f>
        <v>21</v>
      </c>
      <c r="CQ37" s="51">
        <f ca="1">RANDBETWEEN(20, 45)</f>
        <v>28</v>
      </c>
      <c r="CR37" s="51">
        <f ca="1">RANDBETWEEN(20, 45)</f>
        <v>24</v>
      </c>
      <c r="CS37" s="51">
        <f ca="1">RANDBETWEEN(20, 45)</f>
        <v>27</v>
      </c>
      <c r="CT37" s="51">
        <f ca="1">RANDBETWEEN(20, 45)</f>
        <v>35</v>
      </c>
      <c r="CU37" s="51">
        <f ca="1">RANDBETWEEN(20, 45)</f>
        <v>32</v>
      </c>
      <c r="CV37" s="51">
        <f ca="1">RANDBETWEEN(20, 45)</f>
        <v>24</v>
      </c>
      <c r="CW37" s="51">
        <f ca="1">RANDBETWEEN(20, 45)</f>
        <v>42</v>
      </c>
      <c r="CX37" s="51">
        <f ca="1">RANDBETWEEN(20, 45)</f>
        <v>38</v>
      </c>
      <c r="CY37" s="51">
        <f ca="1">RANDBETWEEN(20, 45)</f>
        <v>38</v>
      </c>
      <c r="CZ37" s="51">
        <f ca="1">RANDBETWEEN(20, 45)</f>
        <v>27</v>
      </c>
      <c r="DA37" s="51">
        <f ca="1">RANDBETWEEN(20, 45)</f>
        <v>40</v>
      </c>
      <c r="DB37" s="51">
        <f ca="1">RANDBETWEEN(20, 45)</f>
        <v>38</v>
      </c>
      <c r="DC37" s="51">
        <f ca="1">RANDBETWEEN(20, 45)</f>
        <v>39</v>
      </c>
      <c r="DD37" s="51">
        <f ca="1">RANDBETWEEN(20, 45)</f>
        <v>35</v>
      </c>
      <c r="DE37" s="51">
        <f ca="1">RANDBETWEEN(20, 45)</f>
        <v>21</v>
      </c>
      <c r="DF37" s="51">
        <f ca="1">RANDBETWEEN(20, 45)</f>
        <v>31</v>
      </c>
      <c r="DG37" s="51">
        <f ca="1">RANDBETWEEN(20, 45)</f>
        <v>22</v>
      </c>
      <c r="DH37" s="51">
        <f ca="1">RANDBETWEEN(20, 45)</f>
        <v>22</v>
      </c>
      <c r="DI37" s="51">
        <f ca="1">RANDBETWEEN(20, 45)</f>
        <v>26</v>
      </c>
      <c r="DJ37" s="51">
        <f ca="1">RANDBETWEEN(20, 45)</f>
        <v>28</v>
      </c>
      <c r="DK37" s="51">
        <f ca="1">RANDBETWEEN(20, 45)</f>
        <v>23</v>
      </c>
      <c r="DL37" s="51">
        <f ca="1">RANDBETWEEN(20, 45)</f>
        <v>31</v>
      </c>
      <c r="DM37" s="51">
        <f ca="1">RANDBETWEEN(20, 45)</f>
        <v>33</v>
      </c>
      <c r="DN37" s="51">
        <f ca="1">RANDBETWEEN(20, 45)</f>
        <v>31</v>
      </c>
      <c r="DO37" s="51">
        <f ca="1">RAND()+1</f>
        <v>1.7280350797572441</v>
      </c>
      <c r="DP37" s="51">
        <f ca="1">RANDBETWEEN(20, 45)</f>
        <v>38</v>
      </c>
      <c r="DQ37" s="51">
        <f ca="1">RANDBETWEEN(20, 45)</f>
        <v>25</v>
      </c>
      <c r="DR37" s="51">
        <f ca="1">RANDBETWEEN(20, 45)</f>
        <v>27</v>
      </c>
      <c r="DS37" s="51">
        <f ca="1">RANDBETWEEN(20, 45)</f>
        <v>25</v>
      </c>
      <c r="DT37" s="51">
        <f ca="1">RANDBETWEEN(20, 45)</f>
        <v>38</v>
      </c>
      <c r="DU37" s="51">
        <f ca="1">RANDBETWEEN(20, 45)</f>
        <v>23</v>
      </c>
      <c r="DV37" s="51">
        <f ca="1">RANDBETWEEN(20, 45)</f>
        <v>32</v>
      </c>
      <c r="DW37" s="51">
        <f ca="1">RANDBETWEEN(20, 45)</f>
        <v>41</v>
      </c>
      <c r="DX37" s="51">
        <f ca="1">RANDBETWEEN(20, 45)</f>
        <v>35</v>
      </c>
      <c r="DY37" s="51">
        <f ca="1">RANDBETWEEN(20, 45)</f>
        <v>34</v>
      </c>
      <c r="DZ37" s="51">
        <f ca="1">RANDBETWEEN(20, 45)</f>
        <v>37</v>
      </c>
      <c r="EA37" s="51">
        <f ca="1">RANDBETWEEN(20, 45)</f>
        <v>44</v>
      </c>
      <c r="EB37" s="51">
        <f ca="1">RANDBETWEEN(20, 45)</f>
        <v>28</v>
      </c>
      <c r="EC37" s="51">
        <f ca="1">RANDBETWEEN(20, 45)</f>
        <v>42</v>
      </c>
      <c r="ED37" s="51">
        <f ca="1">RANDBETWEEN(20, 45)</f>
        <v>21</v>
      </c>
      <c r="EE37" s="51">
        <f ca="1">RAND()</f>
        <v>0.23326647264295675</v>
      </c>
    </row>
    <row r="38" spans="1:135" x14ac:dyDescent="0.4">
      <c r="A38" s="31" t="str">
        <f t="shared" si="3"/>
        <v>KPI ID 31 R</v>
      </c>
      <c r="B38" s="49" t="s">
        <v>64</v>
      </c>
      <c r="C38" s="50" t="s">
        <v>47</v>
      </c>
      <c r="D38" s="51">
        <f ca="1">RANDBETWEEN(20, 45)</f>
        <v>41</v>
      </c>
      <c r="E38" s="51">
        <f ca="1">RANDBETWEEN(20, 45)</f>
        <v>45</v>
      </c>
      <c r="F38" s="51">
        <f ca="1">RANDBETWEEN(20, 45)</f>
        <v>24</v>
      </c>
      <c r="G38" s="51">
        <f ca="1">RANDBETWEEN(20, 45)</f>
        <v>28</v>
      </c>
      <c r="H38" s="51">
        <f ca="1">RANDBETWEEN(20, 45)</f>
        <v>29</v>
      </c>
      <c r="I38" s="51">
        <f ca="1">RANDBETWEEN(20, 45)</f>
        <v>35</v>
      </c>
      <c r="J38" s="51">
        <f ca="1">RANDBETWEEN(20, 45)</f>
        <v>27</v>
      </c>
      <c r="K38" s="51">
        <f ca="1">RANDBETWEEN(20, 45)</f>
        <v>37</v>
      </c>
      <c r="L38" s="51">
        <f ca="1">RANDBETWEEN(20, 45)</f>
        <v>45</v>
      </c>
      <c r="M38" s="51">
        <f ca="1">RANDBETWEEN(20, 45)</f>
        <v>45</v>
      </c>
      <c r="N38" s="51">
        <f ca="1">RANDBETWEEN(20, 45)</f>
        <v>43</v>
      </c>
      <c r="O38" s="51">
        <f ca="1">RANDBETWEEN(20, 45)</f>
        <v>24</v>
      </c>
      <c r="P38" s="51">
        <f ca="1">RANDBETWEEN(20, 45)</f>
        <v>27</v>
      </c>
      <c r="Q38" s="51">
        <f ca="1">RANDBETWEEN(20, 45)</f>
        <v>24</v>
      </c>
      <c r="R38" s="51">
        <f ca="1">RANDBETWEEN(20, 45)</f>
        <v>32</v>
      </c>
      <c r="S38" s="51">
        <f ca="1">RANDBETWEEN(20, 45)</f>
        <v>20</v>
      </c>
      <c r="T38" s="51">
        <f ca="1">RANDBETWEEN(20, 45)</f>
        <v>44</v>
      </c>
      <c r="U38" s="51">
        <f ca="1">RANDBETWEEN(20, 45)</f>
        <v>33</v>
      </c>
      <c r="V38" s="51">
        <f ca="1">RANDBETWEEN(20, 45)</f>
        <v>34</v>
      </c>
      <c r="W38" s="51">
        <f ca="1">RANDBETWEEN(20, 45)</f>
        <v>37</v>
      </c>
      <c r="X38" s="51">
        <f ca="1">RANDBETWEEN(20, 45)</f>
        <v>40</v>
      </c>
      <c r="Y38" s="51">
        <f ca="1">RANDBETWEEN(20, 45)</f>
        <v>34</v>
      </c>
      <c r="Z38" s="51">
        <f ca="1">RANDBETWEEN(20, 45)</f>
        <v>26</v>
      </c>
      <c r="AA38" s="51">
        <f ca="1">RANDBETWEEN(20, 45)</f>
        <v>32</v>
      </c>
      <c r="AB38" s="51">
        <f ca="1">RANDBETWEEN(20, 45)</f>
        <v>32</v>
      </c>
      <c r="AC38" s="51">
        <f ca="1">RANDBETWEEN(20, 45)</f>
        <v>38</v>
      </c>
      <c r="AD38" s="51">
        <f ca="1">RANDBETWEEN(20, 45)</f>
        <v>43</v>
      </c>
      <c r="AE38" s="51">
        <f ca="1">RANDBETWEEN(20, 45)</f>
        <v>45</v>
      </c>
      <c r="AF38" s="51">
        <f ca="1">RANDBETWEEN(20, 45)</f>
        <v>43</v>
      </c>
      <c r="AG38" s="51">
        <f ca="1">RANDBETWEEN(20, 45)</f>
        <v>37</v>
      </c>
      <c r="AH38" s="51">
        <f ca="1">RANDBETWEEN(20, 45)</f>
        <v>41</v>
      </c>
      <c r="AI38" s="51">
        <f ca="1">RANDBETWEEN(20, 45)</f>
        <v>24</v>
      </c>
      <c r="AJ38" s="51">
        <f ca="1">RANDBETWEEN(20, 45)</f>
        <v>22</v>
      </c>
      <c r="AK38" s="51">
        <f ca="1">RANDBETWEEN(20, 45)</f>
        <v>37</v>
      </c>
      <c r="AL38" s="51">
        <f ca="1">RANDBETWEEN(20, 45)</f>
        <v>36</v>
      </c>
      <c r="AM38" s="51">
        <f ca="1">RANDBETWEEN(20, 45)</f>
        <v>25</v>
      </c>
      <c r="AN38" s="51">
        <f ca="1">RANDBETWEEN(20, 45)</f>
        <v>24</v>
      </c>
      <c r="AO38" s="51">
        <f ca="1">RANDBETWEEN(20, 45)</f>
        <v>42</v>
      </c>
      <c r="AP38" s="51">
        <f ca="1">RANDBETWEEN(20, 45)</f>
        <v>25</v>
      </c>
      <c r="AQ38" s="51">
        <f ca="1">RANDBETWEEN(20, 45)</f>
        <v>40</v>
      </c>
      <c r="AR38" s="51">
        <f ca="1">RANDBETWEEN(20, 45)</f>
        <v>24</v>
      </c>
      <c r="AS38" s="51">
        <f ca="1">RANDBETWEEN(20, 45)</f>
        <v>24</v>
      </c>
      <c r="AT38" s="51">
        <f ca="1">RANDBETWEEN(20, 45)</f>
        <v>23</v>
      </c>
      <c r="AU38" s="51">
        <f ca="1">RANDBETWEEN(20, 45)</f>
        <v>36</v>
      </c>
      <c r="AV38" s="51">
        <f ca="1">RANDBETWEEN(20, 45)</f>
        <v>36</v>
      </c>
      <c r="AW38" s="51">
        <f ca="1">RANDBETWEEN(20, 45)</f>
        <v>23</v>
      </c>
      <c r="AX38" s="51">
        <f ca="1">RANDBETWEEN(20, 45)</f>
        <v>34</v>
      </c>
      <c r="AY38" s="51">
        <f ca="1">RANDBETWEEN(20, 45)</f>
        <v>40</v>
      </c>
      <c r="AZ38" s="51">
        <f ca="1">RANDBETWEEN(20, 45)</f>
        <v>30</v>
      </c>
      <c r="BA38" s="51">
        <f ca="1">RANDBETWEEN(20, 45)</f>
        <v>23</v>
      </c>
      <c r="BB38" s="51">
        <f ca="1">RANDBETWEEN(20, 45)</f>
        <v>22</v>
      </c>
      <c r="BC38" s="51">
        <f ca="1">RANDBETWEEN(20, 45)</f>
        <v>44</v>
      </c>
      <c r="BD38" s="51">
        <f ca="1">RANDBETWEEN(20, 45)</f>
        <v>41</v>
      </c>
      <c r="BE38" s="51">
        <f ca="1">RANDBETWEEN(20, 45)</f>
        <v>40</v>
      </c>
      <c r="BF38" s="51">
        <f ca="1">RANDBETWEEN(20, 45)</f>
        <v>30</v>
      </c>
      <c r="BG38" s="51">
        <f ca="1">RANDBETWEEN(20, 45)</f>
        <v>35</v>
      </c>
      <c r="BH38" s="51">
        <f ca="1">RANDBETWEEN(20, 45)</f>
        <v>44</v>
      </c>
      <c r="BI38" s="51">
        <f ca="1">RANDBETWEEN(20, 45)</f>
        <v>34</v>
      </c>
      <c r="BJ38" s="51">
        <f ca="1">RANDBETWEEN(20, 45)</f>
        <v>45</v>
      </c>
      <c r="BK38" s="51">
        <f ca="1">RANDBETWEEN(20, 45)</f>
        <v>42</v>
      </c>
      <c r="BL38" s="51">
        <f ca="1">RANDBETWEEN(20, 45)</f>
        <v>25</v>
      </c>
      <c r="BM38" s="51">
        <f ca="1">RANDBETWEEN(20, 45)</f>
        <v>41</v>
      </c>
      <c r="BN38" s="51">
        <f ca="1">RANDBETWEEN(20, 45)</f>
        <v>42</v>
      </c>
      <c r="BO38" s="51">
        <f ca="1">RANDBETWEEN(20, 45)</f>
        <v>33</v>
      </c>
      <c r="BP38" s="51">
        <f ca="1">RANDBETWEEN(20, 45)</f>
        <v>39</v>
      </c>
      <c r="BQ38" s="51">
        <f ca="1">RANDBETWEEN(20, 45)</f>
        <v>24</v>
      </c>
      <c r="BR38" s="51">
        <f ca="1">RANDBETWEEN(20, 45)</f>
        <v>25</v>
      </c>
      <c r="BS38" s="51">
        <f ca="1">RANDBETWEEN(20, 45)</f>
        <v>26</v>
      </c>
      <c r="BT38" s="51">
        <f ca="1">RANDBETWEEN(20, 45)</f>
        <v>33</v>
      </c>
      <c r="BU38" s="51">
        <f ca="1">RANDBETWEEN(20, 45)</f>
        <v>31</v>
      </c>
      <c r="BV38" s="51">
        <f ca="1">RANDBETWEEN(20, 45)</f>
        <v>38</v>
      </c>
      <c r="BW38" s="51">
        <f ca="1">RANDBETWEEN(20, 45)</f>
        <v>35</v>
      </c>
      <c r="BX38" s="51">
        <f ca="1">RANDBETWEEN(20, 45)</f>
        <v>20</v>
      </c>
      <c r="BY38" s="51">
        <f ca="1">RANDBETWEEN(20, 45)</f>
        <v>22</v>
      </c>
      <c r="BZ38" s="51">
        <f ca="1">RANDBETWEEN(20, 45)</f>
        <v>44</v>
      </c>
      <c r="CA38" s="51">
        <f ca="1">RANDBETWEEN(20, 45)</f>
        <v>32</v>
      </c>
      <c r="CB38" s="51">
        <f ca="1">RANDBETWEEN(20, 45)</f>
        <v>24</v>
      </c>
      <c r="CC38" s="51">
        <f ca="1">RANDBETWEEN(20, 45)</f>
        <v>45</v>
      </c>
      <c r="CD38" s="51">
        <f ca="1">RANDBETWEEN(20, 45)</f>
        <v>37</v>
      </c>
      <c r="CE38" s="51">
        <f ca="1">RANDBETWEEN(20, 45)</f>
        <v>28</v>
      </c>
      <c r="CF38" s="51">
        <f ca="1">RANDBETWEEN(20, 45)</f>
        <v>26</v>
      </c>
      <c r="CG38" s="51">
        <f ca="1">RANDBETWEEN(20, 45)</f>
        <v>35</v>
      </c>
      <c r="CH38" s="51">
        <f ca="1">RANDBETWEEN(20, 45)</f>
        <v>40</v>
      </c>
      <c r="CI38" s="51">
        <f ca="1">RANDBETWEEN(20, 45)</f>
        <v>27</v>
      </c>
      <c r="CJ38" s="51">
        <f ca="1">RANDBETWEEN(20, 45)</f>
        <v>37</v>
      </c>
      <c r="CK38" s="51">
        <f ca="1">RANDBETWEEN(20, 45)</f>
        <v>41</v>
      </c>
      <c r="CL38" s="51">
        <f ca="1">RANDBETWEEN(20, 45)</f>
        <v>36</v>
      </c>
      <c r="CM38" s="51">
        <f ca="1">RANDBETWEEN(20, 45)</f>
        <v>32</v>
      </c>
      <c r="CN38" s="51">
        <f ca="1">RANDBETWEEN(20, 45)</f>
        <v>29</v>
      </c>
      <c r="CO38" s="51">
        <f ca="1">RANDBETWEEN(20, 45)</f>
        <v>20</v>
      </c>
      <c r="CP38" s="51">
        <f ca="1">RANDBETWEEN(20, 45)</f>
        <v>26</v>
      </c>
      <c r="CQ38" s="51">
        <f ca="1">RANDBETWEEN(20, 45)</f>
        <v>24</v>
      </c>
      <c r="CR38" s="51">
        <f ca="1">RANDBETWEEN(20, 45)</f>
        <v>21</v>
      </c>
      <c r="CS38" s="51">
        <f ca="1">RANDBETWEEN(20, 45)</f>
        <v>35</v>
      </c>
      <c r="CT38" s="51">
        <f ca="1">RANDBETWEEN(20, 45)</f>
        <v>33</v>
      </c>
      <c r="CU38" s="51">
        <f ca="1">RANDBETWEEN(20, 45)</f>
        <v>34</v>
      </c>
      <c r="CV38" s="51">
        <f ca="1">RANDBETWEEN(20, 45)</f>
        <v>32</v>
      </c>
      <c r="CW38" s="51">
        <f ca="1">RANDBETWEEN(20, 45)</f>
        <v>38</v>
      </c>
      <c r="CX38" s="51">
        <f ca="1">RANDBETWEEN(20, 45)</f>
        <v>25</v>
      </c>
      <c r="CY38" s="51">
        <f ca="1">RANDBETWEEN(20, 45)</f>
        <v>38</v>
      </c>
      <c r="CZ38" s="51">
        <f ca="1">RANDBETWEEN(20, 45)</f>
        <v>43</v>
      </c>
      <c r="DA38" s="51">
        <f ca="1">RANDBETWEEN(20, 45)</f>
        <v>25</v>
      </c>
      <c r="DB38" s="51">
        <f ca="1">RANDBETWEEN(20, 45)</f>
        <v>27</v>
      </c>
      <c r="DC38" s="51">
        <f ca="1">RANDBETWEEN(20, 45)</f>
        <v>31</v>
      </c>
      <c r="DD38" s="51">
        <f ca="1">RANDBETWEEN(20, 45)</f>
        <v>29</v>
      </c>
      <c r="DE38" s="51">
        <f ca="1">RANDBETWEEN(20, 45)</f>
        <v>39</v>
      </c>
      <c r="DF38" s="51">
        <f ca="1">RANDBETWEEN(20, 45)</f>
        <v>21</v>
      </c>
      <c r="DG38" s="51">
        <f ca="1">RANDBETWEEN(20, 45)</f>
        <v>39</v>
      </c>
      <c r="DH38" s="51">
        <f ca="1">RANDBETWEEN(20, 45)</f>
        <v>22</v>
      </c>
      <c r="DI38" s="51">
        <f ca="1">RANDBETWEEN(20, 45)</f>
        <v>29</v>
      </c>
      <c r="DJ38" s="51">
        <f ca="1">RANDBETWEEN(20, 45)</f>
        <v>24</v>
      </c>
      <c r="DK38" s="51">
        <f ca="1">RANDBETWEEN(20, 45)</f>
        <v>33</v>
      </c>
      <c r="DL38" s="51">
        <f ca="1">RANDBETWEEN(20, 45)</f>
        <v>38</v>
      </c>
      <c r="DM38" s="51">
        <f ca="1">RANDBETWEEN(20, 45)</f>
        <v>41</v>
      </c>
      <c r="DN38" s="51">
        <f ca="1">RANDBETWEEN(20, 45)</f>
        <v>41</v>
      </c>
      <c r="DO38" s="51">
        <f ca="1">RANDBETWEEN(20, 45)</f>
        <v>37</v>
      </c>
      <c r="DP38" s="51">
        <f ca="1">RANDBETWEEN(20, 45)</f>
        <v>20</v>
      </c>
      <c r="DQ38" s="51">
        <f ca="1">RANDBETWEEN(20, 45)</f>
        <v>32</v>
      </c>
      <c r="DR38" s="51">
        <f ca="1">RANDBETWEEN(20, 45)</f>
        <v>27</v>
      </c>
      <c r="DS38" s="51">
        <f ca="1">RANDBETWEEN(20, 45)</f>
        <v>40</v>
      </c>
      <c r="DT38" s="51">
        <f ca="1">RANDBETWEEN(20, 45)</f>
        <v>29</v>
      </c>
      <c r="DU38" s="51">
        <f ca="1">RANDBETWEEN(20, 45)</f>
        <v>39</v>
      </c>
      <c r="DV38" s="51">
        <f ca="1">RANDBETWEEN(20, 45)</f>
        <v>36</v>
      </c>
      <c r="DW38" s="51">
        <f ca="1">RANDBETWEEN(20, 45)</f>
        <v>36</v>
      </c>
      <c r="DX38" s="51">
        <f ca="1">RANDBETWEEN(20, 45)</f>
        <v>21</v>
      </c>
      <c r="DY38" s="51">
        <f ca="1">RANDBETWEEN(20, 45)</f>
        <v>45</v>
      </c>
      <c r="DZ38" s="51">
        <f ca="1">RANDBETWEEN(20, 45)</f>
        <v>44</v>
      </c>
      <c r="EA38" s="51">
        <f ca="1">RANDBETWEEN(20, 45)</f>
        <v>38</v>
      </c>
      <c r="EB38" s="51">
        <f ca="1">RANDBETWEEN(20, 45)</f>
        <v>22</v>
      </c>
      <c r="EC38" s="51">
        <f ca="1">RANDBETWEEN(20, 45)</f>
        <v>27</v>
      </c>
      <c r="ED38" s="51">
        <f ca="1">RANDBETWEEN(20, 45)</f>
        <v>44</v>
      </c>
      <c r="EE38" s="51">
        <f ca="1">RANDBETWEEN(20, 45)</f>
        <v>26</v>
      </c>
    </row>
    <row r="39" spans="1:135" x14ac:dyDescent="0.4">
      <c r="A39" s="31" t="str">
        <f t="shared" si="3"/>
        <v>KPI ID 32</v>
      </c>
      <c r="B39" s="49" t="s">
        <v>64</v>
      </c>
      <c r="C39" s="50" t="s">
        <v>48</v>
      </c>
      <c r="D39" s="51" cm="1">
        <f t="array" aca="1" ref="D39" ca="1">_xlfn.RANDARRAY()</f>
        <v>0.64856446673242107</v>
      </c>
      <c r="E39" s="51" cm="1">
        <f t="array" aca="1" ref="E39" ca="1">_xlfn.RANDARRAY()</f>
        <v>0.14156853710871808</v>
      </c>
      <c r="F39" s="51" cm="1">
        <f t="array" aca="1" ref="F39" ca="1">_xlfn.RANDARRAY()</f>
        <v>0.5529976524689022</v>
      </c>
      <c r="G39" s="51" cm="1">
        <f t="array" aca="1" ref="G39" ca="1">_xlfn.RANDARRAY()</f>
        <v>0.77176093499759513</v>
      </c>
      <c r="H39" s="51" cm="1">
        <f t="array" aca="1" ref="H39" ca="1">_xlfn.RANDARRAY()</f>
        <v>0.8234356259774156</v>
      </c>
      <c r="I39" s="51" cm="1">
        <f t="array" aca="1" ref="I39" ca="1">_xlfn.RANDARRAY()</f>
        <v>0.83590151927758605</v>
      </c>
      <c r="J39" s="51" cm="1">
        <f t="array" aca="1" ref="J39" ca="1">_xlfn.RANDARRAY()</f>
        <v>4.6342471897740101E-3</v>
      </c>
      <c r="K39" s="51" cm="1">
        <f t="array" aca="1" ref="K39" ca="1">_xlfn.RANDARRAY()</f>
        <v>0.4864385133099518</v>
      </c>
      <c r="L39" s="51" cm="1">
        <f t="array" aca="1" ref="L39" ca="1">_xlfn.RANDARRAY()</f>
        <v>0.23714990926521984</v>
      </c>
      <c r="M39" s="51" cm="1">
        <f t="array" aca="1" ref="M39" ca="1">_xlfn.RANDARRAY()</f>
        <v>4.3582605102079564E-2</v>
      </c>
      <c r="N39" s="51" cm="1">
        <f t="array" aca="1" ref="N39" ca="1">_xlfn.RANDARRAY()</f>
        <v>1.4829773933849655E-2</v>
      </c>
      <c r="O39" s="51" cm="1">
        <f t="array" aca="1" ref="O39" ca="1">_xlfn.RANDARRAY()</f>
        <v>0.33762483536485099</v>
      </c>
      <c r="P39" s="51" cm="1">
        <f t="array" aca="1" ref="P39" ca="1">_xlfn.RANDARRAY()</f>
        <v>0.34880901682570586</v>
      </c>
      <c r="Q39" s="51" cm="1">
        <f t="array" aca="1" ref="Q39" ca="1">_xlfn.RANDARRAY()</f>
        <v>0.42511564058504492</v>
      </c>
      <c r="R39" s="51" cm="1">
        <f t="array" aca="1" ref="R39" ca="1">_xlfn.RANDARRAY()</f>
        <v>0.52542807110400114</v>
      </c>
      <c r="S39" s="51" cm="1">
        <f t="array" aca="1" ref="S39" ca="1">_xlfn.RANDARRAY()</f>
        <v>0.31679565774869323</v>
      </c>
      <c r="T39" s="51" cm="1">
        <f t="array" aca="1" ref="T39" ca="1">_xlfn.RANDARRAY()</f>
        <v>0.13155600366195142</v>
      </c>
      <c r="U39" s="51" cm="1">
        <f t="array" aca="1" ref="U39" ca="1">_xlfn.RANDARRAY()</f>
        <v>0.28935876766599766</v>
      </c>
      <c r="V39" s="51" cm="1">
        <f t="array" aca="1" ref="V39" ca="1">_xlfn.RANDARRAY()</f>
        <v>0.4953748639261264</v>
      </c>
      <c r="W39" s="51" cm="1">
        <f t="array" aca="1" ref="W39" ca="1">_xlfn.RANDARRAY()</f>
        <v>0.17738320775538119</v>
      </c>
      <c r="X39" s="51" cm="1">
        <f t="array" aca="1" ref="X39" ca="1">_xlfn.RANDARRAY()</f>
        <v>0.68581509737388702</v>
      </c>
      <c r="Y39" s="51" cm="1">
        <f t="array" aca="1" ref="Y39" ca="1">_xlfn.RANDARRAY()</f>
        <v>0.43616911104614209</v>
      </c>
      <c r="Z39" s="51" cm="1">
        <f t="array" aca="1" ref="Z39" ca="1">_xlfn.RANDARRAY()</f>
        <v>0.37827993532174076</v>
      </c>
      <c r="AA39" s="51" cm="1">
        <f t="array" aca="1" ref="AA39" ca="1">_xlfn.RANDARRAY()</f>
        <v>0.73516412013118648</v>
      </c>
      <c r="AB39" s="51" cm="1">
        <f t="array" aca="1" ref="AB39" ca="1">_xlfn.RANDARRAY()</f>
        <v>0.22122805531751855</v>
      </c>
      <c r="AC39" s="51" cm="1">
        <f t="array" aca="1" ref="AC39" ca="1">_xlfn.RANDARRAY()</f>
        <v>0.51689369855555456</v>
      </c>
      <c r="AD39" s="51" cm="1">
        <f t="array" aca="1" ref="AD39" ca="1">_xlfn.RANDARRAY()</f>
        <v>0.92459923682078338</v>
      </c>
      <c r="AE39" s="51" cm="1">
        <f t="array" aca="1" ref="AE39" ca="1">_xlfn.RANDARRAY()</f>
        <v>0.56079257015996187</v>
      </c>
      <c r="AF39" s="51" cm="1">
        <f t="array" aca="1" ref="AF39" ca="1">_xlfn.RANDARRAY()</f>
        <v>0.26727605354480732</v>
      </c>
      <c r="AG39" s="51" cm="1">
        <f t="array" aca="1" ref="AG39" ca="1">_xlfn.RANDARRAY()</f>
        <v>0.35903430065424313</v>
      </c>
      <c r="AH39" s="51" cm="1">
        <f t="array" aca="1" ref="AH39" ca="1">_xlfn.RANDARRAY()</f>
        <v>0.90126634385207294</v>
      </c>
      <c r="AI39" s="51" cm="1">
        <f t="array" aca="1" ref="AI39" ca="1">_xlfn.RANDARRAY()</f>
        <v>0.42573909401709775</v>
      </c>
      <c r="AJ39" s="51" cm="1">
        <f t="array" aca="1" ref="AJ39" ca="1">_xlfn.RANDARRAY()</f>
        <v>0.7814094682067716</v>
      </c>
      <c r="AK39" s="51" cm="1">
        <f t="array" aca="1" ref="AK39" ca="1">_xlfn.RANDARRAY()</f>
        <v>1.5828887827775251E-2</v>
      </c>
      <c r="AL39" s="51" cm="1">
        <f t="array" aca="1" ref="AL39" ca="1">_xlfn.RANDARRAY()</f>
        <v>0.19133796260528846</v>
      </c>
      <c r="AM39" s="51" cm="1">
        <f t="array" aca="1" ref="AM39" ca="1">_xlfn.RANDARRAY()</f>
        <v>0.79199321750788698</v>
      </c>
      <c r="AN39" s="51" cm="1">
        <f t="array" aca="1" ref="AN39" ca="1">_xlfn.RANDARRAY()</f>
        <v>0.69214771367777761</v>
      </c>
      <c r="AO39" s="51" cm="1">
        <f t="array" aca="1" ref="AO39" ca="1">_xlfn.RANDARRAY()</f>
        <v>8.6585807446217355E-2</v>
      </c>
      <c r="AP39" s="51" cm="1">
        <f t="array" aca="1" ref="AP39" ca="1">_xlfn.RANDARRAY()</f>
        <v>0.81651925132833147</v>
      </c>
      <c r="AQ39" s="51" cm="1">
        <f t="array" aca="1" ref="AQ39" ca="1">_xlfn.RANDARRAY()</f>
        <v>0.27630236336631286</v>
      </c>
      <c r="AR39" s="51" cm="1">
        <f t="array" aca="1" ref="AR39" ca="1">_xlfn.RANDARRAY()</f>
        <v>0.74847247801567507</v>
      </c>
      <c r="AS39" s="51" cm="1">
        <f t="array" aca="1" ref="AS39" ca="1">_xlfn.RANDARRAY()</f>
        <v>0.13986535114307053</v>
      </c>
      <c r="AT39" s="51" cm="1">
        <f t="array" aca="1" ref="AT39" ca="1">_xlfn.RANDARRAY()</f>
        <v>0.25717850331910763</v>
      </c>
      <c r="AU39" s="51" cm="1">
        <f t="array" aca="1" ref="AU39" ca="1">_xlfn.RANDARRAY()</f>
        <v>0.54186301851892771</v>
      </c>
      <c r="AV39" s="51" cm="1">
        <f t="array" aca="1" ref="AV39" ca="1">_xlfn.RANDARRAY()</f>
        <v>0.73480151123454696</v>
      </c>
      <c r="AW39" s="51" cm="1">
        <f t="array" aca="1" ref="AW39" ca="1">_xlfn.RANDARRAY()</f>
        <v>2.482433695660502E-2</v>
      </c>
      <c r="AX39" s="51" cm="1">
        <f t="array" aca="1" ref="AX39" ca="1">_xlfn.RANDARRAY()</f>
        <v>3.5163124546330859E-2</v>
      </c>
      <c r="AY39" s="51" cm="1">
        <f t="array" aca="1" ref="AY39" ca="1">_xlfn.RANDARRAY()</f>
        <v>0.79456341158504862</v>
      </c>
      <c r="AZ39" s="51" cm="1">
        <f t="array" aca="1" ref="AZ39" ca="1">_xlfn.RANDARRAY()</f>
        <v>0.78089028600379229</v>
      </c>
      <c r="BA39" s="51" cm="1">
        <f t="array" aca="1" ref="BA39" ca="1">_xlfn.RANDARRAY()</f>
        <v>0.98726527672996345</v>
      </c>
      <c r="BB39" s="51" cm="1">
        <f t="array" aca="1" ref="BB39" ca="1">_xlfn.RANDARRAY()</f>
        <v>0.48755488390268575</v>
      </c>
      <c r="BC39" s="51" cm="1">
        <f t="array" aca="1" ref="BC39" ca="1">_xlfn.RANDARRAY()</f>
        <v>0.68541763070741513</v>
      </c>
      <c r="BD39" s="51" cm="1">
        <f t="array" aca="1" ref="BD39" ca="1">_xlfn.RANDARRAY()</f>
        <v>0.85973165599471812</v>
      </c>
      <c r="BE39" s="51" cm="1">
        <f t="array" aca="1" ref="BE39" ca="1">_xlfn.RANDARRAY()</f>
        <v>1.0602476282854045E-2</v>
      </c>
      <c r="BF39" s="51" cm="1">
        <f t="array" aca="1" ref="BF39" ca="1">_xlfn.RANDARRAY()</f>
        <v>0.28193365438889484</v>
      </c>
      <c r="BG39" s="51" cm="1">
        <f t="array" aca="1" ref="BG39" ca="1">_xlfn.RANDARRAY()</f>
        <v>0.1694059978540734</v>
      </c>
      <c r="BH39" s="51" cm="1">
        <f t="array" aca="1" ref="BH39" ca="1">_xlfn.RANDARRAY()</f>
        <v>0.71715792225080066</v>
      </c>
      <c r="BI39" s="51" cm="1">
        <f t="array" aca="1" ref="BI39" ca="1">_xlfn.RANDARRAY()</f>
        <v>0.89795476911961458</v>
      </c>
      <c r="BJ39" s="51" cm="1">
        <f t="array" aca="1" ref="BJ39" ca="1">_xlfn.RANDARRAY()</f>
        <v>0.76156194113988662</v>
      </c>
      <c r="BK39" s="51" cm="1">
        <f t="array" aca="1" ref="BK39" ca="1">_xlfn.RANDARRAY()</f>
        <v>0.7039195330092245</v>
      </c>
      <c r="BL39" s="51" cm="1">
        <f t="array" aca="1" ref="BL39" ca="1">_xlfn.RANDARRAY()</f>
        <v>8.7122193650548407E-2</v>
      </c>
      <c r="BM39" s="51" cm="1">
        <f t="array" aca="1" ref="BM39" ca="1">_xlfn.RANDARRAY()</f>
        <v>0.89555361498641428</v>
      </c>
      <c r="BN39" s="51" cm="1">
        <f t="array" aca="1" ref="BN39" ca="1">_xlfn.RANDARRAY()</f>
        <v>0.48164257098874952</v>
      </c>
      <c r="BO39" s="51" cm="1">
        <f t="array" aca="1" ref="BO39" ca="1">_xlfn.RANDARRAY()</f>
        <v>0.52235661729402305</v>
      </c>
      <c r="BP39" s="51" cm="1">
        <f t="array" aca="1" ref="BP39" ca="1">_xlfn.RANDARRAY()</f>
        <v>7.362051858605656E-2</v>
      </c>
      <c r="BQ39" s="51" cm="1">
        <f t="array" aca="1" ref="BQ39" ca="1">_xlfn.RANDARRAY()</f>
        <v>0.90758960438624436</v>
      </c>
      <c r="BR39" s="51" cm="1">
        <f t="array" aca="1" ref="BR39" ca="1">_xlfn.RANDARRAY()</f>
        <v>0.71566131224010388</v>
      </c>
      <c r="BS39" s="51" cm="1">
        <f t="array" aca="1" ref="BS39" ca="1">_xlfn.RANDARRAY()</f>
        <v>0.63927918695623465</v>
      </c>
      <c r="BT39" s="51" cm="1">
        <f t="array" aca="1" ref="BT39" ca="1">_xlfn.RANDARRAY()</f>
        <v>4.4858515466983384E-3</v>
      </c>
      <c r="BU39" s="51" cm="1">
        <f t="array" aca="1" ref="BU39" ca="1">_xlfn.RANDARRAY()</f>
        <v>0.47759065657002298</v>
      </c>
      <c r="BV39" s="51" cm="1">
        <f t="array" aca="1" ref="BV39" ca="1">_xlfn.RANDARRAY()</f>
        <v>0.12668056716169795</v>
      </c>
      <c r="BW39" s="51" cm="1">
        <f t="array" aca="1" ref="BW39" ca="1">_xlfn.RANDARRAY()</f>
        <v>0.79936601420591979</v>
      </c>
      <c r="BX39" s="51" cm="1">
        <f t="array" aca="1" ref="BX39" ca="1">_xlfn.RANDARRAY()</f>
        <v>0.23114698049333327</v>
      </c>
      <c r="BY39" s="51" cm="1">
        <f t="array" aca="1" ref="BY39" ca="1">_xlfn.RANDARRAY()</f>
        <v>0.75426442765470503</v>
      </c>
      <c r="BZ39" s="51" cm="1">
        <f t="array" aca="1" ref="BZ39" ca="1">_xlfn.RANDARRAY()</f>
        <v>0.35449553480767082</v>
      </c>
      <c r="CA39" s="51" cm="1">
        <f t="array" aca="1" ref="CA39" ca="1">_xlfn.RANDARRAY()</f>
        <v>0.73133354895520752</v>
      </c>
      <c r="CB39" s="51" cm="1">
        <f t="array" aca="1" ref="CB39" ca="1">_xlfn.RANDARRAY()</f>
        <v>0.49789174290703686</v>
      </c>
      <c r="CC39" s="51" cm="1">
        <f t="array" aca="1" ref="CC39" ca="1">_xlfn.RANDARRAY()</f>
        <v>0.57595385283000811</v>
      </c>
      <c r="CD39" s="51" cm="1">
        <f t="array" aca="1" ref="CD39" ca="1">_xlfn.RANDARRAY()</f>
        <v>6.0789146466968536E-3</v>
      </c>
      <c r="CE39" s="51" cm="1">
        <f t="array" aca="1" ref="CE39" ca="1">_xlfn.RANDARRAY()</f>
        <v>0.91714780888393688</v>
      </c>
      <c r="CF39" s="51" cm="1">
        <f t="array" aca="1" ref="CF39" ca="1">_xlfn.RANDARRAY()</f>
        <v>0.65874679327905827</v>
      </c>
      <c r="CG39" s="51" cm="1">
        <f t="array" aca="1" ref="CG39" ca="1">_xlfn.RANDARRAY()</f>
        <v>0.22047239221528292</v>
      </c>
      <c r="CH39" s="51" cm="1">
        <f t="array" aca="1" ref="CH39" ca="1">_xlfn.RANDARRAY()</f>
        <v>0.27548819642627209</v>
      </c>
      <c r="CI39" s="51" cm="1">
        <f t="array" aca="1" ref="CI39" ca="1">_xlfn.RANDARRAY()</f>
        <v>0.61880892583295988</v>
      </c>
      <c r="CJ39" s="51" cm="1">
        <f t="array" aca="1" ref="CJ39" ca="1">_xlfn.RANDARRAY()</f>
        <v>0.28358846130909487</v>
      </c>
      <c r="CK39" s="51" cm="1">
        <f t="array" aca="1" ref="CK39" ca="1">_xlfn.RANDARRAY()</f>
        <v>0.52446141810844016</v>
      </c>
      <c r="CL39" s="51" cm="1">
        <f t="array" aca="1" ref="CL39" ca="1">_xlfn.RANDARRAY()</f>
        <v>0.81367873768986732</v>
      </c>
      <c r="CM39" s="51" cm="1">
        <f t="array" aca="1" ref="CM39" ca="1">_xlfn.RANDARRAY()</f>
        <v>0.27524246875962088</v>
      </c>
      <c r="CN39" s="51" cm="1">
        <f t="array" aca="1" ref="CN39" ca="1">_xlfn.RANDARRAY()</f>
        <v>0.69000891472774639</v>
      </c>
      <c r="CO39" s="51" cm="1">
        <f t="array" aca="1" ref="CO39" ca="1">_xlfn.RANDARRAY()</f>
        <v>0.36055773073373243</v>
      </c>
      <c r="CP39" s="51" cm="1">
        <f t="array" aca="1" ref="CP39" ca="1">_xlfn.RANDARRAY()</f>
        <v>0.62776112755430225</v>
      </c>
      <c r="CQ39" s="51" cm="1">
        <f t="array" aca="1" ref="CQ39" ca="1">_xlfn.RANDARRAY()</f>
        <v>0.89862329375028005</v>
      </c>
      <c r="CR39" s="51" cm="1">
        <f t="array" aca="1" ref="CR39" ca="1">_xlfn.RANDARRAY()</f>
        <v>0.6397109866278099</v>
      </c>
      <c r="CS39" s="51" cm="1">
        <f t="array" aca="1" ref="CS39" ca="1">_xlfn.RANDARRAY()</f>
        <v>0.59370672837006255</v>
      </c>
      <c r="CT39" s="51" cm="1">
        <f t="array" aca="1" ref="CT39" ca="1">_xlfn.RANDARRAY()</f>
        <v>0.64429202998207358</v>
      </c>
      <c r="CU39" s="51" cm="1">
        <f t="array" aca="1" ref="CU39" ca="1">_xlfn.RANDARRAY()</f>
        <v>0.71772152344597062</v>
      </c>
      <c r="CV39" s="51" cm="1">
        <f t="array" aca="1" ref="CV39" ca="1">_xlfn.RANDARRAY()</f>
        <v>0.54437793603895734</v>
      </c>
      <c r="CW39" s="51" cm="1">
        <f t="array" aca="1" ref="CW39" ca="1">_xlfn.RANDARRAY()</f>
        <v>0.16752272841215943</v>
      </c>
      <c r="CX39" s="51" cm="1">
        <f t="array" aca="1" ref="CX39" ca="1">_xlfn.RANDARRAY()</f>
        <v>0.18597355281316785</v>
      </c>
      <c r="CY39" s="51" cm="1">
        <f t="array" aca="1" ref="CY39" ca="1">_xlfn.RANDARRAY()</f>
        <v>0.65671495112864786</v>
      </c>
      <c r="CZ39" s="51" cm="1">
        <f t="array" aca="1" ref="CZ39" ca="1">_xlfn.RANDARRAY()</f>
        <v>0.27257636502546401</v>
      </c>
      <c r="DA39" s="51" cm="1">
        <f t="array" aca="1" ref="DA39" ca="1">_xlfn.RANDARRAY()</f>
        <v>0.59901770208188676</v>
      </c>
      <c r="DB39" s="51" cm="1">
        <f t="array" aca="1" ref="DB39" ca="1">_xlfn.RANDARRAY()</f>
        <v>0.22687187343390081</v>
      </c>
      <c r="DC39" s="51" cm="1">
        <f t="array" aca="1" ref="DC39" ca="1">_xlfn.RANDARRAY()</f>
        <v>0.44637985060780894</v>
      </c>
      <c r="DD39" s="51" cm="1">
        <f t="array" aca="1" ref="DD39" ca="1">_xlfn.RANDARRAY()</f>
        <v>0.80468943281006133</v>
      </c>
      <c r="DE39" s="51" cm="1">
        <f t="array" aca="1" ref="DE39" ca="1">_xlfn.RANDARRAY()</f>
        <v>0.10895110808520259</v>
      </c>
      <c r="DF39" s="51" cm="1">
        <f t="array" aca="1" ref="DF39" ca="1">_xlfn.RANDARRAY()</f>
        <v>0.10105733129825278</v>
      </c>
      <c r="DG39" s="51" cm="1">
        <f t="array" aca="1" ref="DG39" ca="1">_xlfn.RANDARRAY()</f>
        <v>0.89297568195113053</v>
      </c>
      <c r="DH39" s="51" cm="1">
        <f t="array" aca="1" ref="DH39" ca="1">_xlfn.RANDARRAY()</f>
        <v>0.90516952890605729</v>
      </c>
      <c r="DI39" s="51" cm="1">
        <f t="array" aca="1" ref="DI39" ca="1">_xlfn.RANDARRAY()</f>
        <v>0.84967235937019714</v>
      </c>
      <c r="DJ39" s="51" cm="1">
        <f t="array" aca="1" ref="DJ39" ca="1">_xlfn.RANDARRAY()</f>
        <v>0.93324592301407749</v>
      </c>
      <c r="DK39" s="51" cm="1">
        <f t="array" aca="1" ref="DK39" ca="1">_xlfn.RANDARRAY()</f>
        <v>0.66792711115635561</v>
      </c>
      <c r="DL39" s="51" cm="1">
        <f t="array" aca="1" ref="DL39" ca="1">_xlfn.RANDARRAY()</f>
        <v>0.23084611340551486</v>
      </c>
      <c r="DM39" s="51" cm="1">
        <f t="array" aca="1" ref="DM39" ca="1">_xlfn.RANDARRAY()</f>
        <v>0.63708293166946439</v>
      </c>
      <c r="DN39" s="51" cm="1">
        <f t="array" aca="1" ref="DN39" ca="1">_xlfn.RANDARRAY()</f>
        <v>0.57415162826618604</v>
      </c>
      <c r="DO39" s="51">
        <f ca="1">RANDBETWEEN(20, 45)</f>
        <v>40</v>
      </c>
      <c r="DP39" s="51" cm="1">
        <f t="array" aca="1" ref="DP39" ca="1">_xlfn.RANDARRAY()</f>
        <v>0.39737290217874222</v>
      </c>
      <c r="DQ39" s="51" cm="1">
        <f t="array" aca="1" ref="DQ39" ca="1">_xlfn.RANDARRAY()</f>
        <v>0.25439646669614313</v>
      </c>
      <c r="DR39" s="51" cm="1">
        <f t="array" aca="1" ref="DR39" ca="1">_xlfn.RANDARRAY()</f>
        <v>7.5487062357317614E-2</v>
      </c>
      <c r="DS39" s="51" cm="1">
        <f t="array" aca="1" ref="DS39" ca="1">_xlfn.RANDARRAY()</f>
        <v>0.4456257825668779</v>
      </c>
      <c r="DT39" s="51" cm="1">
        <f t="array" aca="1" ref="DT39" ca="1">_xlfn.RANDARRAY()</f>
        <v>0.68227772700786571</v>
      </c>
      <c r="DU39" s="51" cm="1">
        <f t="array" aca="1" ref="DU39" ca="1">_xlfn.RANDARRAY()</f>
        <v>0.50068236534043908</v>
      </c>
      <c r="DV39" s="51" cm="1">
        <f t="array" aca="1" ref="DV39" ca="1">_xlfn.RANDARRAY()</f>
        <v>0.74760935542239504</v>
      </c>
      <c r="DW39" s="51" cm="1">
        <f t="array" aca="1" ref="DW39" ca="1">_xlfn.RANDARRAY()</f>
        <v>0.51116626914870666</v>
      </c>
      <c r="DX39" s="51" cm="1">
        <f t="array" aca="1" ref="DX39" ca="1">_xlfn.RANDARRAY()</f>
        <v>0.94370181080161042</v>
      </c>
      <c r="DY39" s="51" cm="1">
        <f t="array" aca="1" ref="DY39" ca="1">_xlfn.RANDARRAY()</f>
        <v>0.31789495619386154</v>
      </c>
      <c r="DZ39" s="51" cm="1">
        <f t="array" aca="1" ref="DZ39" ca="1">_xlfn.RANDARRAY()</f>
        <v>5.8152289849519034E-2</v>
      </c>
      <c r="EA39" s="51" cm="1">
        <f t="array" aca="1" ref="EA39" ca="1">_xlfn.RANDARRAY()</f>
        <v>5.6684939792086553E-3</v>
      </c>
      <c r="EB39" s="51" cm="1">
        <f t="array" aca="1" ref="EB39" ca="1">_xlfn.RANDARRAY()</f>
        <v>0.60598487133083778</v>
      </c>
      <c r="EC39" s="51" cm="1">
        <f t="array" aca="1" ref="EC39" ca="1">_xlfn.RANDARRAY()</f>
        <v>0.23397734807509107</v>
      </c>
      <c r="ED39" s="51" cm="1">
        <f t="array" aca="1" ref="ED39" ca="1">_xlfn.RANDARRAY()</f>
        <v>0.18564411551932913</v>
      </c>
      <c r="EE39" s="51" cm="1">
        <f t="array" aca="1" ref="EE39" ca="1">_xlfn.RANDARRAY()</f>
        <v>0.59820607024087313</v>
      </c>
    </row>
    <row r="40" spans="1:135" x14ac:dyDescent="0.4">
      <c r="A40" s="31" t="str">
        <f t="shared" si="3"/>
        <v/>
      </c>
      <c r="B40" s="36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ED40" s="51"/>
      <c r="EE40" s="51"/>
    </row>
    <row r="41" spans="1:135" x14ac:dyDescent="0.4">
      <c r="A41" s="31" t="str">
        <f t="shared" si="3"/>
        <v/>
      </c>
      <c r="B41" s="36"/>
      <c r="C41" s="50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</row>
    <row r="42" spans="1:135" x14ac:dyDescent="0.4">
      <c r="A42" s="31" t="str">
        <f t="shared" si="3"/>
        <v/>
      </c>
      <c r="B42" s="36"/>
      <c r="C42" s="50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</row>
    <row r="43" spans="1:135" x14ac:dyDescent="0.4">
      <c r="A43" s="31" t="str">
        <f t="shared" si="3"/>
        <v/>
      </c>
      <c r="B43" s="36"/>
      <c r="C43" s="50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</row>
    <row r="44" spans="1:135" x14ac:dyDescent="0.4">
      <c r="A44" s="31" t="str">
        <f t="shared" si="3"/>
        <v/>
      </c>
      <c r="B44" s="36"/>
      <c r="C44" s="50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</row>
    <row r="45" spans="1:135" x14ac:dyDescent="0.4">
      <c r="A45" s="31" t="str">
        <f t="shared" si="3"/>
        <v/>
      </c>
      <c r="B45" s="36"/>
      <c r="C45" s="50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</row>
    <row r="46" spans="1:135" x14ac:dyDescent="0.4">
      <c r="A46" s="31" t="str">
        <f t="shared" si="3"/>
        <v/>
      </c>
      <c r="B46" s="36"/>
      <c r="C46" s="50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</row>
    <row r="47" spans="1:135" x14ac:dyDescent="0.4">
      <c r="A47" s="31" t="str">
        <f t="shared" si="3"/>
        <v/>
      </c>
      <c r="B47" s="36"/>
      <c r="C47" s="50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</row>
    <row r="48" spans="1:135" x14ac:dyDescent="0.4">
      <c r="A48" s="31" t="str">
        <f t="shared" si="3"/>
        <v/>
      </c>
      <c r="B48" s="36"/>
      <c r="C48" s="50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</row>
    <row r="49" spans="1:135" x14ac:dyDescent="0.4">
      <c r="A49" s="31" t="str">
        <f t="shared" si="3"/>
        <v/>
      </c>
      <c r="B49" s="36"/>
      <c r="C49" s="50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</row>
    <row r="50" spans="1:135" x14ac:dyDescent="0.4">
      <c r="A50" s="31" t="str">
        <f t="shared" si="3"/>
        <v/>
      </c>
      <c r="B50" s="36"/>
      <c r="C50" s="50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</row>
    <row r="51" spans="1:135" x14ac:dyDescent="0.4">
      <c r="A51" s="31" t="str">
        <f t="shared" si="3"/>
        <v/>
      </c>
      <c r="B51" s="36"/>
      <c r="C51" s="50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</row>
    <row r="52" spans="1:135" x14ac:dyDescent="0.4">
      <c r="A52" s="31" t="str">
        <f t="shared" si="3"/>
        <v/>
      </c>
      <c r="B52" s="36"/>
      <c r="C52" s="50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</row>
    <row r="53" spans="1:135" x14ac:dyDescent="0.4">
      <c r="A53" s="31" t="str">
        <f t="shared" si="3"/>
        <v/>
      </c>
      <c r="B53" s="36"/>
      <c r="C53" s="50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</row>
    <row r="54" spans="1:135" x14ac:dyDescent="0.4">
      <c r="A54" s="31" t="str">
        <f t="shared" si="3"/>
        <v/>
      </c>
      <c r="B54" s="36"/>
      <c r="C54" s="50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</row>
    <row r="55" spans="1:135" x14ac:dyDescent="0.4">
      <c r="A55" s="31" t="str">
        <f t="shared" si="3"/>
        <v/>
      </c>
      <c r="B55" s="36"/>
      <c r="C55" s="50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</row>
    <row r="56" spans="1:135" x14ac:dyDescent="0.4">
      <c r="A56" s="31" t="str">
        <f t="shared" si="3"/>
        <v/>
      </c>
      <c r="B56" s="36"/>
      <c r="C56" s="50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</row>
    <row r="57" spans="1:135" x14ac:dyDescent="0.4">
      <c r="A57" s="31" t="str">
        <f t="shared" si="3"/>
        <v/>
      </c>
      <c r="B57" s="36"/>
      <c r="C57" s="50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</row>
    <row r="58" spans="1:135" x14ac:dyDescent="0.4">
      <c r="A58" s="31" t="str">
        <f t="shared" si="3"/>
        <v/>
      </c>
      <c r="B58" s="36"/>
      <c r="C58" s="50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</row>
    <row r="59" spans="1:135" x14ac:dyDescent="0.4">
      <c r="A59" s="31" t="str">
        <f t="shared" si="3"/>
        <v/>
      </c>
      <c r="B59" s="36"/>
      <c r="C59" s="50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</row>
    <row r="60" spans="1:135" x14ac:dyDescent="0.4">
      <c r="A60" s="31" t="str">
        <f t="shared" si="3"/>
        <v/>
      </c>
      <c r="B60" s="36"/>
      <c r="C60" s="50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</row>
    <row r="61" spans="1:135" x14ac:dyDescent="0.4">
      <c r="A61" s="31" t="str">
        <f t="shared" si="3"/>
        <v/>
      </c>
      <c r="B61" s="36"/>
      <c r="C61" s="50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</row>
    <row r="62" spans="1:135" x14ac:dyDescent="0.4">
      <c r="A62" s="31" t="str">
        <f t="shared" si="3"/>
        <v/>
      </c>
      <c r="B62" s="36"/>
      <c r="C62" s="50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</row>
    <row r="63" spans="1:135" x14ac:dyDescent="0.4">
      <c r="A63" s="31" t="str">
        <f t="shared" si="3"/>
        <v/>
      </c>
      <c r="B63" s="36"/>
      <c r="C63" s="50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</row>
    <row r="64" spans="1:135" x14ac:dyDescent="0.4">
      <c r="A64" s="31" t="str">
        <f t="shared" si="3"/>
        <v/>
      </c>
      <c r="B64" s="36"/>
      <c r="C64" s="50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</row>
    <row r="65" spans="1:135" x14ac:dyDescent="0.4">
      <c r="A65" s="31" t="str">
        <f t="shared" si="3"/>
        <v/>
      </c>
      <c r="B65" s="36"/>
      <c r="C65" s="50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</row>
    <row r="66" spans="1:135" x14ac:dyDescent="0.4">
      <c r="A66" s="31" t="str">
        <f t="shared" si="3"/>
        <v/>
      </c>
      <c r="B66" s="36"/>
      <c r="C66" s="50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</row>
    <row r="67" spans="1:135" x14ac:dyDescent="0.4">
      <c r="A67" s="31" t="str">
        <f t="shared" si="3"/>
        <v/>
      </c>
      <c r="B67" s="36"/>
      <c r="C67" s="50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</row>
    <row r="68" spans="1:135" x14ac:dyDescent="0.4">
      <c r="A68" s="31" t="str">
        <f t="shared" si="3"/>
        <v/>
      </c>
      <c r="B68" s="36"/>
      <c r="C68" s="50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</row>
    <row r="69" spans="1:135" x14ac:dyDescent="0.4">
      <c r="A69" s="31" t="str">
        <f t="shared" si="3"/>
        <v/>
      </c>
      <c r="B69" s="36"/>
      <c r="C69" s="50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</row>
    <row r="70" spans="1:135" x14ac:dyDescent="0.4">
      <c r="A70" s="31" t="str">
        <f t="shared" si="3"/>
        <v/>
      </c>
      <c r="B70" s="36"/>
      <c r="C70" s="50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</row>
    <row r="71" spans="1:135" x14ac:dyDescent="0.4">
      <c r="A71" s="31" t="str">
        <f t="shared" si="3"/>
        <v/>
      </c>
      <c r="B71" s="36"/>
      <c r="C71" s="50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</row>
    <row r="72" spans="1:135" x14ac:dyDescent="0.4">
      <c r="A72" s="31" t="str">
        <f t="shared" si="3"/>
        <v/>
      </c>
      <c r="B72" s="36"/>
      <c r="C72" s="50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</row>
    <row r="73" spans="1:135" x14ac:dyDescent="0.4">
      <c r="A73" s="31" t="str">
        <f t="shared" ref="A73:A136" si="13">IF(ISBLANK(C73), "", C73)</f>
        <v/>
      </c>
      <c r="B73" s="36"/>
      <c r="C73" s="50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</row>
    <row r="74" spans="1:135" x14ac:dyDescent="0.4">
      <c r="A74" s="31" t="str">
        <f t="shared" si="13"/>
        <v/>
      </c>
      <c r="B74" s="36"/>
      <c r="C74" s="50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</row>
    <row r="75" spans="1:135" x14ac:dyDescent="0.4">
      <c r="A75" s="31" t="str">
        <f t="shared" si="13"/>
        <v/>
      </c>
      <c r="B75" s="36"/>
      <c r="C75" s="50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</row>
    <row r="76" spans="1:135" x14ac:dyDescent="0.4">
      <c r="A76" s="31" t="str">
        <f t="shared" si="13"/>
        <v/>
      </c>
      <c r="B76" s="36"/>
      <c r="C76" s="50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</row>
    <row r="77" spans="1:135" x14ac:dyDescent="0.4">
      <c r="A77" s="31" t="str">
        <f t="shared" si="13"/>
        <v/>
      </c>
      <c r="B77" s="36"/>
      <c r="C77" s="50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</row>
    <row r="78" spans="1:135" x14ac:dyDescent="0.4">
      <c r="A78" s="31" t="str">
        <f t="shared" si="13"/>
        <v/>
      </c>
      <c r="B78" s="36"/>
      <c r="C78" s="50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</row>
    <row r="79" spans="1:135" x14ac:dyDescent="0.4">
      <c r="A79" s="31" t="str">
        <f t="shared" si="13"/>
        <v/>
      </c>
      <c r="B79" s="36"/>
      <c r="C79" s="50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</row>
    <row r="80" spans="1:135" x14ac:dyDescent="0.4">
      <c r="A80" s="31" t="str">
        <f t="shared" si="13"/>
        <v/>
      </c>
      <c r="B80" s="36"/>
      <c r="C80" s="50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</row>
    <row r="81" spans="1:135" x14ac:dyDescent="0.4">
      <c r="A81" s="31" t="str">
        <f t="shared" si="13"/>
        <v/>
      </c>
      <c r="B81" s="36"/>
      <c r="C81" s="50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</row>
    <row r="82" spans="1:135" x14ac:dyDescent="0.4">
      <c r="A82" s="31" t="str">
        <f t="shared" si="13"/>
        <v/>
      </c>
      <c r="B82" s="36"/>
      <c r="C82" s="50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</row>
    <row r="83" spans="1:135" x14ac:dyDescent="0.4">
      <c r="A83" s="31" t="str">
        <f t="shared" si="13"/>
        <v/>
      </c>
      <c r="B83" s="36"/>
      <c r="C83" s="50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</row>
    <row r="84" spans="1:135" x14ac:dyDescent="0.4">
      <c r="A84" s="31" t="str">
        <f t="shared" si="13"/>
        <v/>
      </c>
      <c r="B84" s="36"/>
      <c r="C84" s="50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</row>
    <row r="85" spans="1:135" x14ac:dyDescent="0.4">
      <c r="A85" s="31" t="str">
        <f t="shared" si="13"/>
        <v/>
      </c>
      <c r="B85" s="36"/>
      <c r="C85" s="50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</row>
    <row r="86" spans="1:135" x14ac:dyDescent="0.4">
      <c r="A86" s="31" t="str">
        <f t="shared" si="13"/>
        <v/>
      </c>
      <c r="B86" s="36"/>
      <c r="C86" s="50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</row>
    <row r="87" spans="1:135" x14ac:dyDescent="0.4">
      <c r="A87" s="31" t="str">
        <f t="shared" si="13"/>
        <v/>
      </c>
      <c r="B87" s="36"/>
      <c r="C87" s="50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</row>
    <row r="88" spans="1:135" x14ac:dyDescent="0.4">
      <c r="A88" s="31" t="str">
        <f t="shared" si="13"/>
        <v/>
      </c>
      <c r="B88" s="36"/>
      <c r="C88" s="50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</row>
    <row r="89" spans="1:135" x14ac:dyDescent="0.4">
      <c r="A89" s="31" t="str">
        <f t="shared" si="13"/>
        <v/>
      </c>
      <c r="B89" s="36"/>
      <c r="C89" s="50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</row>
    <row r="90" spans="1:135" x14ac:dyDescent="0.4">
      <c r="A90" s="31" t="str">
        <f t="shared" si="13"/>
        <v/>
      </c>
      <c r="B90" s="36"/>
      <c r="C90" s="50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</row>
    <row r="91" spans="1:135" x14ac:dyDescent="0.4">
      <c r="A91" s="31" t="str">
        <f t="shared" si="13"/>
        <v/>
      </c>
      <c r="B91" s="36"/>
      <c r="C91" s="50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</row>
    <row r="92" spans="1:135" x14ac:dyDescent="0.4">
      <c r="A92" s="31" t="str">
        <f t="shared" si="13"/>
        <v/>
      </c>
      <c r="B92" s="36"/>
      <c r="C92" s="50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</row>
    <row r="93" spans="1:135" x14ac:dyDescent="0.4">
      <c r="A93" s="31" t="str">
        <f t="shared" si="13"/>
        <v/>
      </c>
      <c r="B93" s="36"/>
      <c r="C93" s="50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</row>
    <row r="94" spans="1:135" x14ac:dyDescent="0.4">
      <c r="A94" s="31" t="str">
        <f t="shared" si="13"/>
        <v/>
      </c>
      <c r="B94" s="36"/>
      <c r="C94" s="50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</row>
    <row r="95" spans="1:135" x14ac:dyDescent="0.4">
      <c r="A95" s="31" t="str">
        <f t="shared" si="13"/>
        <v/>
      </c>
      <c r="B95" s="36"/>
      <c r="C95" s="50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</row>
    <row r="96" spans="1:135" x14ac:dyDescent="0.4">
      <c r="A96" s="31" t="str">
        <f t="shared" si="13"/>
        <v/>
      </c>
      <c r="B96" s="36"/>
      <c r="C96" s="50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</row>
    <row r="97" spans="1:135" x14ac:dyDescent="0.4">
      <c r="A97" s="31" t="str">
        <f t="shared" si="13"/>
        <v/>
      </c>
      <c r="B97" s="36"/>
      <c r="C97" s="50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</row>
    <row r="98" spans="1:135" x14ac:dyDescent="0.4">
      <c r="A98" s="31" t="str">
        <f t="shared" si="13"/>
        <v/>
      </c>
      <c r="B98" s="36"/>
      <c r="C98" s="50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</row>
    <row r="99" spans="1:135" x14ac:dyDescent="0.4">
      <c r="A99" s="31" t="str">
        <f t="shared" si="13"/>
        <v/>
      </c>
      <c r="B99" s="36"/>
      <c r="C99" s="50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</row>
    <row r="100" spans="1:135" x14ac:dyDescent="0.4">
      <c r="A100" s="31" t="str">
        <f t="shared" si="13"/>
        <v/>
      </c>
      <c r="B100" s="36"/>
      <c r="C100" s="50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</row>
    <row r="101" spans="1:135" x14ac:dyDescent="0.4">
      <c r="A101" s="31" t="str">
        <f t="shared" si="13"/>
        <v/>
      </c>
      <c r="B101" s="36"/>
      <c r="C101" s="50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</row>
    <row r="102" spans="1:135" x14ac:dyDescent="0.4">
      <c r="A102" s="31" t="str">
        <f t="shared" si="13"/>
        <v/>
      </c>
      <c r="B102" s="36"/>
      <c r="C102" s="50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</row>
    <row r="103" spans="1:135" x14ac:dyDescent="0.4">
      <c r="A103" s="31" t="str">
        <f t="shared" si="13"/>
        <v/>
      </c>
      <c r="B103" s="36"/>
      <c r="C103" s="50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</row>
    <row r="104" spans="1:135" x14ac:dyDescent="0.4">
      <c r="A104" s="31" t="str">
        <f t="shared" si="13"/>
        <v/>
      </c>
      <c r="B104" s="36"/>
      <c r="C104" s="50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</row>
    <row r="105" spans="1:135" x14ac:dyDescent="0.4">
      <c r="A105" s="31" t="str">
        <f t="shared" si="13"/>
        <v/>
      </c>
      <c r="B105" s="36"/>
      <c r="C105" s="50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</row>
    <row r="106" spans="1:135" x14ac:dyDescent="0.4">
      <c r="A106" s="31" t="str">
        <f t="shared" si="13"/>
        <v/>
      </c>
      <c r="B106" s="36"/>
      <c r="C106" s="50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</row>
    <row r="107" spans="1:135" x14ac:dyDescent="0.4">
      <c r="A107" s="31" t="str">
        <f t="shared" si="13"/>
        <v/>
      </c>
      <c r="B107" s="36"/>
      <c r="C107" s="50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</row>
    <row r="108" spans="1:135" x14ac:dyDescent="0.4">
      <c r="A108" s="31" t="str">
        <f t="shared" si="13"/>
        <v/>
      </c>
      <c r="B108" s="36"/>
      <c r="C108" s="50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</row>
    <row r="109" spans="1:135" x14ac:dyDescent="0.4">
      <c r="A109" s="31" t="str">
        <f t="shared" si="13"/>
        <v/>
      </c>
      <c r="B109" s="36"/>
      <c r="C109" s="50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</row>
    <row r="110" spans="1:135" x14ac:dyDescent="0.4">
      <c r="A110" s="31" t="str">
        <f t="shared" si="13"/>
        <v/>
      </c>
      <c r="B110" s="36"/>
      <c r="C110" s="50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</row>
    <row r="111" spans="1:135" x14ac:dyDescent="0.4">
      <c r="A111" s="31" t="str">
        <f t="shared" si="13"/>
        <v/>
      </c>
      <c r="B111" s="36"/>
      <c r="C111" s="50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</row>
    <row r="112" spans="1:135" x14ac:dyDescent="0.4">
      <c r="A112" s="31" t="str">
        <f t="shared" si="13"/>
        <v/>
      </c>
      <c r="B112" s="36"/>
      <c r="C112" s="50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</row>
    <row r="113" spans="1:135" x14ac:dyDescent="0.4">
      <c r="A113" s="31" t="str">
        <f t="shared" si="13"/>
        <v/>
      </c>
      <c r="B113" s="36"/>
      <c r="C113" s="50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</row>
    <row r="114" spans="1:135" x14ac:dyDescent="0.4">
      <c r="A114" s="31" t="str">
        <f t="shared" si="13"/>
        <v/>
      </c>
      <c r="B114" s="36"/>
      <c r="C114" s="50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</row>
    <row r="115" spans="1:135" x14ac:dyDescent="0.4">
      <c r="A115" s="31" t="str">
        <f t="shared" si="13"/>
        <v/>
      </c>
      <c r="B115" s="36"/>
      <c r="C115" s="50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</row>
    <row r="116" spans="1:135" x14ac:dyDescent="0.4">
      <c r="A116" s="31" t="str">
        <f t="shared" si="13"/>
        <v/>
      </c>
      <c r="B116" s="36"/>
      <c r="C116" s="50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</row>
    <row r="117" spans="1:135" x14ac:dyDescent="0.4">
      <c r="A117" s="31" t="str">
        <f t="shared" si="13"/>
        <v/>
      </c>
      <c r="B117" s="36"/>
      <c r="C117" s="50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</row>
    <row r="118" spans="1:135" x14ac:dyDescent="0.4">
      <c r="A118" s="31" t="str">
        <f t="shared" si="13"/>
        <v/>
      </c>
      <c r="B118" s="36"/>
      <c r="C118" s="50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</row>
    <row r="119" spans="1:135" x14ac:dyDescent="0.4">
      <c r="A119" s="31" t="str">
        <f t="shared" si="13"/>
        <v/>
      </c>
      <c r="B119" s="36"/>
      <c r="C119" s="50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</row>
    <row r="120" spans="1:135" x14ac:dyDescent="0.4">
      <c r="A120" s="31" t="str">
        <f t="shared" si="13"/>
        <v/>
      </c>
      <c r="B120" s="36"/>
      <c r="C120" s="50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</row>
    <row r="121" spans="1:135" x14ac:dyDescent="0.4">
      <c r="A121" s="31" t="str">
        <f t="shared" si="13"/>
        <v/>
      </c>
      <c r="B121" s="36"/>
      <c r="C121" s="50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</row>
    <row r="122" spans="1:135" x14ac:dyDescent="0.4">
      <c r="A122" s="31" t="str">
        <f t="shared" si="13"/>
        <v/>
      </c>
      <c r="B122" s="36"/>
      <c r="C122" s="50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</row>
    <row r="123" spans="1:135" x14ac:dyDescent="0.4">
      <c r="A123" s="31" t="str">
        <f t="shared" si="13"/>
        <v/>
      </c>
      <c r="B123" s="36"/>
      <c r="C123" s="50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</row>
    <row r="124" spans="1:135" x14ac:dyDescent="0.4">
      <c r="A124" s="31" t="str">
        <f t="shared" si="13"/>
        <v/>
      </c>
      <c r="B124" s="36"/>
      <c r="C124" s="50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</row>
    <row r="125" spans="1:135" x14ac:dyDescent="0.4">
      <c r="A125" s="31" t="str">
        <f t="shared" si="13"/>
        <v/>
      </c>
      <c r="B125" s="36"/>
      <c r="C125" s="50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</row>
    <row r="126" spans="1:135" x14ac:dyDescent="0.4">
      <c r="A126" s="31" t="str">
        <f t="shared" si="13"/>
        <v/>
      </c>
      <c r="B126" s="36"/>
      <c r="C126" s="50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</row>
    <row r="127" spans="1:135" x14ac:dyDescent="0.4">
      <c r="A127" s="31" t="str">
        <f t="shared" si="13"/>
        <v/>
      </c>
      <c r="B127" s="36"/>
      <c r="C127" s="50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</row>
    <row r="128" spans="1:135" x14ac:dyDescent="0.4">
      <c r="A128" s="31" t="str">
        <f t="shared" si="13"/>
        <v/>
      </c>
      <c r="B128" s="36"/>
      <c r="C128" s="50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</row>
    <row r="129" spans="1:135" x14ac:dyDescent="0.4">
      <c r="A129" s="31" t="str">
        <f t="shared" si="13"/>
        <v/>
      </c>
      <c r="B129" s="36"/>
      <c r="C129" s="50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</row>
    <row r="130" spans="1:135" x14ac:dyDescent="0.4">
      <c r="A130" s="31" t="str">
        <f t="shared" si="13"/>
        <v/>
      </c>
      <c r="B130" s="36"/>
      <c r="C130" s="50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</row>
    <row r="131" spans="1:135" x14ac:dyDescent="0.4">
      <c r="A131" s="31" t="str">
        <f t="shared" si="13"/>
        <v/>
      </c>
      <c r="B131" s="36"/>
      <c r="C131" s="50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</row>
    <row r="132" spans="1:135" x14ac:dyDescent="0.4">
      <c r="A132" s="31" t="str">
        <f t="shared" si="13"/>
        <v/>
      </c>
      <c r="B132" s="36"/>
      <c r="C132" s="50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</row>
    <row r="133" spans="1:135" x14ac:dyDescent="0.4">
      <c r="A133" s="31" t="str">
        <f t="shared" si="13"/>
        <v/>
      </c>
      <c r="B133" s="36"/>
      <c r="C133" s="50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</row>
    <row r="134" spans="1:135" x14ac:dyDescent="0.4">
      <c r="A134" s="31" t="str">
        <f t="shared" si="13"/>
        <v/>
      </c>
      <c r="B134" s="36"/>
      <c r="C134" s="50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</row>
    <row r="135" spans="1:135" x14ac:dyDescent="0.4">
      <c r="A135" s="31" t="str">
        <f t="shared" si="13"/>
        <v/>
      </c>
      <c r="B135" s="36"/>
      <c r="C135" s="50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</row>
    <row r="136" spans="1:135" x14ac:dyDescent="0.4">
      <c r="A136" s="31" t="str">
        <f t="shared" si="13"/>
        <v/>
      </c>
      <c r="B136" s="36"/>
      <c r="C136" s="50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</row>
    <row r="137" spans="1:135" x14ac:dyDescent="0.4">
      <c r="A137" s="31" t="str">
        <f t="shared" ref="A137:A200" si="14">IF(ISBLANK(C137), "", C137)</f>
        <v/>
      </c>
      <c r="B137" s="36"/>
      <c r="C137" s="50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</row>
    <row r="138" spans="1:135" x14ac:dyDescent="0.4">
      <c r="A138" s="31" t="str">
        <f t="shared" si="14"/>
        <v/>
      </c>
      <c r="B138" s="36"/>
      <c r="C138" s="50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/>
    </row>
    <row r="139" spans="1:135" x14ac:dyDescent="0.4">
      <c r="A139" s="31" t="str">
        <f t="shared" si="14"/>
        <v/>
      </c>
      <c r="B139" s="36"/>
      <c r="C139" s="50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</row>
    <row r="140" spans="1:135" x14ac:dyDescent="0.4">
      <c r="A140" s="31" t="str">
        <f t="shared" si="14"/>
        <v/>
      </c>
      <c r="B140" s="36"/>
      <c r="C140" s="50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</row>
    <row r="141" spans="1:135" x14ac:dyDescent="0.4">
      <c r="A141" s="31" t="str">
        <f t="shared" si="14"/>
        <v/>
      </c>
      <c r="B141" s="36"/>
      <c r="C141" s="50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</row>
    <row r="142" spans="1:135" x14ac:dyDescent="0.4">
      <c r="A142" s="31" t="str">
        <f t="shared" si="14"/>
        <v/>
      </c>
      <c r="B142" s="36"/>
      <c r="C142" s="50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</row>
    <row r="143" spans="1:135" x14ac:dyDescent="0.4">
      <c r="A143" s="31" t="str">
        <f t="shared" si="14"/>
        <v/>
      </c>
      <c r="B143" s="36"/>
      <c r="C143" s="50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</row>
    <row r="144" spans="1:135" x14ac:dyDescent="0.4">
      <c r="A144" s="31" t="str">
        <f t="shared" si="14"/>
        <v/>
      </c>
      <c r="B144" s="36"/>
      <c r="C144" s="50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</row>
    <row r="145" spans="1:135" x14ac:dyDescent="0.4">
      <c r="A145" s="31" t="str">
        <f t="shared" si="14"/>
        <v/>
      </c>
      <c r="B145" s="36"/>
      <c r="C145" s="50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</row>
    <row r="146" spans="1:135" x14ac:dyDescent="0.4">
      <c r="A146" s="31" t="str">
        <f t="shared" si="14"/>
        <v/>
      </c>
      <c r="B146" s="36"/>
      <c r="C146" s="50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</row>
    <row r="147" spans="1:135" x14ac:dyDescent="0.4">
      <c r="A147" s="31" t="str">
        <f t="shared" si="14"/>
        <v/>
      </c>
      <c r="B147" s="36"/>
      <c r="C147" s="50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</row>
    <row r="148" spans="1:135" x14ac:dyDescent="0.4">
      <c r="A148" s="31" t="str">
        <f t="shared" si="14"/>
        <v/>
      </c>
      <c r="B148" s="36"/>
      <c r="C148" s="50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</row>
    <row r="149" spans="1:135" x14ac:dyDescent="0.4">
      <c r="A149" s="31" t="str">
        <f t="shared" si="14"/>
        <v/>
      </c>
      <c r="B149" s="36"/>
      <c r="C149" s="50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</row>
    <row r="150" spans="1:135" x14ac:dyDescent="0.4">
      <c r="A150" s="31" t="str">
        <f t="shared" si="14"/>
        <v/>
      </c>
      <c r="B150" s="36"/>
      <c r="C150" s="50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</row>
    <row r="151" spans="1:135" x14ac:dyDescent="0.4">
      <c r="A151" s="31" t="str">
        <f t="shared" si="14"/>
        <v/>
      </c>
      <c r="B151" s="36"/>
      <c r="C151" s="50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</row>
    <row r="152" spans="1:135" x14ac:dyDescent="0.4">
      <c r="A152" s="31" t="str">
        <f t="shared" si="14"/>
        <v/>
      </c>
      <c r="B152" s="36"/>
      <c r="C152" s="50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</row>
    <row r="153" spans="1:135" x14ac:dyDescent="0.4">
      <c r="A153" s="31" t="str">
        <f t="shared" si="14"/>
        <v/>
      </c>
      <c r="B153" s="36"/>
      <c r="C153" s="50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</row>
    <row r="154" spans="1:135" x14ac:dyDescent="0.4">
      <c r="A154" s="31" t="str">
        <f t="shared" si="14"/>
        <v/>
      </c>
      <c r="B154" s="36"/>
      <c r="C154" s="50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</row>
    <row r="155" spans="1:135" x14ac:dyDescent="0.4">
      <c r="A155" s="31" t="str">
        <f t="shared" si="14"/>
        <v/>
      </c>
      <c r="B155" s="36"/>
      <c r="C155" s="50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</row>
    <row r="156" spans="1:135" x14ac:dyDescent="0.4">
      <c r="A156" s="31" t="str">
        <f t="shared" si="14"/>
        <v/>
      </c>
      <c r="B156" s="36"/>
      <c r="C156" s="50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</row>
    <row r="157" spans="1:135" x14ac:dyDescent="0.4">
      <c r="A157" s="31" t="str">
        <f t="shared" si="14"/>
        <v/>
      </c>
      <c r="B157" s="36"/>
      <c r="C157" s="50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</row>
    <row r="158" spans="1:135" x14ac:dyDescent="0.4">
      <c r="A158" s="31" t="str">
        <f t="shared" si="14"/>
        <v/>
      </c>
      <c r="B158" s="36"/>
      <c r="C158" s="50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</row>
    <row r="159" spans="1:135" x14ac:dyDescent="0.4">
      <c r="A159" s="31" t="str">
        <f t="shared" si="14"/>
        <v/>
      </c>
      <c r="B159" s="36"/>
      <c r="C159" s="50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</row>
    <row r="160" spans="1:135" x14ac:dyDescent="0.4">
      <c r="A160" s="31" t="str">
        <f t="shared" si="14"/>
        <v/>
      </c>
      <c r="B160" s="36"/>
      <c r="C160" s="50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</row>
    <row r="161" spans="1:135" x14ac:dyDescent="0.4">
      <c r="A161" s="31" t="str">
        <f t="shared" si="14"/>
        <v/>
      </c>
      <c r="B161" s="36"/>
      <c r="C161" s="50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</row>
    <row r="162" spans="1:135" x14ac:dyDescent="0.4">
      <c r="A162" s="31" t="str">
        <f t="shared" si="14"/>
        <v/>
      </c>
      <c r="B162" s="36"/>
      <c r="C162" s="50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/>
      <c r="EB162" s="36"/>
      <c r="EC162" s="36"/>
      <c r="ED162" s="36"/>
      <c r="EE162" s="36"/>
    </row>
    <row r="163" spans="1:135" x14ac:dyDescent="0.4">
      <c r="A163" s="31" t="str">
        <f t="shared" si="14"/>
        <v/>
      </c>
      <c r="B163" s="36"/>
      <c r="C163" s="50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</row>
    <row r="164" spans="1:135" x14ac:dyDescent="0.4">
      <c r="A164" s="31" t="str">
        <f t="shared" si="14"/>
        <v/>
      </c>
      <c r="B164" s="36"/>
      <c r="C164" s="50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</row>
    <row r="165" spans="1:135" x14ac:dyDescent="0.4">
      <c r="A165" s="31" t="str">
        <f t="shared" si="14"/>
        <v/>
      </c>
      <c r="B165" s="36"/>
      <c r="C165" s="50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/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</row>
    <row r="166" spans="1:135" x14ac:dyDescent="0.4">
      <c r="A166" s="31" t="str">
        <f t="shared" si="14"/>
        <v/>
      </c>
      <c r="B166" s="36"/>
      <c r="C166" s="50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</row>
    <row r="167" spans="1:135" x14ac:dyDescent="0.4">
      <c r="A167" s="31" t="str">
        <f t="shared" si="14"/>
        <v/>
      </c>
      <c r="B167" s="36"/>
      <c r="C167" s="50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</row>
    <row r="168" spans="1:135" x14ac:dyDescent="0.4">
      <c r="A168" s="31" t="str">
        <f t="shared" si="14"/>
        <v/>
      </c>
      <c r="B168" s="36"/>
      <c r="C168" s="50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</row>
    <row r="169" spans="1:135" x14ac:dyDescent="0.4">
      <c r="A169" s="31" t="str">
        <f t="shared" si="14"/>
        <v/>
      </c>
      <c r="B169" s="36"/>
      <c r="C169" s="50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</row>
    <row r="170" spans="1:135" x14ac:dyDescent="0.4">
      <c r="A170" s="31" t="str">
        <f t="shared" si="14"/>
        <v/>
      </c>
      <c r="B170" s="36"/>
      <c r="C170" s="50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</row>
    <row r="171" spans="1:135" x14ac:dyDescent="0.4">
      <c r="A171" s="31" t="str">
        <f t="shared" si="14"/>
        <v/>
      </c>
      <c r="B171" s="36"/>
      <c r="C171" s="50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</row>
    <row r="172" spans="1:135" x14ac:dyDescent="0.4">
      <c r="A172" s="31" t="str">
        <f t="shared" si="14"/>
        <v/>
      </c>
      <c r="B172" s="36"/>
      <c r="C172" s="50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</row>
    <row r="173" spans="1:135" x14ac:dyDescent="0.4">
      <c r="A173" s="31" t="str">
        <f t="shared" si="14"/>
        <v/>
      </c>
      <c r="B173" s="36"/>
      <c r="C173" s="50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</row>
    <row r="174" spans="1:135" x14ac:dyDescent="0.4">
      <c r="A174" s="31" t="str">
        <f t="shared" si="14"/>
        <v/>
      </c>
      <c r="B174" s="36"/>
      <c r="C174" s="50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</row>
    <row r="175" spans="1:135" x14ac:dyDescent="0.4">
      <c r="A175" s="31" t="str">
        <f t="shared" si="14"/>
        <v/>
      </c>
      <c r="B175" s="36"/>
      <c r="C175" s="50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</row>
    <row r="176" spans="1:135" x14ac:dyDescent="0.4">
      <c r="A176" s="31" t="str">
        <f t="shared" si="14"/>
        <v/>
      </c>
      <c r="B176" s="36"/>
      <c r="C176" s="50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</row>
    <row r="177" spans="1:135" x14ac:dyDescent="0.4">
      <c r="A177" s="31" t="str">
        <f t="shared" si="14"/>
        <v/>
      </c>
      <c r="B177" s="36"/>
      <c r="C177" s="50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</row>
    <row r="178" spans="1:135" x14ac:dyDescent="0.4">
      <c r="A178" s="31" t="str">
        <f t="shared" si="14"/>
        <v/>
      </c>
      <c r="B178" s="36"/>
      <c r="C178" s="50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</row>
    <row r="179" spans="1:135" x14ac:dyDescent="0.4">
      <c r="A179" s="31" t="str">
        <f t="shared" si="14"/>
        <v/>
      </c>
      <c r="B179" s="36"/>
      <c r="C179" s="50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</row>
    <row r="180" spans="1:135" x14ac:dyDescent="0.4">
      <c r="A180" s="31" t="str">
        <f t="shared" si="14"/>
        <v/>
      </c>
      <c r="B180" s="36"/>
      <c r="C180" s="50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</row>
    <row r="181" spans="1:135" x14ac:dyDescent="0.4">
      <c r="A181" s="31" t="str">
        <f t="shared" si="14"/>
        <v/>
      </c>
      <c r="B181" s="36"/>
      <c r="C181" s="50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</row>
    <row r="182" spans="1:135" x14ac:dyDescent="0.4">
      <c r="A182" s="31" t="str">
        <f t="shared" si="14"/>
        <v/>
      </c>
      <c r="B182" s="36"/>
      <c r="C182" s="50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</row>
    <row r="183" spans="1:135" x14ac:dyDescent="0.4">
      <c r="A183" s="31" t="str">
        <f t="shared" si="14"/>
        <v/>
      </c>
      <c r="B183" s="36"/>
      <c r="C183" s="50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</row>
    <row r="184" spans="1:135" x14ac:dyDescent="0.4">
      <c r="A184" s="31" t="str">
        <f t="shared" si="14"/>
        <v/>
      </c>
      <c r="B184" s="36"/>
      <c r="C184" s="50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</row>
    <row r="185" spans="1:135" x14ac:dyDescent="0.4">
      <c r="A185" s="31" t="str">
        <f t="shared" si="14"/>
        <v/>
      </c>
      <c r="B185" s="36"/>
      <c r="C185" s="50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</row>
    <row r="186" spans="1:135" x14ac:dyDescent="0.4">
      <c r="A186" s="31" t="str">
        <f t="shared" si="14"/>
        <v/>
      </c>
      <c r="B186" s="36"/>
      <c r="C186" s="50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</row>
    <row r="187" spans="1:135" x14ac:dyDescent="0.4">
      <c r="A187" s="31" t="str">
        <f t="shared" si="14"/>
        <v/>
      </c>
      <c r="B187" s="36"/>
      <c r="C187" s="50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</row>
    <row r="188" spans="1:135" x14ac:dyDescent="0.4">
      <c r="A188" s="31" t="str">
        <f t="shared" si="14"/>
        <v/>
      </c>
      <c r="B188" s="36"/>
      <c r="C188" s="50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</row>
    <row r="189" spans="1:135" x14ac:dyDescent="0.4">
      <c r="A189" s="31" t="str">
        <f t="shared" si="14"/>
        <v/>
      </c>
      <c r="B189" s="36"/>
      <c r="C189" s="50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</row>
    <row r="190" spans="1:135" x14ac:dyDescent="0.4">
      <c r="A190" s="31" t="str">
        <f t="shared" si="14"/>
        <v/>
      </c>
      <c r="B190" s="36"/>
      <c r="C190" s="50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</row>
    <row r="191" spans="1:135" x14ac:dyDescent="0.4">
      <c r="A191" s="31" t="str">
        <f t="shared" si="14"/>
        <v/>
      </c>
      <c r="B191" s="36"/>
      <c r="C191" s="50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</row>
    <row r="192" spans="1:135" x14ac:dyDescent="0.4">
      <c r="A192" s="31" t="str">
        <f t="shared" si="14"/>
        <v/>
      </c>
      <c r="B192" s="36"/>
      <c r="C192" s="50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</row>
    <row r="193" spans="1:135" x14ac:dyDescent="0.4">
      <c r="A193" s="31" t="str">
        <f t="shared" si="14"/>
        <v/>
      </c>
      <c r="B193" s="36"/>
      <c r="C193" s="50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</row>
    <row r="194" spans="1:135" x14ac:dyDescent="0.4">
      <c r="A194" s="31" t="str">
        <f t="shared" si="14"/>
        <v/>
      </c>
      <c r="B194" s="36"/>
      <c r="C194" s="50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</row>
    <row r="195" spans="1:135" x14ac:dyDescent="0.4">
      <c r="A195" s="31" t="str">
        <f t="shared" si="14"/>
        <v/>
      </c>
      <c r="B195" s="36"/>
      <c r="C195" s="50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</row>
    <row r="196" spans="1:135" x14ac:dyDescent="0.4">
      <c r="A196" s="31" t="str">
        <f t="shared" si="14"/>
        <v/>
      </c>
      <c r="B196" s="36"/>
      <c r="C196" s="50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</row>
    <row r="197" spans="1:135" x14ac:dyDescent="0.4">
      <c r="A197" s="31" t="str">
        <f t="shared" si="14"/>
        <v/>
      </c>
      <c r="B197" s="36"/>
      <c r="C197" s="50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</row>
    <row r="198" spans="1:135" x14ac:dyDescent="0.4">
      <c r="A198" s="31" t="str">
        <f t="shared" si="14"/>
        <v/>
      </c>
      <c r="B198" s="36"/>
      <c r="C198" s="50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</row>
    <row r="199" spans="1:135" x14ac:dyDescent="0.4">
      <c r="A199" s="31" t="str">
        <f t="shared" si="14"/>
        <v/>
      </c>
      <c r="B199" s="36"/>
      <c r="C199" s="50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</row>
    <row r="200" spans="1:135" x14ac:dyDescent="0.4">
      <c r="A200" s="31" t="str">
        <f t="shared" si="14"/>
        <v/>
      </c>
      <c r="B200" s="36"/>
      <c r="C200" s="50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</row>
    <row r="201" spans="1:135" ht="6.75" customHeight="1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</row>
    <row r="202" spans="1:135" ht="14.6" customHeight="1" x14ac:dyDescent="0.4">
      <c r="B202" s="30" t="s">
        <v>54</v>
      </c>
      <c r="C202" s="30"/>
      <c r="D202" s="30"/>
      <c r="E202" s="30"/>
      <c r="F202" s="30"/>
      <c r="G202" s="30"/>
    </row>
    <row r="203" spans="1:135" x14ac:dyDescent="0.4">
      <c r="B203" s="30"/>
      <c r="C203" s="30"/>
      <c r="D203" s="30"/>
      <c r="E203" s="30"/>
      <c r="F203" s="30"/>
      <c r="G203" s="30"/>
    </row>
  </sheetData>
  <sheetProtection algorithmName="SHA-512" hashValue="Ebf7FomnCF0rDzNGzx0cxYms45a/1A8XwZ4WCD3/g7d/FWu2MPJh34ni4zf68/ZSiqzhFjG6YJZ1yiMWMUVs1A==" saltValue="d2qw+safzqMOQm6KpULcOA==" spinCount="100000" sheet="1" objects="1" scenarios="1" selectLockedCells="1"/>
  <mergeCells count="2">
    <mergeCell ref="H4:M4"/>
    <mergeCell ref="B202:G203"/>
  </mergeCells>
  <conditionalFormatting sqref="C7:EE7">
    <cfRule type="expression" dxfId="62" priority="33" stopIfTrue="1">
      <formula>$C$2="Winter"</formula>
    </cfRule>
    <cfRule type="expression" dxfId="61" priority="34" stopIfTrue="1">
      <formula>$C$2="Autumn"</formula>
    </cfRule>
    <cfRule type="expression" dxfId="60" priority="35" stopIfTrue="1">
      <formula>$C$2="Summer"</formula>
    </cfRule>
    <cfRule type="expression" dxfId="59" priority="36" stopIfTrue="1">
      <formula>$C$2="Spring"</formula>
    </cfRule>
    <cfRule type="expression" priority="37" stopIfTrue="1">
      <formula>$C$2="Blank"</formula>
    </cfRule>
  </conditionalFormatting>
  <conditionalFormatting sqref="C8:C200">
    <cfRule type="expression" dxfId="58" priority="14">
      <formula>$C$2="Summer"</formula>
    </cfRule>
    <cfRule type="expression" dxfId="57" priority="15">
      <formula>$C$2="Winter"</formula>
    </cfRule>
    <cfRule type="expression" dxfId="56" priority="16">
      <formula>$C$2="Autumn"</formula>
    </cfRule>
    <cfRule type="expression" dxfId="55" priority="17">
      <formula>$C$2="Spring"</formula>
    </cfRule>
  </conditionalFormatting>
  <conditionalFormatting sqref="C8:C200">
    <cfRule type="expression" priority="13">
      <formula>$C$2="Blank"</formula>
    </cfRule>
  </conditionalFormatting>
  <conditionalFormatting sqref="H4">
    <cfRule type="notContainsBlanks" dxfId="49" priority="2">
      <formula>LEN(TRIM(H4))&gt;0</formula>
    </cfRule>
  </conditionalFormatting>
  <conditionalFormatting sqref="B202">
    <cfRule type="notContainsBlanks" dxfId="48" priority="1">
      <formula>LEN(TRIM(B202))&gt;0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D393-7A2C-4774-89F1-E1920EC75AEB}">
  <dimension ref="B3:B5"/>
  <sheetViews>
    <sheetView workbookViewId="0">
      <selection activeCell="B3" sqref="B3:J6"/>
    </sheetView>
  </sheetViews>
  <sheetFormatPr defaultRowHeight="14.6" x14ac:dyDescent="0.4"/>
  <sheetData>
    <row r="3" spans="2:2" x14ac:dyDescent="0.4">
      <c r="B3" t="s">
        <v>67</v>
      </c>
    </row>
    <row r="5" spans="2:2" x14ac:dyDescent="0.4">
      <c r="B5" s="35" t="s">
        <v>68</v>
      </c>
    </row>
  </sheetData>
  <sheetProtection algorithmName="SHA-512" hashValue="jojf6JDZqXyKkwdrYb+1LG0I9zDvdBKt5+QGtI+EN+FIbgjXF85dAZ+82PiUxPs7/o+q5OIM53m8wKc6j+F5PQ==" saltValue="cH5Xu9m/JhIhEwIB3SYVcg==" spinCount="100000" sheet="1" objects="1" scenarios="1" selectLockedCells="1" selectUnlockedCells="1"/>
  <hyperlinks>
    <hyperlink ref="B5" r:id="rId1" xr:uid="{84E4AC3A-9A5E-452E-B5DA-77B29B1CD3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Set-up</vt:lpstr>
      <vt:lpstr>Lists</vt:lpstr>
      <vt:lpstr>Dashboard</vt:lpstr>
      <vt:lpstr>Raw</vt:lpstr>
      <vt:lpstr>Contact</vt:lpstr>
      <vt:lpstr>Colours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S</dc:creator>
  <cp:lastModifiedBy>Veera S</cp:lastModifiedBy>
  <dcterms:created xsi:type="dcterms:W3CDTF">2025-10-27T12:55:33Z</dcterms:created>
  <dcterms:modified xsi:type="dcterms:W3CDTF">2025-10-28T15:31:11Z</dcterms:modified>
</cp:coreProperties>
</file>